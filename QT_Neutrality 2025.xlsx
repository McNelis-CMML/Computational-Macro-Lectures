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C5376EC1-F95F-4FB7-A283-B8E591A7D6C2}" xr6:coauthVersionLast="47" xr6:coauthVersionMax="47" xr10:uidLastSave="{00000000-0000-0000-0000-000000000000}"/>
  <bookViews>
    <workbookView xWindow="-28920" yWindow="-120" windowWidth="29040" windowHeight="15720" activeTab="2" xr2:uid="{C0FF9D8E-1829-4ED0-B762-9317009E46A7}"/>
  </bookViews>
  <sheets>
    <sheet name="QT1" sheetId="3" r:id="rId1"/>
    <sheet name="Sheet1" sheetId="4" r:id="rId2"/>
    <sheet name="Data" sheetId="2" r:id="rId3"/>
    <sheet name="Sheet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2" l="1"/>
  <c r="Z21" i="2"/>
  <c r="AA21" i="2"/>
  <c r="Y22" i="2"/>
  <c r="Z22" i="2"/>
  <c r="AA22" i="2"/>
  <c r="Y23" i="2"/>
  <c r="Z23" i="2"/>
  <c r="AA23" i="2"/>
  <c r="Y24" i="2"/>
  <c r="Z24" i="2"/>
  <c r="AA24" i="2"/>
  <c r="Y25" i="2"/>
  <c r="Z25" i="2"/>
  <c r="AA25" i="2"/>
  <c r="Y26" i="2"/>
  <c r="Z26" i="2"/>
  <c r="AA26" i="2"/>
  <c r="Y27" i="2"/>
  <c r="Z27" i="2"/>
  <c r="AA27" i="2"/>
  <c r="Y28" i="2"/>
  <c r="Z28" i="2"/>
  <c r="AA28" i="2"/>
  <c r="Y29" i="2"/>
  <c r="Z29" i="2"/>
  <c r="AA29" i="2"/>
  <c r="Y30" i="2"/>
  <c r="Z30" i="2"/>
  <c r="AA30" i="2"/>
  <c r="Y31" i="2"/>
  <c r="Z31" i="2"/>
  <c r="AA31" i="2"/>
  <c r="Y32" i="2"/>
  <c r="Z32" i="2"/>
  <c r="AA32" i="2"/>
  <c r="Y33" i="2"/>
  <c r="Z33" i="2"/>
  <c r="AA33" i="2"/>
  <c r="Y34" i="2"/>
  <c r="Z34" i="2"/>
  <c r="AA34" i="2"/>
  <c r="Y35" i="2"/>
  <c r="Z35" i="2"/>
  <c r="AA35" i="2"/>
  <c r="Y36" i="2"/>
  <c r="Z36" i="2"/>
  <c r="AA36" i="2"/>
  <c r="Y37" i="2"/>
  <c r="Z37" i="2"/>
  <c r="AA37" i="2"/>
  <c r="Y38" i="2"/>
  <c r="Z38" i="2"/>
  <c r="AA38" i="2"/>
  <c r="Y39" i="2"/>
  <c r="Z39" i="2"/>
  <c r="AA39" i="2"/>
  <c r="Y40" i="2"/>
  <c r="Z40" i="2"/>
  <c r="AA40" i="2"/>
  <c r="Y41" i="2"/>
  <c r="Z41" i="2"/>
  <c r="AA41" i="2"/>
  <c r="Y42" i="2"/>
  <c r="Z42" i="2"/>
  <c r="AA42" i="2"/>
  <c r="Y43" i="2"/>
  <c r="Z43" i="2"/>
  <c r="AA43" i="2"/>
  <c r="Y44" i="2"/>
  <c r="Z44" i="2"/>
  <c r="AA44" i="2"/>
  <c r="Y45" i="2"/>
  <c r="Z45" i="2"/>
  <c r="AA45" i="2"/>
  <c r="Y46" i="2"/>
  <c r="Z46" i="2"/>
  <c r="AA46" i="2"/>
  <c r="Y47" i="2"/>
  <c r="Z47" i="2"/>
  <c r="AA47" i="2"/>
  <c r="Y48" i="2"/>
  <c r="Z48" i="2"/>
  <c r="AA48" i="2"/>
  <c r="Y49" i="2"/>
  <c r="Z49" i="2"/>
  <c r="AA49" i="2"/>
  <c r="Y50" i="2"/>
  <c r="Z50" i="2"/>
  <c r="AA50" i="2"/>
  <c r="Y51" i="2"/>
  <c r="Z51" i="2"/>
  <c r="AA51" i="2"/>
  <c r="Y52" i="2"/>
  <c r="Z52" i="2"/>
  <c r="AA52" i="2"/>
  <c r="Y53" i="2"/>
  <c r="Z53" i="2"/>
  <c r="AA53" i="2"/>
  <c r="Y54" i="2"/>
  <c r="Z54" i="2"/>
  <c r="AA54" i="2"/>
  <c r="Y55" i="2"/>
  <c r="Z55" i="2"/>
  <c r="AA55" i="2"/>
  <c r="Y56" i="2"/>
  <c r="Z56" i="2"/>
  <c r="AA56" i="2"/>
  <c r="Y57" i="2"/>
  <c r="Z57" i="2"/>
  <c r="AA57" i="2"/>
  <c r="Y58" i="2"/>
  <c r="Z58" i="2"/>
  <c r="AA58" i="2"/>
  <c r="Y59" i="2"/>
  <c r="Z59" i="2"/>
  <c r="AA59" i="2"/>
  <c r="Y60" i="2"/>
  <c r="Z60" i="2"/>
  <c r="AA60" i="2"/>
  <c r="Y61" i="2"/>
  <c r="Z61" i="2"/>
  <c r="AA61" i="2"/>
  <c r="Y62" i="2"/>
  <c r="Z62" i="2"/>
  <c r="AA62" i="2"/>
  <c r="Y63" i="2"/>
  <c r="Z63" i="2"/>
  <c r="AA63" i="2"/>
  <c r="Y64" i="2"/>
  <c r="Z64" i="2"/>
  <c r="AA64" i="2"/>
  <c r="Y65" i="2"/>
  <c r="Z65" i="2"/>
  <c r="AA65" i="2"/>
  <c r="Y66" i="2"/>
  <c r="Z66" i="2"/>
  <c r="AA66" i="2"/>
  <c r="Y67" i="2"/>
  <c r="Z67" i="2"/>
  <c r="AA67" i="2"/>
  <c r="Y68" i="2"/>
  <c r="Z68" i="2"/>
  <c r="AA68" i="2"/>
  <c r="Y69" i="2"/>
  <c r="Z69" i="2"/>
  <c r="AA69" i="2"/>
  <c r="Y70" i="2"/>
  <c r="Z70" i="2"/>
  <c r="AA70" i="2"/>
  <c r="Y71" i="2"/>
  <c r="Z71" i="2"/>
  <c r="AA71" i="2"/>
  <c r="Y72" i="2"/>
  <c r="Z72" i="2"/>
  <c r="AA72" i="2"/>
  <c r="Y73" i="2"/>
  <c r="Z73" i="2"/>
  <c r="AA73" i="2"/>
  <c r="Y74" i="2"/>
  <c r="Z74" i="2"/>
  <c r="AA74" i="2"/>
  <c r="Y75" i="2"/>
  <c r="Z75" i="2"/>
  <c r="AA75" i="2"/>
  <c r="Y76" i="2"/>
  <c r="Z76" i="2"/>
  <c r="AA76" i="2"/>
  <c r="Y77" i="2"/>
  <c r="Z77" i="2"/>
  <c r="AA77" i="2"/>
  <c r="Y78" i="2"/>
  <c r="Z78" i="2"/>
  <c r="AA78" i="2"/>
  <c r="Y79" i="2"/>
  <c r="Z79" i="2"/>
  <c r="AA79" i="2"/>
  <c r="Y80" i="2"/>
  <c r="Z80" i="2"/>
  <c r="AA80" i="2"/>
  <c r="Y81" i="2"/>
  <c r="Z81" i="2"/>
  <c r="AA81" i="2"/>
  <c r="Y82" i="2"/>
  <c r="Z82" i="2"/>
  <c r="AA82" i="2"/>
  <c r="Y83" i="2"/>
  <c r="Z83" i="2"/>
  <c r="AA83" i="2"/>
  <c r="Y84" i="2"/>
  <c r="Z84" i="2"/>
  <c r="AA84" i="2"/>
  <c r="Y85" i="2"/>
  <c r="Z85" i="2"/>
  <c r="AA85" i="2"/>
  <c r="Y86" i="2"/>
  <c r="Z86" i="2"/>
  <c r="AA86" i="2"/>
  <c r="Y87" i="2"/>
  <c r="Z87" i="2"/>
  <c r="AA87" i="2"/>
  <c r="Y88" i="2"/>
  <c r="Z88" i="2"/>
  <c r="AA88" i="2"/>
  <c r="Y89" i="2"/>
  <c r="Z89" i="2"/>
  <c r="AA89" i="2"/>
  <c r="Y90" i="2"/>
  <c r="Z90" i="2"/>
  <c r="AA90" i="2"/>
  <c r="Y91" i="2"/>
  <c r="Z91" i="2"/>
  <c r="AA91" i="2"/>
  <c r="Y92" i="2"/>
  <c r="Z92" i="2"/>
  <c r="AA92" i="2"/>
  <c r="Y93" i="2"/>
  <c r="Z93" i="2"/>
  <c r="AA93" i="2"/>
  <c r="Y94" i="2"/>
  <c r="Z94" i="2"/>
  <c r="AA94" i="2"/>
  <c r="Y95" i="2"/>
  <c r="Z95" i="2"/>
  <c r="AA95" i="2"/>
  <c r="Y96" i="2"/>
  <c r="Z96" i="2"/>
  <c r="AA96" i="2"/>
  <c r="Y97" i="2"/>
  <c r="Z97" i="2"/>
  <c r="AA97" i="2"/>
  <c r="Y98" i="2"/>
  <c r="Z98" i="2"/>
  <c r="AA98" i="2"/>
  <c r="Y99" i="2"/>
  <c r="Z99" i="2"/>
  <c r="AA99" i="2"/>
  <c r="Y100" i="2"/>
  <c r="Z100" i="2"/>
  <c r="AA100" i="2"/>
  <c r="Y101" i="2"/>
  <c r="Z101" i="2"/>
  <c r="AA101" i="2"/>
  <c r="Y102" i="2"/>
  <c r="Z102" i="2"/>
  <c r="AA102" i="2"/>
  <c r="Y103" i="2"/>
  <c r="Z103" i="2"/>
  <c r="AA103" i="2"/>
  <c r="Y104" i="2"/>
  <c r="Z104" i="2"/>
  <c r="AA104" i="2"/>
  <c r="Y105" i="2"/>
  <c r="Z105" i="2"/>
  <c r="AA105" i="2"/>
  <c r="Y106" i="2"/>
  <c r="Z106" i="2"/>
  <c r="AA106" i="2"/>
  <c r="Y107" i="2"/>
  <c r="Z107" i="2"/>
  <c r="AA107" i="2"/>
  <c r="Y108" i="2"/>
  <c r="Z108" i="2"/>
  <c r="AA108" i="2"/>
  <c r="Y109" i="2"/>
  <c r="Z109" i="2"/>
  <c r="AA109" i="2"/>
  <c r="Y110" i="2"/>
  <c r="Z110" i="2"/>
  <c r="AA110" i="2"/>
  <c r="Y111" i="2"/>
  <c r="Z111" i="2"/>
  <c r="AA111" i="2"/>
  <c r="Y112" i="2"/>
  <c r="Z112" i="2"/>
  <c r="AA112" i="2"/>
  <c r="Y113" i="2"/>
  <c r="Z113" i="2"/>
  <c r="AA113" i="2"/>
  <c r="Y114" i="2"/>
  <c r="Z114" i="2"/>
  <c r="AA114" i="2"/>
  <c r="Y115" i="2"/>
  <c r="Z115" i="2"/>
  <c r="AA115" i="2"/>
  <c r="Y116" i="2"/>
  <c r="Z116" i="2"/>
  <c r="AA116" i="2"/>
  <c r="Y117" i="2"/>
  <c r="Z117" i="2"/>
  <c r="AA117" i="2"/>
  <c r="Y118" i="2"/>
  <c r="Z118" i="2"/>
  <c r="AA118" i="2"/>
  <c r="Y119" i="2"/>
  <c r="Z119" i="2"/>
  <c r="AA119" i="2"/>
  <c r="Y120" i="2"/>
  <c r="Z120" i="2"/>
  <c r="AA120" i="2"/>
  <c r="Y121" i="2"/>
  <c r="Z121" i="2"/>
  <c r="AA121" i="2"/>
  <c r="Y122" i="2"/>
  <c r="Z122" i="2"/>
  <c r="AA122" i="2"/>
  <c r="Y123" i="2"/>
  <c r="Z123" i="2"/>
  <c r="AA123" i="2"/>
  <c r="Y124" i="2"/>
  <c r="Z124" i="2"/>
  <c r="AA124" i="2"/>
  <c r="Y125" i="2"/>
  <c r="Z125" i="2"/>
  <c r="AA125" i="2"/>
  <c r="Y126" i="2"/>
  <c r="Z126" i="2"/>
  <c r="AA126" i="2"/>
  <c r="Y127" i="2"/>
  <c r="Z127" i="2"/>
  <c r="AA127" i="2"/>
  <c r="Y128" i="2"/>
  <c r="Z128" i="2"/>
  <c r="AA128" i="2"/>
  <c r="Y129" i="2"/>
  <c r="Z129" i="2"/>
  <c r="AA129" i="2"/>
  <c r="Y130" i="2"/>
  <c r="Z130" i="2"/>
  <c r="AA130" i="2"/>
  <c r="Y131" i="2"/>
  <c r="Z131" i="2"/>
  <c r="AA131" i="2"/>
  <c r="Y132" i="2"/>
  <c r="Z132" i="2"/>
  <c r="AA132" i="2"/>
  <c r="Y133" i="2"/>
  <c r="Z133" i="2"/>
  <c r="AA133" i="2"/>
  <c r="Y134" i="2"/>
  <c r="Z134" i="2"/>
  <c r="AA134" i="2"/>
  <c r="Y135" i="2"/>
  <c r="Z135" i="2"/>
  <c r="AA135" i="2"/>
  <c r="Y136" i="2"/>
  <c r="Z136" i="2"/>
  <c r="AA136" i="2"/>
  <c r="Y137" i="2"/>
  <c r="Z137" i="2"/>
  <c r="AA137" i="2"/>
  <c r="Y138" i="2"/>
  <c r="Z138" i="2"/>
  <c r="AA138" i="2"/>
  <c r="Y139" i="2"/>
  <c r="Z139" i="2"/>
  <c r="AA139" i="2"/>
  <c r="Y140" i="2"/>
  <c r="Z140" i="2"/>
  <c r="AA140" i="2"/>
  <c r="Y141" i="2"/>
  <c r="Z141" i="2"/>
  <c r="AA141" i="2"/>
  <c r="Y142" i="2"/>
  <c r="Z142" i="2"/>
  <c r="AA142" i="2"/>
  <c r="Y143" i="2"/>
  <c r="Z143" i="2"/>
  <c r="AA143" i="2"/>
  <c r="Y144" i="2"/>
  <c r="Z144" i="2"/>
  <c r="AA144" i="2"/>
  <c r="Y145" i="2"/>
  <c r="Z145" i="2"/>
  <c r="AA145" i="2"/>
  <c r="Y146" i="2"/>
  <c r="Z146" i="2"/>
  <c r="AA146" i="2"/>
  <c r="Y147" i="2"/>
  <c r="Z147" i="2"/>
  <c r="AA147" i="2"/>
  <c r="Y148" i="2"/>
  <c r="Z148" i="2"/>
  <c r="AA148" i="2"/>
  <c r="Y149" i="2"/>
  <c r="Z149" i="2"/>
  <c r="AA149" i="2"/>
  <c r="Y150" i="2"/>
  <c r="Z150" i="2"/>
  <c r="AA150" i="2"/>
  <c r="Y151" i="2"/>
  <c r="Z151" i="2"/>
  <c r="AA151" i="2"/>
  <c r="Y152" i="2"/>
  <c r="Z152" i="2"/>
  <c r="AA152" i="2"/>
  <c r="Y153" i="2"/>
  <c r="Z153" i="2"/>
  <c r="AA153" i="2"/>
  <c r="Y154" i="2"/>
  <c r="Z154" i="2"/>
  <c r="AA154" i="2"/>
  <c r="Y155" i="2"/>
  <c r="Z155" i="2"/>
  <c r="AA155" i="2"/>
  <c r="Y156" i="2"/>
  <c r="Z156" i="2"/>
  <c r="AA156" i="2"/>
  <c r="Y157" i="2"/>
  <c r="Z157" i="2"/>
  <c r="AA157" i="2"/>
  <c r="Y158" i="2"/>
  <c r="Z158" i="2"/>
  <c r="AA158" i="2"/>
  <c r="Y159" i="2"/>
  <c r="Z159" i="2"/>
  <c r="AA159" i="2"/>
  <c r="Y160" i="2"/>
  <c r="Z160" i="2"/>
  <c r="AA160" i="2"/>
  <c r="Y161" i="2"/>
  <c r="Z161" i="2"/>
  <c r="AA161" i="2"/>
  <c r="Y162" i="2"/>
  <c r="Z162" i="2"/>
  <c r="AA162" i="2"/>
  <c r="Y163" i="2"/>
  <c r="Z163" i="2"/>
  <c r="AA163" i="2"/>
  <c r="Y164" i="2"/>
  <c r="Z164" i="2"/>
  <c r="AA164" i="2"/>
  <c r="Y165" i="2"/>
  <c r="Z165" i="2"/>
  <c r="AA165" i="2"/>
  <c r="Y166" i="2"/>
  <c r="Z166" i="2"/>
  <c r="AA166" i="2"/>
  <c r="Y167" i="2"/>
  <c r="Z167" i="2"/>
  <c r="AA167" i="2"/>
  <c r="Y168" i="2"/>
  <c r="Z168" i="2"/>
  <c r="AA168" i="2"/>
  <c r="Y169" i="2"/>
  <c r="Z169" i="2"/>
  <c r="AA169" i="2"/>
  <c r="Y170" i="2"/>
  <c r="Z170" i="2"/>
  <c r="AA170" i="2"/>
  <c r="Y171" i="2"/>
  <c r="Z171" i="2"/>
  <c r="AA171" i="2"/>
  <c r="Y172" i="2"/>
  <c r="Z172" i="2"/>
  <c r="AA172" i="2"/>
  <c r="Y173" i="2"/>
  <c r="Z173" i="2"/>
  <c r="AA173" i="2"/>
  <c r="Y174" i="2"/>
  <c r="Z174" i="2"/>
  <c r="AA174" i="2"/>
  <c r="Y175" i="2"/>
  <c r="Z175" i="2"/>
  <c r="AA175" i="2"/>
  <c r="Y176" i="2"/>
  <c r="Z176" i="2"/>
  <c r="AA176" i="2"/>
  <c r="Y177" i="2"/>
  <c r="Z177" i="2"/>
  <c r="AA177" i="2"/>
  <c r="Y178" i="2"/>
  <c r="Z178" i="2"/>
  <c r="AA178" i="2"/>
  <c r="Y179" i="2"/>
  <c r="Z179" i="2"/>
  <c r="AA179" i="2"/>
  <c r="Y180" i="2"/>
  <c r="Z180" i="2"/>
  <c r="AA180" i="2"/>
  <c r="Y181" i="2"/>
  <c r="Z181" i="2"/>
  <c r="AA181" i="2"/>
  <c r="Y182" i="2"/>
  <c r="Z182" i="2"/>
  <c r="AA182" i="2"/>
  <c r="Y183" i="2"/>
  <c r="Z183" i="2"/>
  <c r="AA183" i="2"/>
  <c r="Y184" i="2"/>
  <c r="Z184" i="2"/>
  <c r="AA184" i="2"/>
  <c r="Y185" i="2"/>
  <c r="Z185" i="2"/>
  <c r="AA185" i="2"/>
  <c r="Y186" i="2"/>
  <c r="Z186" i="2"/>
  <c r="AA186" i="2"/>
  <c r="Y187" i="2"/>
  <c r="Z187" i="2"/>
  <c r="AA187" i="2"/>
  <c r="Y188" i="2"/>
  <c r="Z188" i="2"/>
  <c r="AA188" i="2"/>
  <c r="Y189" i="2"/>
  <c r="Z189" i="2"/>
  <c r="AA189" i="2"/>
  <c r="Y190" i="2"/>
  <c r="Z190" i="2"/>
  <c r="AA190" i="2"/>
  <c r="Y191" i="2"/>
  <c r="Z191" i="2"/>
  <c r="AA191" i="2"/>
  <c r="Y192" i="2"/>
  <c r="Z192" i="2"/>
  <c r="AA192" i="2"/>
  <c r="Y193" i="2"/>
  <c r="Z193" i="2"/>
  <c r="AA193" i="2"/>
  <c r="Y194" i="2"/>
  <c r="Z194" i="2"/>
  <c r="AA194" i="2"/>
  <c r="Y195" i="2"/>
  <c r="Z195" i="2"/>
  <c r="AA195" i="2"/>
  <c r="Y196" i="2"/>
  <c r="Z196" i="2"/>
  <c r="AA196" i="2"/>
  <c r="Y197" i="2"/>
  <c r="Z197" i="2"/>
  <c r="AA197" i="2"/>
  <c r="Y198" i="2"/>
  <c r="Z198" i="2"/>
  <c r="AA198" i="2"/>
  <c r="Y199" i="2"/>
  <c r="Z199" i="2"/>
  <c r="AA199" i="2"/>
  <c r="Y200" i="2"/>
  <c r="Z200" i="2"/>
  <c r="AA200" i="2"/>
  <c r="Y201" i="2"/>
  <c r="Z201" i="2"/>
  <c r="AA201" i="2"/>
  <c r="Y202" i="2"/>
  <c r="Z202" i="2"/>
  <c r="AA202" i="2"/>
  <c r="Y203" i="2"/>
  <c r="Z203" i="2"/>
  <c r="AA203" i="2"/>
  <c r="Y204" i="2"/>
  <c r="Z204" i="2"/>
  <c r="AA204" i="2"/>
  <c r="Y205" i="2"/>
  <c r="Z205" i="2"/>
  <c r="AA205" i="2"/>
  <c r="Y206" i="2"/>
  <c r="Z206" i="2"/>
  <c r="AA206" i="2"/>
  <c r="Y207" i="2"/>
  <c r="Z207" i="2"/>
  <c r="AA207" i="2"/>
  <c r="Y208" i="2"/>
  <c r="Z208" i="2"/>
  <c r="AA208" i="2"/>
  <c r="Y209" i="2"/>
  <c r="Z209" i="2"/>
  <c r="AA209" i="2"/>
  <c r="Y210" i="2"/>
  <c r="Z210" i="2"/>
  <c r="AA210" i="2"/>
  <c r="Y211" i="2"/>
  <c r="Z211" i="2"/>
  <c r="AA211" i="2"/>
  <c r="Y212" i="2"/>
  <c r="Z212" i="2"/>
  <c r="AA212" i="2"/>
  <c r="Y213" i="2"/>
  <c r="Z213" i="2"/>
  <c r="AA213" i="2"/>
  <c r="Y214" i="2"/>
  <c r="Z214" i="2"/>
  <c r="AA214" i="2"/>
  <c r="Y215" i="2"/>
  <c r="Z215" i="2"/>
  <c r="AA215" i="2"/>
  <c r="Y216" i="2"/>
  <c r="Z216" i="2"/>
  <c r="AA216" i="2"/>
  <c r="Y217" i="2"/>
  <c r="Z217" i="2"/>
  <c r="AA217" i="2"/>
  <c r="Y218" i="2"/>
  <c r="Z218" i="2"/>
  <c r="AA218" i="2"/>
  <c r="Y219" i="2"/>
  <c r="Z219" i="2"/>
  <c r="AA219" i="2"/>
  <c r="Y220" i="2"/>
  <c r="Z220" i="2"/>
  <c r="AA220" i="2"/>
  <c r="Y221" i="2"/>
  <c r="Z221" i="2"/>
  <c r="AA221" i="2"/>
  <c r="Y222" i="2"/>
  <c r="Z222" i="2"/>
  <c r="AA222" i="2"/>
  <c r="Y223" i="2"/>
  <c r="Z223" i="2"/>
  <c r="AA223" i="2"/>
  <c r="Y224" i="2"/>
  <c r="Z224" i="2"/>
  <c r="AA224" i="2"/>
  <c r="Y225" i="2"/>
  <c r="Z225" i="2"/>
  <c r="AA225" i="2"/>
  <c r="Y226" i="2"/>
  <c r="Z226" i="2"/>
  <c r="AA226" i="2"/>
  <c r="Y227" i="2"/>
  <c r="Z227" i="2"/>
  <c r="AA227" i="2"/>
  <c r="Y228" i="2"/>
  <c r="Z228" i="2"/>
  <c r="AA228" i="2"/>
  <c r="Y229" i="2"/>
  <c r="Z229" i="2"/>
  <c r="AA229" i="2"/>
  <c r="Y230" i="2"/>
  <c r="Z230" i="2"/>
  <c r="AA230" i="2"/>
  <c r="Y231" i="2"/>
  <c r="Z231" i="2"/>
  <c r="AA231" i="2"/>
  <c r="Y232" i="2"/>
  <c r="Z232" i="2"/>
  <c r="AA232" i="2"/>
  <c r="Y233" i="2"/>
  <c r="Z233" i="2"/>
  <c r="AA233" i="2"/>
  <c r="Y234" i="2"/>
  <c r="Z234" i="2"/>
  <c r="AA234" i="2"/>
  <c r="Y235" i="2"/>
  <c r="Z235" i="2"/>
  <c r="AA235" i="2"/>
  <c r="Y236" i="2"/>
  <c r="Z236" i="2"/>
  <c r="AA236" i="2"/>
  <c r="Y237" i="2"/>
  <c r="Z237" i="2"/>
  <c r="AA237" i="2"/>
  <c r="Y238" i="2"/>
  <c r="Z238" i="2"/>
  <c r="AA238" i="2"/>
  <c r="Y239" i="2"/>
  <c r="Z239" i="2"/>
  <c r="AA239" i="2"/>
  <c r="Y240" i="2"/>
  <c r="Z240" i="2"/>
  <c r="AA240" i="2"/>
  <c r="Y241" i="2"/>
  <c r="Z241" i="2"/>
  <c r="AA241" i="2"/>
  <c r="Y242" i="2"/>
  <c r="Z242" i="2"/>
  <c r="AA242" i="2"/>
  <c r="Y243" i="2"/>
  <c r="Z243" i="2"/>
  <c r="AA243" i="2"/>
  <c r="Y244" i="2"/>
  <c r="Z244" i="2"/>
  <c r="AA244" i="2"/>
  <c r="Y245" i="2"/>
  <c r="Z245" i="2"/>
  <c r="AA245" i="2"/>
  <c r="Y246" i="2"/>
  <c r="Z246" i="2"/>
  <c r="AA246" i="2"/>
  <c r="Y247" i="2"/>
  <c r="Z247" i="2"/>
  <c r="AA247" i="2"/>
  <c r="Y248" i="2"/>
  <c r="Z248" i="2"/>
  <c r="AA248" i="2"/>
  <c r="Y249" i="2"/>
  <c r="Z249" i="2"/>
  <c r="AA249" i="2"/>
  <c r="Y250" i="2"/>
  <c r="Z250" i="2"/>
  <c r="AA250" i="2"/>
  <c r="Y251" i="2"/>
  <c r="Z251" i="2"/>
  <c r="AA251" i="2"/>
  <c r="Y252" i="2"/>
  <c r="Z252" i="2"/>
  <c r="AA252" i="2"/>
  <c r="Y253" i="2"/>
  <c r="Z253" i="2"/>
  <c r="AA253" i="2"/>
  <c r="Y254" i="2"/>
  <c r="Z254" i="2"/>
  <c r="AA254" i="2"/>
  <c r="Y255" i="2"/>
  <c r="Z255" i="2"/>
  <c r="AA255" i="2"/>
  <c r="Y256" i="2"/>
  <c r="Z256" i="2"/>
  <c r="AA256" i="2"/>
  <c r="Y257" i="2"/>
  <c r="Z257" i="2"/>
  <c r="AA257" i="2"/>
  <c r="Y258" i="2"/>
  <c r="Z258" i="2"/>
  <c r="AA258" i="2"/>
  <c r="Y259" i="2"/>
  <c r="Z259" i="2"/>
  <c r="AA259" i="2"/>
  <c r="Y260" i="2"/>
  <c r="Z260" i="2"/>
  <c r="AA260" i="2"/>
  <c r="Y261" i="2"/>
  <c r="Z261" i="2"/>
  <c r="AA261" i="2"/>
  <c r="Y262" i="2"/>
  <c r="Z262" i="2"/>
  <c r="AA262" i="2"/>
  <c r="Y263" i="2"/>
  <c r="Z263" i="2"/>
  <c r="AA263" i="2"/>
  <c r="Y264" i="2"/>
  <c r="Z264" i="2"/>
  <c r="AA264" i="2"/>
  <c r="Y265" i="2"/>
  <c r="Z265" i="2"/>
  <c r="AA265" i="2"/>
  <c r="Y266" i="2"/>
  <c r="Z266" i="2"/>
  <c r="AA266" i="2"/>
  <c r="Y267" i="2"/>
  <c r="Z267" i="2"/>
  <c r="AA267" i="2"/>
  <c r="Y268" i="2"/>
  <c r="Z268" i="2"/>
  <c r="AA268" i="2"/>
  <c r="Y269" i="2"/>
  <c r="Z269" i="2"/>
  <c r="AA269" i="2"/>
  <c r="Y270" i="2"/>
  <c r="Z270" i="2"/>
  <c r="AA270" i="2"/>
  <c r="Y271" i="2"/>
  <c r="Z271" i="2"/>
  <c r="AA271" i="2"/>
  <c r="Y272" i="2"/>
  <c r="Z272" i="2"/>
  <c r="AA272" i="2"/>
  <c r="Y273" i="2"/>
  <c r="Z273" i="2"/>
  <c r="AA273" i="2"/>
  <c r="Y274" i="2"/>
  <c r="Z274" i="2"/>
  <c r="AA274" i="2"/>
  <c r="Y275" i="2"/>
  <c r="Z275" i="2"/>
  <c r="AA275" i="2"/>
  <c r="Y276" i="2"/>
  <c r="Z276" i="2"/>
  <c r="AA276" i="2"/>
  <c r="Y277" i="2"/>
  <c r="Z277" i="2"/>
  <c r="AA277" i="2"/>
  <c r="Y278" i="2"/>
  <c r="Z278" i="2"/>
  <c r="AA278" i="2"/>
  <c r="Y279" i="2"/>
  <c r="Z279" i="2"/>
  <c r="AA279" i="2"/>
  <c r="Y280" i="2"/>
  <c r="Z280" i="2"/>
  <c r="AA280" i="2"/>
  <c r="Y281" i="2"/>
  <c r="Z281" i="2"/>
  <c r="AA281" i="2"/>
  <c r="Y282" i="2"/>
  <c r="Z282" i="2"/>
  <c r="AA282" i="2"/>
  <c r="Y283" i="2"/>
  <c r="Z283" i="2"/>
  <c r="AA283" i="2"/>
  <c r="Y284" i="2"/>
  <c r="Z284" i="2"/>
  <c r="AA284" i="2"/>
  <c r="Y285" i="2"/>
  <c r="Z285" i="2"/>
  <c r="AA285" i="2"/>
  <c r="Y286" i="2"/>
  <c r="Z286" i="2"/>
  <c r="AA286" i="2"/>
  <c r="Y287" i="2"/>
  <c r="Z287" i="2"/>
  <c r="AA287" i="2"/>
  <c r="Y288" i="2"/>
  <c r="Z288" i="2"/>
  <c r="AA288" i="2"/>
  <c r="Y289" i="2"/>
  <c r="Z289" i="2"/>
  <c r="AA289" i="2"/>
  <c r="Y290" i="2"/>
  <c r="Z290" i="2"/>
  <c r="AA290" i="2"/>
  <c r="Y291" i="2"/>
  <c r="Z291" i="2"/>
  <c r="AA291" i="2"/>
  <c r="Y292" i="2"/>
  <c r="Z292" i="2"/>
  <c r="AA292" i="2"/>
  <c r="Y293" i="2"/>
  <c r="Z293" i="2"/>
  <c r="AA293" i="2"/>
  <c r="Y294" i="2"/>
  <c r="Z294" i="2"/>
  <c r="AA294" i="2"/>
  <c r="Y295" i="2"/>
  <c r="Z295" i="2"/>
  <c r="AA295" i="2"/>
  <c r="Y296" i="2"/>
  <c r="Z296" i="2"/>
  <c r="AA296" i="2"/>
  <c r="Y297" i="2"/>
  <c r="Z297" i="2"/>
  <c r="AA297" i="2"/>
  <c r="Y298" i="2"/>
  <c r="Z298" i="2"/>
  <c r="AA298" i="2"/>
  <c r="Y299" i="2"/>
  <c r="Z299" i="2"/>
  <c r="AA299" i="2"/>
  <c r="Y300" i="2"/>
  <c r="Z300" i="2"/>
  <c r="AA300" i="2"/>
  <c r="Y301" i="2"/>
  <c r="Z301" i="2"/>
  <c r="AA301" i="2"/>
  <c r="Y302" i="2"/>
  <c r="Z302" i="2"/>
  <c r="AA302" i="2"/>
  <c r="Y303" i="2"/>
  <c r="Z303" i="2"/>
  <c r="AA303" i="2"/>
  <c r="Y304" i="2"/>
  <c r="Z304" i="2"/>
  <c r="AA304" i="2"/>
  <c r="Y305" i="2"/>
  <c r="Z305" i="2"/>
  <c r="AA305" i="2"/>
  <c r="Y306" i="2"/>
  <c r="Z306" i="2"/>
  <c r="AA306" i="2"/>
  <c r="Y307" i="2"/>
  <c r="Z307" i="2"/>
  <c r="AA307" i="2"/>
  <c r="Y308" i="2"/>
  <c r="Z308" i="2"/>
  <c r="AA308" i="2"/>
  <c r="Y309" i="2"/>
  <c r="Z309" i="2"/>
  <c r="AA309" i="2"/>
  <c r="Y310" i="2"/>
  <c r="Z310" i="2"/>
  <c r="AA310" i="2"/>
  <c r="Y311" i="2"/>
  <c r="Z311" i="2"/>
  <c r="AA311" i="2"/>
  <c r="Y312" i="2"/>
  <c r="Z312" i="2"/>
  <c r="AA312" i="2"/>
  <c r="Y313" i="2"/>
  <c r="Z313" i="2"/>
  <c r="AA313" i="2"/>
  <c r="Y314" i="2"/>
  <c r="Z314" i="2"/>
  <c r="AA314" i="2"/>
  <c r="Y315" i="2"/>
  <c r="Z315" i="2"/>
  <c r="AA315" i="2"/>
  <c r="Y316" i="2"/>
  <c r="Z316" i="2"/>
  <c r="AA316" i="2"/>
  <c r="Y317" i="2"/>
  <c r="Z317" i="2"/>
  <c r="AA317" i="2"/>
  <c r="Y318" i="2"/>
  <c r="Z318" i="2"/>
  <c r="AA318" i="2"/>
  <c r="Y319" i="2"/>
  <c r="Z319" i="2"/>
  <c r="AA319" i="2"/>
  <c r="Y320" i="2"/>
  <c r="Z320" i="2"/>
  <c r="AA320" i="2"/>
  <c r="Y321" i="2"/>
  <c r="Z321" i="2"/>
  <c r="AA321" i="2"/>
  <c r="Y322" i="2"/>
  <c r="Z322" i="2"/>
  <c r="AA322" i="2"/>
  <c r="Y323" i="2"/>
  <c r="Z323" i="2"/>
  <c r="AA323" i="2"/>
  <c r="Y324" i="2"/>
  <c r="Z324" i="2"/>
  <c r="AA324" i="2"/>
  <c r="Y325" i="2"/>
  <c r="Z325" i="2"/>
  <c r="AA325" i="2"/>
  <c r="Y326" i="2"/>
  <c r="Z326" i="2"/>
  <c r="AA326" i="2"/>
  <c r="Y327" i="2"/>
  <c r="Z327" i="2"/>
  <c r="AA327" i="2"/>
  <c r="Y328" i="2"/>
  <c r="Z328" i="2"/>
  <c r="AA328" i="2"/>
  <c r="Y329" i="2"/>
  <c r="Z329" i="2"/>
  <c r="AA329" i="2"/>
  <c r="Y330" i="2"/>
  <c r="Z330" i="2"/>
  <c r="AA330" i="2"/>
  <c r="Y331" i="2"/>
  <c r="Z331" i="2"/>
  <c r="AA331" i="2"/>
  <c r="Y332" i="2"/>
  <c r="Z332" i="2"/>
  <c r="AA332" i="2"/>
  <c r="Y333" i="2"/>
  <c r="Z333" i="2"/>
  <c r="AA333" i="2"/>
  <c r="Y334" i="2"/>
  <c r="Z334" i="2"/>
  <c r="AA334" i="2"/>
  <c r="Y335" i="2"/>
  <c r="Z335" i="2"/>
  <c r="AA335" i="2"/>
  <c r="Y336" i="2"/>
  <c r="Z336" i="2"/>
  <c r="AA336" i="2"/>
  <c r="Y337" i="2"/>
  <c r="Z337" i="2"/>
  <c r="AA337" i="2"/>
  <c r="Y338" i="2"/>
  <c r="Z338" i="2"/>
  <c r="AA338" i="2"/>
  <c r="Y339" i="2"/>
  <c r="Z339" i="2"/>
  <c r="AA339" i="2"/>
  <c r="Y340" i="2"/>
  <c r="Z340" i="2"/>
  <c r="AA340" i="2"/>
  <c r="Y341" i="2"/>
  <c r="Z341" i="2"/>
  <c r="AA341" i="2"/>
  <c r="Y342" i="2"/>
  <c r="Z342" i="2"/>
  <c r="AA342" i="2"/>
  <c r="Y343" i="2"/>
  <c r="Z343" i="2"/>
  <c r="AA343" i="2"/>
  <c r="Y344" i="2"/>
  <c r="Z344" i="2"/>
  <c r="AA344" i="2"/>
  <c r="Y345" i="2"/>
  <c r="Z345" i="2"/>
  <c r="AA345" i="2"/>
  <c r="Y346" i="2"/>
  <c r="Z346" i="2"/>
  <c r="AA346" i="2"/>
  <c r="Y347" i="2"/>
  <c r="Z347" i="2"/>
  <c r="AA347" i="2"/>
  <c r="Y348" i="2"/>
  <c r="Z348" i="2"/>
  <c r="AA348" i="2"/>
  <c r="Y349" i="2"/>
  <c r="Z349" i="2"/>
  <c r="AA349" i="2"/>
  <c r="Y350" i="2"/>
  <c r="Z350" i="2"/>
  <c r="AA350" i="2"/>
  <c r="Y351" i="2"/>
  <c r="Z351" i="2"/>
  <c r="AA351" i="2"/>
  <c r="Y352" i="2"/>
  <c r="Z352" i="2"/>
  <c r="AA352" i="2"/>
  <c r="Y353" i="2"/>
  <c r="Z353" i="2"/>
  <c r="AA353" i="2"/>
  <c r="Y354" i="2"/>
  <c r="Z354" i="2"/>
  <c r="AA354" i="2"/>
  <c r="Y355" i="2"/>
  <c r="Z355" i="2"/>
  <c r="AA355" i="2"/>
  <c r="Y356" i="2"/>
  <c r="Z356" i="2"/>
  <c r="AA356" i="2"/>
  <c r="Y357" i="2"/>
  <c r="Z357" i="2"/>
  <c r="AA357" i="2"/>
  <c r="Y358" i="2"/>
  <c r="Z358" i="2"/>
  <c r="AA358" i="2"/>
  <c r="Y359" i="2"/>
  <c r="Z359" i="2"/>
  <c r="AA359" i="2"/>
  <c r="Y360" i="2"/>
  <c r="Z360" i="2"/>
  <c r="AA360" i="2"/>
  <c r="Y361" i="2"/>
  <c r="Z361" i="2"/>
  <c r="AA361" i="2"/>
  <c r="Y362" i="2"/>
  <c r="Z362" i="2"/>
  <c r="AA362" i="2"/>
  <c r="Y363" i="2"/>
  <c r="Z363" i="2"/>
  <c r="AA363" i="2"/>
  <c r="Y364" i="2"/>
  <c r="Z364" i="2"/>
  <c r="AA364" i="2"/>
  <c r="Y365" i="2"/>
  <c r="Z365" i="2"/>
  <c r="AA365" i="2"/>
  <c r="Y366" i="2"/>
  <c r="Z366" i="2"/>
  <c r="AA366" i="2"/>
  <c r="Y367" i="2"/>
  <c r="Z367" i="2"/>
  <c r="AA367" i="2"/>
  <c r="Y368" i="2"/>
  <c r="Z368" i="2"/>
  <c r="AA368" i="2"/>
  <c r="Y369" i="2"/>
  <c r="Z369" i="2"/>
  <c r="AA369" i="2"/>
  <c r="Y370" i="2"/>
  <c r="Z370" i="2"/>
  <c r="AA370" i="2"/>
  <c r="Y371" i="2"/>
  <c r="Z371" i="2"/>
  <c r="AA371" i="2"/>
  <c r="Y372" i="2"/>
  <c r="Z372" i="2"/>
  <c r="AA372" i="2"/>
  <c r="Y373" i="2"/>
  <c r="Z373" i="2"/>
  <c r="AA373" i="2"/>
  <c r="Y374" i="2"/>
  <c r="Z374" i="2"/>
  <c r="AA374" i="2"/>
  <c r="Y375" i="2"/>
  <c r="Z375" i="2"/>
  <c r="AA375" i="2"/>
  <c r="Y376" i="2"/>
  <c r="Z376" i="2"/>
  <c r="AA376" i="2"/>
  <c r="Y377" i="2"/>
  <c r="Z377" i="2"/>
  <c r="AA377" i="2"/>
  <c r="Y378" i="2"/>
  <c r="Z378" i="2"/>
  <c r="AA378" i="2"/>
  <c r="Y379" i="2"/>
  <c r="Z379" i="2"/>
  <c r="AA379" i="2"/>
  <c r="Y380" i="2"/>
  <c r="Z380" i="2"/>
  <c r="AA380" i="2"/>
  <c r="Y381" i="2"/>
  <c r="Z381" i="2"/>
  <c r="AA381" i="2"/>
  <c r="Y382" i="2"/>
  <c r="Z382" i="2"/>
  <c r="AA382" i="2"/>
  <c r="Y383" i="2"/>
  <c r="Z383" i="2"/>
  <c r="AA383" i="2"/>
  <c r="Y384" i="2"/>
  <c r="Z384" i="2"/>
  <c r="AA384" i="2"/>
  <c r="Y385" i="2"/>
  <c r="Z385" i="2"/>
  <c r="AA385" i="2"/>
  <c r="Y386" i="2"/>
  <c r="Z386" i="2"/>
  <c r="AA386" i="2"/>
  <c r="Y387" i="2"/>
  <c r="Z387" i="2"/>
  <c r="AA387" i="2"/>
  <c r="Y388" i="2"/>
  <c r="Z388" i="2"/>
  <c r="AA388" i="2"/>
  <c r="Y389" i="2"/>
  <c r="Z389" i="2"/>
  <c r="AA389" i="2"/>
  <c r="Y390" i="2"/>
  <c r="Z390" i="2"/>
  <c r="AA390" i="2"/>
  <c r="Y391" i="2"/>
  <c r="Z391" i="2"/>
  <c r="AA391" i="2"/>
  <c r="Y392" i="2"/>
  <c r="Z392" i="2"/>
  <c r="AA392" i="2"/>
  <c r="Y393" i="2"/>
  <c r="Z393" i="2"/>
  <c r="AA393" i="2"/>
  <c r="Y394" i="2"/>
  <c r="Z394" i="2"/>
  <c r="AA394" i="2"/>
  <c r="Y395" i="2"/>
  <c r="Z395" i="2"/>
  <c r="AA395" i="2"/>
  <c r="Y396" i="2"/>
  <c r="Z396" i="2"/>
  <c r="AA396" i="2"/>
  <c r="Y397" i="2"/>
  <c r="Z397" i="2"/>
  <c r="AA397" i="2"/>
  <c r="Y398" i="2"/>
  <c r="Z398" i="2"/>
  <c r="AA398" i="2"/>
  <c r="Y399" i="2"/>
  <c r="Z399" i="2"/>
  <c r="AA399" i="2"/>
  <c r="Y400" i="2"/>
  <c r="Z400" i="2"/>
  <c r="AA400" i="2"/>
  <c r="Y401" i="2"/>
  <c r="Z401" i="2"/>
  <c r="AA401" i="2"/>
  <c r="Y402" i="2"/>
  <c r="Z402" i="2"/>
  <c r="AA402" i="2"/>
  <c r="Y403" i="2"/>
  <c r="Z403" i="2"/>
  <c r="AA403" i="2"/>
  <c r="Y404" i="2"/>
  <c r="Z404" i="2"/>
  <c r="AA404" i="2"/>
  <c r="Y405" i="2"/>
  <c r="Z405" i="2"/>
  <c r="AA405" i="2"/>
  <c r="Y406" i="2"/>
  <c r="Z406" i="2"/>
  <c r="AA406" i="2"/>
  <c r="Y407" i="2"/>
  <c r="Z407" i="2"/>
  <c r="AA407" i="2"/>
  <c r="Y408" i="2"/>
  <c r="Z408" i="2"/>
  <c r="AA408" i="2"/>
  <c r="Y409" i="2"/>
  <c r="Z409" i="2"/>
  <c r="AA409" i="2"/>
  <c r="Y410" i="2"/>
  <c r="Z410" i="2"/>
  <c r="AA410" i="2"/>
  <c r="Y411" i="2"/>
  <c r="Z411" i="2"/>
  <c r="AA411" i="2"/>
  <c r="Y412" i="2"/>
  <c r="Z412" i="2"/>
  <c r="AA412" i="2"/>
  <c r="Y413" i="2"/>
  <c r="Z413" i="2"/>
  <c r="AA413" i="2"/>
  <c r="Y414" i="2"/>
  <c r="Z414" i="2"/>
  <c r="AA414" i="2"/>
  <c r="Y415" i="2"/>
  <c r="Z415" i="2"/>
  <c r="AA415" i="2"/>
  <c r="Y416" i="2"/>
  <c r="Z416" i="2"/>
  <c r="AA416" i="2"/>
  <c r="Y417" i="2"/>
  <c r="Z417" i="2"/>
  <c r="AA417" i="2"/>
  <c r="Y418" i="2"/>
  <c r="Z418" i="2"/>
  <c r="AA418" i="2"/>
  <c r="Y419" i="2"/>
  <c r="Z419" i="2"/>
  <c r="AA419" i="2"/>
  <c r="Y420" i="2"/>
  <c r="Z420" i="2"/>
  <c r="AA420" i="2"/>
  <c r="Y421" i="2"/>
  <c r="Z421" i="2"/>
  <c r="AA421" i="2"/>
  <c r="Y422" i="2"/>
  <c r="Z422" i="2"/>
  <c r="AA422" i="2"/>
  <c r="Y423" i="2"/>
  <c r="Z423" i="2"/>
  <c r="AA423" i="2"/>
  <c r="Y424" i="2"/>
  <c r="Z424" i="2"/>
  <c r="AA424" i="2"/>
  <c r="Y425" i="2"/>
  <c r="Z425" i="2"/>
  <c r="AA425" i="2"/>
  <c r="Y426" i="2"/>
  <c r="Z426" i="2"/>
  <c r="AA426" i="2"/>
  <c r="Y427" i="2"/>
  <c r="Z427" i="2"/>
  <c r="AA427" i="2"/>
  <c r="Y428" i="2"/>
  <c r="Z428" i="2"/>
  <c r="AA428" i="2"/>
  <c r="Y429" i="2"/>
  <c r="Z429" i="2"/>
  <c r="AA429" i="2"/>
  <c r="Y430" i="2"/>
  <c r="Z430" i="2"/>
  <c r="AA430" i="2"/>
  <c r="Y431" i="2"/>
  <c r="Z431" i="2"/>
  <c r="AA431" i="2"/>
  <c r="Y432" i="2"/>
  <c r="Z432" i="2"/>
  <c r="AA432" i="2"/>
  <c r="Y433" i="2"/>
  <c r="Z433" i="2"/>
  <c r="AA433" i="2"/>
  <c r="Y434" i="2"/>
  <c r="Z434" i="2"/>
  <c r="AA434" i="2"/>
  <c r="Y435" i="2"/>
  <c r="Z435" i="2"/>
  <c r="AA435" i="2"/>
  <c r="Y436" i="2"/>
  <c r="Z436" i="2"/>
  <c r="AA436" i="2"/>
  <c r="Y437" i="2"/>
  <c r="Z437" i="2"/>
  <c r="AA437" i="2"/>
  <c r="Y438" i="2"/>
  <c r="Z438" i="2"/>
  <c r="AA438" i="2"/>
  <c r="Y439" i="2"/>
  <c r="Z439" i="2"/>
  <c r="AA439" i="2"/>
  <c r="Y440" i="2"/>
  <c r="Z440" i="2"/>
  <c r="AA440" i="2"/>
  <c r="Y441" i="2"/>
  <c r="Z441" i="2"/>
  <c r="AA441" i="2"/>
  <c r="Y442" i="2"/>
  <c r="Z442" i="2"/>
  <c r="AA442" i="2"/>
  <c r="Y443" i="2"/>
  <c r="Z443" i="2"/>
  <c r="AA443" i="2"/>
  <c r="Y444" i="2"/>
  <c r="Z444" i="2"/>
  <c r="AA444" i="2"/>
  <c r="Y445" i="2"/>
  <c r="Z445" i="2"/>
  <c r="AA445" i="2"/>
  <c r="Y446" i="2"/>
  <c r="Z446" i="2"/>
  <c r="AA446" i="2"/>
  <c r="Y447" i="2"/>
  <c r="Z447" i="2"/>
  <c r="AA447" i="2"/>
  <c r="Y448" i="2"/>
  <c r="Z448" i="2"/>
  <c r="AA448" i="2"/>
  <c r="Y449" i="2"/>
  <c r="Z449" i="2"/>
  <c r="AA449" i="2"/>
  <c r="Y450" i="2"/>
  <c r="Z450" i="2"/>
  <c r="AA450" i="2"/>
  <c r="Y451" i="2"/>
  <c r="Z451" i="2"/>
  <c r="AA451" i="2"/>
  <c r="Y452" i="2"/>
  <c r="Z452" i="2"/>
  <c r="AA452" i="2"/>
  <c r="Y453" i="2"/>
  <c r="Z453" i="2"/>
  <c r="AA453" i="2"/>
  <c r="Y454" i="2"/>
  <c r="Z454" i="2"/>
  <c r="AA454" i="2"/>
  <c r="Y455" i="2"/>
  <c r="Z455" i="2"/>
  <c r="AA455" i="2"/>
  <c r="Y456" i="2"/>
  <c r="Z456" i="2"/>
  <c r="AA456" i="2"/>
  <c r="Y457" i="2"/>
  <c r="Z457" i="2"/>
  <c r="AA457" i="2"/>
  <c r="Y458" i="2"/>
  <c r="Z458" i="2"/>
  <c r="AA458" i="2"/>
  <c r="Y459" i="2"/>
  <c r="Z459" i="2"/>
  <c r="AA459" i="2"/>
  <c r="Y460" i="2"/>
  <c r="Z460" i="2"/>
  <c r="AA460" i="2"/>
  <c r="Y461" i="2"/>
  <c r="Z461" i="2"/>
  <c r="AA461" i="2"/>
  <c r="Y462" i="2"/>
  <c r="Z462" i="2"/>
  <c r="AA462" i="2"/>
  <c r="Y463" i="2"/>
  <c r="Z463" i="2"/>
  <c r="AA463" i="2"/>
  <c r="Y464" i="2"/>
  <c r="Z464" i="2"/>
  <c r="AA464" i="2"/>
  <c r="Y465" i="2"/>
  <c r="Z465" i="2"/>
  <c r="AA465" i="2"/>
  <c r="Y466" i="2"/>
  <c r="Z466" i="2"/>
  <c r="AA466" i="2"/>
  <c r="Y467" i="2"/>
  <c r="Z467" i="2"/>
  <c r="AA467" i="2"/>
  <c r="Y468" i="2"/>
  <c r="Z468" i="2"/>
  <c r="AA468" i="2"/>
  <c r="Y469" i="2"/>
  <c r="Z469" i="2"/>
  <c r="AA469" i="2"/>
  <c r="Y470" i="2"/>
  <c r="Z470" i="2"/>
  <c r="AA470" i="2"/>
  <c r="Y471" i="2"/>
  <c r="Z471" i="2"/>
  <c r="AA471" i="2"/>
  <c r="Y472" i="2"/>
  <c r="Z472" i="2"/>
  <c r="AA472" i="2"/>
  <c r="Y473" i="2"/>
  <c r="Z473" i="2"/>
  <c r="AA473" i="2"/>
  <c r="Y474" i="2"/>
  <c r="Z474" i="2"/>
  <c r="AA474" i="2"/>
  <c r="Y475" i="2"/>
  <c r="Z475" i="2"/>
  <c r="AA475" i="2"/>
  <c r="Y476" i="2"/>
  <c r="Z476" i="2"/>
  <c r="AA476" i="2"/>
  <c r="Y477" i="2"/>
  <c r="Z477" i="2"/>
  <c r="AA477" i="2"/>
  <c r="Y478" i="2"/>
  <c r="Z478" i="2"/>
  <c r="AA478" i="2"/>
  <c r="Y479" i="2"/>
  <c r="Z479" i="2"/>
  <c r="AA479" i="2"/>
  <c r="Y480" i="2"/>
  <c r="Z480" i="2"/>
  <c r="AA480" i="2"/>
  <c r="Y481" i="2"/>
  <c r="Z481" i="2"/>
  <c r="AA481" i="2"/>
  <c r="Y482" i="2"/>
  <c r="Z482" i="2"/>
  <c r="AA482" i="2"/>
  <c r="Y483" i="2"/>
  <c r="Z483" i="2"/>
  <c r="AA483" i="2"/>
  <c r="Y484" i="2"/>
  <c r="Z484" i="2"/>
  <c r="AA484" i="2"/>
  <c r="Y485" i="2"/>
  <c r="Z485" i="2"/>
  <c r="AA485" i="2"/>
  <c r="Y486" i="2"/>
  <c r="Z486" i="2"/>
  <c r="AA486" i="2"/>
  <c r="Y487" i="2"/>
  <c r="Z487" i="2"/>
  <c r="AA487" i="2"/>
  <c r="Y488" i="2"/>
  <c r="Z488" i="2"/>
  <c r="AA488" i="2"/>
  <c r="Y489" i="2"/>
  <c r="Z489" i="2"/>
  <c r="AA489" i="2"/>
  <c r="Y490" i="2"/>
  <c r="Z490" i="2"/>
  <c r="AA490" i="2"/>
  <c r="Y491" i="2"/>
  <c r="Z491" i="2"/>
  <c r="AA491" i="2"/>
  <c r="Y492" i="2"/>
  <c r="Z492" i="2"/>
  <c r="AA492" i="2"/>
  <c r="Y493" i="2"/>
  <c r="Z493" i="2"/>
  <c r="AA493" i="2"/>
  <c r="Y494" i="2"/>
  <c r="Z494" i="2"/>
  <c r="AA494" i="2"/>
  <c r="Y495" i="2"/>
  <c r="Z495" i="2"/>
  <c r="AA495" i="2"/>
  <c r="Y496" i="2"/>
  <c r="Z496" i="2"/>
  <c r="AA496" i="2"/>
  <c r="Y497" i="2"/>
  <c r="Z497" i="2"/>
  <c r="AA497" i="2"/>
  <c r="Y498" i="2"/>
  <c r="Z498" i="2"/>
  <c r="AA498" i="2"/>
  <c r="Y499" i="2"/>
  <c r="Z499" i="2"/>
  <c r="AA499" i="2"/>
  <c r="Y500" i="2"/>
  <c r="Z500" i="2"/>
  <c r="AA500" i="2"/>
  <c r="Y501" i="2"/>
  <c r="Z501" i="2"/>
  <c r="AA501" i="2"/>
  <c r="Y502" i="2"/>
  <c r="Z502" i="2"/>
  <c r="AA502" i="2"/>
  <c r="Y503" i="2"/>
  <c r="Z503" i="2"/>
  <c r="AA503" i="2"/>
  <c r="Y504" i="2"/>
  <c r="Z504" i="2"/>
  <c r="AA504" i="2"/>
  <c r="Y505" i="2"/>
  <c r="Z505" i="2"/>
  <c r="AA505" i="2"/>
  <c r="Y506" i="2"/>
  <c r="Z506" i="2"/>
  <c r="AA506" i="2"/>
  <c r="Y507" i="2"/>
  <c r="Z507" i="2"/>
  <c r="AA507" i="2"/>
  <c r="Y508" i="2"/>
  <c r="Z508" i="2"/>
  <c r="AA508" i="2"/>
  <c r="Y509" i="2"/>
  <c r="Z509" i="2"/>
  <c r="AA509" i="2"/>
  <c r="Y510" i="2"/>
  <c r="Z510" i="2"/>
  <c r="AA510" i="2"/>
  <c r="Y511" i="2"/>
  <c r="Z511" i="2"/>
  <c r="AA511" i="2"/>
  <c r="Y512" i="2"/>
  <c r="Z512" i="2"/>
  <c r="AA512" i="2"/>
  <c r="Y513" i="2"/>
  <c r="Z513" i="2"/>
  <c r="AA513" i="2"/>
  <c r="Y514" i="2"/>
  <c r="Z514" i="2"/>
  <c r="AA514" i="2"/>
  <c r="Y515" i="2"/>
  <c r="Z515" i="2"/>
  <c r="AA515" i="2"/>
  <c r="Y516" i="2"/>
  <c r="Z516" i="2"/>
  <c r="AA516" i="2"/>
  <c r="Y517" i="2"/>
  <c r="Z517" i="2"/>
  <c r="AA517" i="2"/>
  <c r="Y518" i="2"/>
  <c r="Z518" i="2"/>
  <c r="AA518" i="2"/>
  <c r="Y519" i="2"/>
  <c r="Z519" i="2"/>
  <c r="AA519" i="2"/>
  <c r="Y520" i="2"/>
  <c r="Z520" i="2"/>
  <c r="AA520" i="2"/>
  <c r="Y521" i="2"/>
  <c r="Z521" i="2"/>
  <c r="AA521" i="2"/>
  <c r="Y522" i="2"/>
  <c r="Z522" i="2"/>
  <c r="AA522" i="2"/>
  <c r="Y523" i="2"/>
  <c r="Z523" i="2"/>
  <c r="AA523" i="2"/>
  <c r="Y524" i="2"/>
  <c r="Z524" i="2"/>
  <c r="AA524" i="2"/>
  <c r="Y525" i="2"/>
  <c r="Z525" i="2"/>
  <c r="AA525" i="2"/>
  <c r="Y526" i="2"/>
  <c r="Z526" i="2"/>
  <c r="AA526" i="2"/>
  <c r="Y527" i="2"/>
  <c r="Z527" i="2"/>
  <c r="AA527" i="2"/>
  <c r="Y528" i="2"/>
  <c r="Z528" i="2"/>
  <c r="AA528" i="2"/>
  <c r="Y529" i="2"/>
  <c r="Z529" i="2"/>
  <c r="AA529" i="2"/>
  <c r="Y530" i="2"/>
  <c r="Z530" i="2"/>
  <c r="AA530" i="2"/>
  <c r="Y531" i="2"/>
  <c r="Z531" i="2"/>
  <c r="AA531" i="2"/>
  <c r="Y532" i="2"/>
  <c r="Z532" i="2"/>
  <c r="AA532" i="2"/>
  <c r="Y533" i="2"/>
  <c r="Z533" i="2"/>
  <c r="AA533" i="2"/>
  <c r="Y534" i="2"/>
  <c r="Z534" i="2"/>
  <c r="AA534" i="2"/>
  <c r="Y535" i="2"/>
  <c r="Z535" i="2"/>
  <c r="AA535" i="2"/>
  <c r="Y536" i="2"/>
  <c r="Z536" i="2"/>
  <c r="AA536" i="2"/>
  <c r="Y537" i="2"/>
  <c r="Z537" i="2"/>
  <c r="AA537" i="2"/>
  <c r="Y538" i="2"/>
  <c r="Z538" i="2"/>
  <c r="AA538" i="2"/>
  <c r="Y539" i="2"/>
  <c r="Z539" i="2"/>
  <c r="AA539" i="2"/>
  <c r="Y540" i="2"/>
  <c r="Z540" i="2"/>
  <c r="AA540" i="2"/>
  <c r="Y541" i="2"/>
  <c r="Z541" i="2"/>
  <c r="AA541" i="2"/>
  <c r="Y542" i="2"/>
  <c r="Z542" i="2"/>
  <c r="AA542" i="2"/>
  <c r="Y543" i="2"/>
  <c r="Z543" i="2"/>
  <c r="AA543" i="2"/>
  <c r="Y544" i="2"/>
  <c r="Z544" i="2"/>
  <c r="AA544" i="2"/>
  <c r="Y545" i="2"/>
  <c r="Z545" i="2"/>
  <c r="AA545" i="2"/>
  <c r="Y546" i="2"/>
  <c r="Z546" i="2"/>
  <c r="AA546" i="2"/>
  <c r="Y547" i="2"/>
  <c r="Z547" i="2"/>
  <c r="AA547" i="2"/>
  <c r="Y548" i="2"/>
  <c r="Z548" i="2"/>
  <c r="AA548" i="2"/>
  <c r="Y549" i="2"/>
  <c r="Z549" i="2"/>
  <c r="AA549" i="2"/>
  <c r="Y550" i="2"/>
  <c r="Z550" i="2"/>
  <c r="AA550" i="2"/>
  <c r="Y551" i="2"/>
  <c r="Z551" i="2"/>
  <c r="AA551" i="2"/>
  <c r="Y552" i="2"/>
  <c r="Z552" i="2"/>
  <c r="AA552" i="2"/>
  <c r="Y553" i="2"/>
  <c r="Z553" i="2"/>
  <c r="AA553" i="2"/>
  <c r="Y554" i="2"/>
  <c r="Z554" i="2"/>
  <c r="AA554" i="2"/>
  <c r="Y555" i="2"/>
  <c r="Z555" i="2"/>
  <c r="AA555" i="2"/>
  <c r="Y556" i="2"/>
  <c r="Z556" i="2"/>
  <c r="AA556" i="2"/>
  <c r="Y557" i="2"/>
  <c r="Z557" i="2"/>
  <c r="AA557" i="2"/>
  <c r="Y558" i="2"/>
  <c r="Z558" i="2"/>
  <c r="AA558" i="2"/>
  <c r="Y559" i="2"/>
  <c r="Z559" i="2"/>
  <c r="AA559" i="2"/>
  <c r="Y560" i="2"/>
  <c r="Z560" i="2"/>
  <c r="AA560" i="2"/>
  <c r="Y561" i="2"/>
  <c r="Z561" i="2"/>
  <c r="AA561" i="2"/>
  <c r="Y562" i="2"/>
  <c r="Z562" i="2"/>
  <c r="AA562" i="2"/>
  <c r="Y563" i="2"/>
  <c r="Z563" i="2"/>
  <c r="AA563" i="2"/>
  <c r="Y564" i="2"/>
  <c r="Z564" i="2"/>
  <c r="AA564" i="2"/>
  <c r="Y565" i="2"/>
  <c r="Z565" i="2"/>
  <c r="AA565" i="2"/>
  <c r="Y566" i="2"/>
  <c r="Z566" i="2"/>
  <c r="AA566" i="2"/>
  <c r="Y567" i="2"/>
  <c r="Z567" i="2"/>
  <c r="AA567" i="2"/>
  <c r="Y568" i="2"/>
  <c r="Z568" i="2"/>
  <c r="AA568" i="2"/>
  <c r="Y569" i="2"/>
  <c r="Z569" i="2"/>
  <c r="AA569" i="2"/>
  <c r="Y570" i="2"/>
  <c r="Z570" i="2"/>
  <c r="AA570" i="2"/>
  <c r="Y571" i="2"/>
  <c r="Z571" i="2"/>
  <c r="AA571" i="2"/>
  <c r="Y572" i="2"/>
  <c r="Z572" i="2"/>
  <c r="AA572" i="2"/>
  <c r="Y573" i="2"/>
  <c r="Z573" i="2"/>
  <c r="AA573" i="2"/>
  <c r="Y574" i="2"/>
  <c r="Z574" i="2"/>
  <c r="AA574" i="2"/>
  <c r="Y575" i="2"/>
  <c r="Z575" i="2"/>
  <c r="AA575" i="2"/>
  <c r="Y576" i="2"/>
  <c r="Z576" i="2"/>
  <c r="AA576" i="2"/>
  <c r="Y577" i="2"/>
  <c r="Z577" i="2"/>
  <c r="AA577" i="2"/>
  <c r="Y578" i="2"/>
  <c r="Z578" i="2"/>
  <c r="AA578" i="2"/>
  <c r="Y579" i="2"/>
  <c r="Z579" i="2"/>
  <c r="AA579" i="2"/>
  <c r="Y580" i="2"/>
  <c r="Z580" i="2"/>
  <c r="AA580" i="2"/>
  <c r="Y581" i="2"/>
  <c r="Z581" i="2"/>
  <c r="AA581" i="2"/>
  <c r="Y582" i="2"/>
  <c r="Z582" i="2"/>
  <c r="AA582" i="2"/>
  <c r="Y583" i="2"/>
  <c r="Z583" i="2"/>
  <c r="AA583" i="2"/>
  <c r="Y584" i="2"/>
  <c r="Z584" i="2"/>
  <c r="AA584" i="2"/>
  <c r="Y585" i="2"/>
  <c r="Z585" i="2"/>
  <c r="AA585" i="2"/>
  <c r="Y586" i="2"/>
  <c r="Z586" i="2"/>
  <c r="AA586" i="2"/>
  <c r="Y587" i="2"/>
  <c r="Z587" i="2"/>
  <c r="AA587" i="2"/>
  <c r="Y588" i="2"/>
  <c r="Z588" i="2"/>
  <c r="AA588" i="2"/>
  <c r="Y589" i="2"/>
  <c r="Z589" i="2"/>
  <c r="AA589" i="2"/>
  <c r="Y590" i="2"/>
  <c r="Z590" i="2"/>
  <c r="AA590" i="2"/>
  <c r="Y591" i="2"/>
  <c r="Z591" i="2"/>
  <c r="AA591" i="2"/>
  <c r="Y592" i="2"/>
  <c r="Z592" i="2"/>
  <c r="AA592" i="2"/>
  <c r="Y593" i="2"/>
  <c r="Z593" i="2"/>
  <c r="AA593" i="2"/>
  <c r="Y594" i="2"/>
  <c r="Z594" i="2"/>
  <c r="AA594" i="2"/>
  <c r="Y595" i="2"/>
  <c r="Z595" i="2"/>
  <c r="AA595" i="2"/>
  <c r="Y596" i="2"/>
  <c r="Z596" i="2"/>
  <c r="AA596" i="2"/>
  <c r="Y597" i="2"/>
  <c r="Z597" i="2"/>
  <c r="AA597" i="2"/>
  <c r="Y598" i="2"/>
  <c r="Z598" i="2"/>
  <c r="AA598" i="2"/>
  <c r="Y599" i="2"/>
  <c r="Z599" i="2"/>
  <c r="AA599" i="2"/>
  <c r="Y600" i="2"/>
  <c r="Z600" i="2"/>
  <c r="AA600" i="2"/>
  <c r="Y601" i="2"/>
  <c r="Z601" i="2"/>
  <c r="AA601" i="2"/>
  <c r="Y602" i="2"/>
  <c r="Z602" i="2"/>
  <c r="AA602" i="2"/>
  <c r="Y603" i="2"/>
  <c r="Z603" i="2"/>
  <c r="AA603" i="2"/>
  <c r="Y604" i="2"/>
  <c r="Z604" i="2"/>
  <c r="AA604" i="2"/>
  <c r="Y605" i="2"/>
  <c r="Z605" i="2"/>
  <c r="AA605" i="2"/>
  <c r="Y606" i="2"/>
  <c r="Z606" i="2"/>
  <c r="AA606" i="2"/>
  <c r="Y607" i="2"/>
  <c r="Z607" i="2"/>
  <c r="AA607" i="2"/>
  <c r="Y608" i="2"/>
  <c r="Z608" i="2"/>
  <c r="AA608" i="2"/>
  <c r="Y609" i="2"/>
  <c r="Z609" i="2"/>
  <c r="AA609" i="2"/>
  <c r="Y610" i="2"/>
  <c r="Z610" i="2"/>
  <c r="AA610" i="2"/>
  <c r="Y611" i="2"/>
  <c r="Z611" i="2"/>
  <c r="AA611" i="2"/>
  <c r="Y612" i="2"/>
  <c r="Z612" i="2"/>
  <c r="AA612" i="2"/>
  <c r="Y613" i="2"/>
  <c r="Z613" i="2"/>
  <c r="AA613" i="2"/>
  <c r="Y614" i="2"/>
  <c r="Z614" i="2"/>
  <c r="AA614" i="2"/>
  <c r="Y615" i="2"/>
  <c r="Z615" i="2"/>
  <c r="AA615" i="2"/>
  <c r="Y616" i="2"/>
  <c r="Z616" i="2"/>
  <c r="AA616" i="2"/>
  <c r="Y617" i="2"/>
  <c r="Z617" i="2"/>
  <c r="AA617" i="2"/>
  <c r="Y618" i="2"/>
  <c r="Z618" i="2"/>
  <c r="AA618" i="2"/>
  <c r="Y619" i="2"/>
  <c r="Z619" i="2"/>
  <c r="AA619" i="2"/>
  <c r="Y620" i="2"/>
  <c r="Z620" i="2"/>
  <c r="AA620" i="2"/>
  <c r="Y621" i="2"/>
  <c r="Z621" i="2"/>
  <c r="AA621" i="2"/>
  <c r="Y622" i="2"/>
  <c r="Z622" i="2"/>
  <c r="AA622" i="2"/>
  <c r="Y623" i="2"/>
  <c r="Z623" i="2"/>
  <c r="AA623" i="2"/>
  <c r="Y624" i="2"/>
  <c r="Z624" i="2"/>
  <c r="AA624" i="2"/>
  <c r="Y625" i="2"/>
  <c r="Z625" i="2"/>
  <c r="AA625" i="2"/>
  <c r="Y626" i="2"/>
  <c r="Z626" i="2"/>
  <c r="AA626" i="2"/>
  <c r="Y627" i="2"/>
  <c r="Z627" i="2"/>
  <c r="AA627" i="2"/>
  <c r="Y628" i="2"/>
  <c r="Z628" i="2"/>
  <c r="AA628" i="2"/>
  <c r="Y629" i="2"/>
  <c r="Z629" i="2"/>
  <c r="AA629" i="2"/>
  <c r="Y630" i="2"/>
  <c r="Z630" i="2"/>
  <c r="AA630" i="2"/>
  <c r="Y631" i="2"/>
  <c r="Z631" i="2"/>
  <c r="AA631" i="2"/>
  <c r="Y632" i="2"/>
  <c r="Z632" i="2"/>
  <c r="AA632" i="2"/>
  <c r="Y633" i="2"/>
  <c r="Z633" i="2"/>
  <c r="AA633" i="2"/>
  <c r="Y634" i="2"/>
  <c r="Z634" i="2"/>
  <c r="AA634" i="2"/>
  <c r="Y635" i="2"/>
  <c r="Z635" i="2"/>
  <c r="AA635" i="2"/>
  <c r="Y636" i="2"/>
  <c r="Z636" i="2"/>
  <c r="AA636" i="2"/>
  <c r="Y637" i="2"/>
  <c r="Z637" i="2"/>
  <c r="AA637" i="2"/>
  <c r="Y638" i="2"/>
  <c r="Z638" i="2"/>
  <c r="AA638" i="2"/>
  <c r="Y639" i="2"/>
  <c r="Z639" i="2"/>
  <c r="AA639" i="2"/>
  <c r="Y640" i="2"/>
  <c r="Z640" i="2"/>
  <c r="AA640" i="2"/>
  <c r="Y641" i="2"/>
  <c r="Z641" i="2"/>
  <c r="AA641" i="2"/>
  <c r="Y642" i="2"/>
  <c r="Z642" i="2"/>
  <c r="AA642" i="2"/>
  <c r="Y643" i="2"/>
  <c r="Z643" i="2"/>
  <c r="AA643" i="2"/>
  <c r="Y644" i="2"/>
  <c r="Z644" i="2"/>
  <c r="AA644" i="2"/>
  <c r="Y645" i="2"/>
  <c r="Z645" i="2"/>
  <c r="AA645" i="2"/>
  <c r="Y646" i="2"/>
  <c r="Z646" i="2"/>
  <c r="AA646" i="2"/>
  <c r="Y647" i="2"/>
  <c r="Z647" i="2"/>
  <c r="AA647" i="2"/>
  <c r="Y648" i="2"/>
  <c r="Z648" i="2"/>
  <c r="AA648" i="2"/>
  <c r="Y649" i="2"/>
  <c r="Z649" i="2"/>
  <c r="AA649" i="2"/>
  <c r="Y650" i="2"/>
  <c r="Z650" i="2"/>
  <c r="AA650" i="2"/>
  <c r="Y651" i="2"/>
  <c r="Z651" i="2"/>
  <c r="AA651" i="2"/>
  <c r="Y652" i="2"/>
  <c r="Z652" i="2"/>
  <c r="AA652" i="2"/>
  <c r="Y653" i="2"/>
  <c r="Z653" i="2"/>
  <c r="AA653" i="2"/>
  <c r="Y654" i="2"/>
  <c r="Z654" i="2"/>
  <c r="AA654" i="2"/>
  <c r="Y655" i="2"/>
  <c r="Z655" i="2"/>
  <c r="AA655" i="2"/>
  <c r="Y656" i="2"/>
  <c r="Z656" i="2"/>
  <c r="AA656" i="2"/>
  <c r="Y657" i="2"/>
  <c r="Z657" i="2"/>
  <c r="AA657" i="2"/>
  <c r="Y658" i="2"/>
  <c r="Z658" i="2"/>
  <c r="AA658" i="2"/>
  <c r="Y659" i="2"/>
  <c r="Z659" i="2"/>
  <c r="AA659" i="2"/>
  <c r="Y660" i="2"/>
  <c r="Z660" i="2"/>
  <c r="AA660" i="2"/>
  <c r="Y661" i="2"/>
  <c r="Z661" i="2"/>
  <c r="AA661" i="2"/>
  <c r="Y662" i="2"/>
  <c r="Z662" i="2"/>
  <c r="AA662" i="2"/>
  <c r="Y663" i="2"/>
  <c r="Z663" i="2"/>
  <c r="AA663" i="2"/>
  <c r="Y664" i="2"/>
  <c r="Z664" i="2"/>
  <c r="AA664" i="2"/>
  <c r="Y665" i="2"/>
  <c r="Z665" i="2"/>
  <c r="AA665" i="2"/>
  <c r="Y666" i="2"/>
  <c r="Z666" i="2"/>
  <c r="AA666" i="2"/>
  <c r="Y667" i="2"/>
  <c r="Z667" i="2"/>
  <c r="AA667" i="2"/>
  <c r="Y668" i="2"/>
  <c r="Z668" i="2"/>
  <c r="AA668" i="2"/>
  <c r="Y669" i="2"/>
  <c r="Z669" i="2"/>
  <c r="AA669" i="2"/>
  <c r="Y670" i="2"/>
  <c r="Z670" i="2"/>
  <c r="AA670" i="2"/>
  <c r="Y671" i="2"/>
  <c r="Z671" i="2"/>
  <c r="AA671" i="2"/>
  <c r="Y672" i="2"/>
  <c r="Z672" i="2"/>
  <c r="AA672" i="2"/>
  <c r="Y673" i="2"/>
  <c r="Z673" i="2"/>
  <c r="AA673" i="2"/>
  <c r="Y674" i="2"/>
  <c r="Z674" i="2"/>
  <c r="AA674" i="2"/>
  <c r="Y675" i="2"/>
  <c r="Z675" i="2"/>
  <c r="AA675" i="2"/>
  <c r="Y676" i="2"/>
  <c r="Z676" i="2"/>
  <c r="AA676" i="2"/>
  <c r="Y677" i="2"/>
  <c r="Z677" i="2"/>
  <c r="AA677" i="2"/>
  <c r="Y678" i="2"/>
  <c r="Z678" i="2"/>
  <c r="AA678" i="2"/>
  <c r="Y679" i="2"/>
  <c r="Z679" i="2"/>
  <c r="AA679" i="2"/>
  <c r="Y680" i="2"/>
  <c r="Z680" i="2"/>
  <c r="AA680" i="2"/>
  <c r="Y681" i="2"/>
  <c r="Z681" i="2"/>
  <c r="AA681" i="2"/>
  <c r="Y682" i="2"/>
  <c r="Z682" i="2"/>
  <c r="AA682" i="2"/>
  <c r="Y683" i="2"/>
  <c r="Z683" i="2"/>
  <c r="AA683" i="2"/>
  <c r="Y684" i="2"/>
  <c r="Z684" i="2"/>
  <c r="AA684" i="2"/>
  <c r="Y685" i="2"/>
  <c r="Z685" i="2"/>
  <c r="AA685" i="2"/>
  <c r="Y686" i="2"/>
  <c r="Z686" i="2"/>
  <c r="AA686" i="2"/>
  <c r="Y687" i="2"/>
  <c r="Z687" i="2"/>
  <c r="AA687" i="2"/>
  <c r="Y688" i="2"/>
  <c r="Z688" i="2"/>
  <c r="AA688" i="2"/>
  <c r="Y689" i="2"/>
  <c r="Z689" i="2"/>
  <c r="AA689" i="2"/>
  <c r="Y690" i="2"/>
  <c r="Z690" i="2"/>
  <c r="AA690" i="2"/>
  <c r="Y691" i="2"/>
  <c r="Z691" i="2"/>
  <c r="AA691" i="2"/>
  <c r="Y692" i="2"/>
  <c r="Z692" i="2"/>
  <c r="AA692" i="2"/>
  <c r="Y693" i="2"/>
  <c r="Z693" i="2"/>
  <c r="AA693" i="2"/>
  <c r="Y694" i="2"/>
  <c r="Z694" i="2"/>
  <c r="AA694" i="2"/>
  <c r="Y695" i="2"/>
  <c r="Z695" i="2"/>
  <c r="AA695" i="2"/>
  <c r="Y696" i="2"/>
  <c r="Z696" i="2"/>
  <c r="AA696" i="2"/>
  <c r="Y697" i="2"/>
  <c r="Z697" i="2"/>
  <c r="AA697" i="2"/>
  <c r="Y698" i="2"/>
  <c r="Z698" i="2"/>
  <c r="AA698" i="2"/>
  <c r="Y699" i="2"/>
  <c r="Z699" i="2"/>
  <c r="AA699" i="2"/>
  <c r="Y700" i="2"/>
  <c r="Z700" i="2"/>
  <c r="AA700" i="2"/>
  <c r="Y701" i="2"/>
  <c r="Z701" i="2"/>
  <c r="AA701" i="2"/>
  <c r="Y702" i="2"/>
  <c r="Z702" i="2"/>
  <c r="AA702" i="2"/>
  <c r="Y703" i="2"/>
  <c r="Z703" i="2"/>
  <c r="AA703" i="2"/>
  <c r="Y704" i="2"/>
  <c r="Z704" i="2"/>
  <c r="AA704" i="2"/>
  <c r="Y705" i="2"/>
  <c r="Z705" i="2"/>
  <c r="AA705" i="2"/>
  <c r="Y706" i="2"/>
  <c r="Z706" i="2"/>
  <c r="AA706" i="2"/>
  <c r="Y707" i="2"/>
  <c r="Z707" i="2"/>
  <c r="AA707" i="2"/>
  <c r="Y708" i="2"/>
  <c r="Z708" i="2"/>
  <c r="AA708" i="2"/>
  <c r="Y709" i="2"/>
  <c r="Z709" i="2"/>
  <c r="AA709" i="2"/>
  <c r="Y710" i="2"/>
  <c r="Z710" i="2"/>
  <c r="AA710" i="2"/>
  <c r="Y711" i="2"/>
  <c r="Z711" i="2"/>
  <c r="AA711" i="2"/>
  <c r="Y712" i="2"/>
  <c r="Z712" i="2"/>
  <c r="AA712" i="2"/>
  <c r="Y713" i="2"/>
  <c r="Z713" i="2"/>
  <c r="AA713" i="2"/>
  <c r="Y714" i="2"/>
  <c r="Z714" i="2"/>
  <c r="AA714" i="2"/>
  <c r="Y715" i="2"/>
  <c r="Z715" i="2"/>
  <c r="AA715" i="2"/>
  <c r="Y716" i="2"/>
  <c r="Z716" i="2"/>
  <c r="AA716" i="2"/>
  <c r="Y717" i="2"/>
  <c r="Z717" i="2"/>
  <c r="AA717" i="2"/>
  <c r="Y718" i="2"/>
  <c r="Z718" i="2"/>
  <c r="AA718" i="2"/>
  <c r="Y719" i="2"/>
  <c r="Z719" i="2"/>
  <c r="AA719" i="2"/>
  <c r="Y720" i="2"/>
  <c r="Z720" i="2"/>
  <c r="AA720" i="2"/>
  <c r="Y721" i="2"/>
  <c r="Z721" i="2"/>
  <c r="AA721" i="2"/>
  <c r="Y722" i="2"/>
  <c r="Z722" i="2"/>
  <c r="AA722" i="2"/>
  <c r="Y723" i="2"/>
  <c r="Z723" i="2"/>
  <c r="AA723" i="2"/>
  <c r="Y724" i="2"/>
  <c r="Z724" i="2"/>
  <c r="AA724" i="2"/>
  <c r="Y725" i="2"/>
  <c r="Z725" i="2"/>
  <c r="AA725" i="2"/>
  <c r="Y726" i="2"/>
  <c r="Z726" i="2"/>
  <c r="AA726" i="2"/>
  <c r="Y727" i="2"/>
  <c r="Z727" i="2"/>
  <c r="AA727" i="2"/>
  <c r="Y728" i="2"/>
  <c r="Z728" i="2"/>
  <c r="AA728" i="2"/>
  <c r="Y729" i="2"/>
  <c r="Z729" i="2"/>
  <c r="AA729" i="2"/>
  <c r="Y730" i="2"/>
  <c r="Z730" i="2"/>
  <c r="AA730" i="2"/>
  <c r="Y731" i="2"/>
  <c r="Z731" i="2"/>
  <c r="AA731" i="2"/>
  <c r="Y732" i="2"/>
  <c r="Z732" i="2"/>
  <c r="AA732" i="2"/>
  <c r="Y733" i="2"/>
  <c r="Z733" i="2"/>
  <c r="AA733" i="2"/>
  <c r="Y734" i="2"/>
  <c r="Z734" i="2"/>
  <c r="AA734" i="2"/>
  <c r="Y735" i="2"/>
  <c r="Z735" i="2"/>
  <c r="AA735" i="2"/>
  <c r="Y736" i="2"/>
  <c r="Z736" i="2"/>
  <c r="AA736" i="2"/>
  <c r="Y737" i="2"/>
  <c r="Z737" i="2"/>
  <c r="AA737" i="2"/>
  <c r="Y738" i="2"/>
  <c r="Z738" i="2"/>
  <c r="AA738" i="2"/>
  <c r="Y739" i="2"/>
  <c r="Z739" i="2"/>
  <c r="AA739" i="2"/>
  <c r="Y740" i="2"/>
  <c r="Z740" i="2"/>
  <c r="AA740" i="2"/>
  <c r="Y741" i="2"/>
  <c r="Z741" i="2"/>
  <c r="AA741" i="2"/>
  <c r="Y742" i="2"/>
  <c r="Z742" i="2"/>
  <c r="AA742" i="2"/>
  <c r="Y743" i="2"/>
  <c r="Z743" i="2"/>
  <c r="AA743" i="2"/>
  <c r="Y744" i="2"/>
  <c r="Z744" i="2"/>
  <c r="AA744" i="2"/>
  <c r="Y745" i="2"/>
  <c r="Z745" i="2"/>
  <c r="AA745" i="2"/>
  <c r="Y746" i="2"/>
  <c r="Z746" i="2"/>
  <c r="AA746" i="2"/>
  <c r="Y747" i="2"/>
  <c r="Z747" i="2"/>
  <c r="AA747" i="2"/>
  <c r="Y748" i="2"/>
  <c r="Z748" i="2"/>
  <c r="AA748" i="2"/>
  <c r="Y749" i="2"/>
  <c r="Z749" i="2"/>
  <c r="AA749" i="2"/>
  <c r="Y750" i="2"/>
  <c r="Z750" i="2"/>
  <c r="AA750" i="2"/>
  <c r="Y751" i="2"/>
  <c r="Z751" i="2"/>
  <c r="AA751" i="2"/>
  <c r="Y752" i="2"/>
  <c r="Z752" i="2"/>
  <c r="AA752" i="2"/>
  <c r="Y753" i="2"/>
  <c r="Z753" i="2"/>
  <c r="AA753" i="2"/>
  <c r="Y754" i="2"/>
  <c r="Z754" i="2"/>
  <c r="AA754" i="2"/>
  <c r="Y755" i="2"/>
  <c r="Z755" i="2"/>
  <c r="AA755" i="2"/>
  <c r="Y756" i="2"/>
  <c r="Z756" i="2"/>
  <c r="AA756" i="2"/>
  <c r="Y757" i="2"/>
  <c r="Z757" i="2"/>
  <c r="AA757" i="2"/>
  <c r="Y758" i="2"/>
  <c r="Z758" i="2"/>
  <c r="AA758" i="2"/>
  <c r="Y759" i="2"/>
  <c r="Z759" i="2"/>
  <c r="AA759" i="2"/>
  <c r="Y760" i="2"/>
  <c r="Z760" i="2"/>
  <c r="AA760" i="2"/>
  <c r="Y761" i="2"/>
  <c r="Z761" i="2"/>
  <c r="AA761" i="2"/>
  <c r="Y762" i="2"/>
  <c r="Z762" i="2"/>
  <c r="AA762" i="2"/>
  <c r="Y763" i="2"/>
  <c r="Z763" i="2"/>
  <c r="AA763" i="2"/>
  <c r="Y764" i="2"/>
  <c r="Z764" i="2"/>
  <c r="AA764" i="2"/>
  <c r="Y765" i="2"/>
  <c r="Z765" i="2"/>
  <c r="AA765" i="2"/>
  <c r="Y766" i="2"/>
  <c r="Z766" i="2"/>
  <c r="AA766" i="2"/>
  <c r="Y767" i="2"/>
  <c r="Z767" i="2"/>
  <c r="AA767" i="2"/>
  <c r="Y768" i="2"/>
  <c r="Z768" i="2"/>
  <c r="AA768" i="2"/>
  <c r="Y769" i="2"/>
  <c r="Z769" i="2"/>
  <c r="AA769" i="2"/>
  <c r="Y770" i="2"/>
  <c r="Z770" i="2"/>
  <c r="AA770" i="2"/>
  <c r="Y771" i="2"/>
  <c r="Z771" i="2"/>
  <c r="AA771" i="2"/>
  <c r="Y772" i="2"/>
  <c r="Z772" i="2"/>
  <c r="AA772" i="2"/>
  <c r="Y773" i="2"/>
  <c r="Z773" i="2"/>
  <c r="AA773" i="2"/>
  <c r="Y774" i="2"/>
  <c r="Z774" i="2"/>
  <c r="AA774" i="2"/>
  <c r="Y775" i="2"/>
  <c r="Z775" i="2"/>
  <c r="AA775" i="2"/>
  <c r="Y776" i="2"/>
  <c r="Z776" i="2"/>
  <c r="AA776" i="2"/>
  <c r="Y777" i="2"/>
  <c r="Z777" i="2"/>
  <c r="AA777" i="2"/>
  <c r="Y778" i="2"/>
  <c r="Z778" i="2"/>
  <c r="AA778" i="2"/>
  <c r="Y779" i="2"/>
  <c r="Z779" i="2"/>
  <c r="AA779" i="2"/>
  <c r="Y780" i="2"/>
  <c r="Z780" i="2"/>
  <c r="AA780" i="2"/>
  <c r="Y781" i="2"/>
  <c r="Z781" i="2"/>
  <c r="AA781" i="2"/>
  <c r="Y782" i="2"/>
  <c r="Z782" i="2"/>
  <c r="AA782" i="2"/>
  <c r="Y783" i="2"/>
  <c r="Z783" i="2"/>
  <c r="AA783" i="2"/>
  <c r="Y784" i="2"/>
  <c r="Z784" i="2"/>
  <c r="AA784" i="2"/>
  <c r="Y785" i="2"/>
  <c r="Z785" i="2"/>
  <c r="AA785" i="2"/>
  <c r="Y786" i="2"/>
  <c r="Z786" i="2"/>
  <c r="AA786" i="2"/>
  <c r="Y787" i="2"/>
  <c r="Z787" i="2"/>
  <c r="AA787" i="2"/>
  <c r="Y788" i="2"/>
  <c r="Z788" i="2"/>
  <c r="AA788" i="2"/>
  <c r="Y789" i="2"/>
  <c r="Z789" i="2"/>
  <c r="AA789" i="2"/>
  <c r="Y790" i="2"/>
  <c r="Z790" i="2"/>
  <c r="AA790" i="2"/>
  <c r="Y791" i="2"/>
  <c r="Z791" i="2"/>
  <c r="AA791" i="2"/>
  <c r="Y792" i="2"/>
  <c r="Z792" i="2"/>
  <c r="AA792" i="2"/>
  <c r="Y793" i="2"/>
  <c r="Z793" i="2"/>
  <c r="AA793" i="2"/>
  <c r="Y794" i="2"/>
  <c r="Z794" i="2"/>
  <c r="AA794" i="2"/>
  <c r="AA20" i="2"/>
  <c r="Z20" i="2"/>
  <c r="Y20" i="2"/>
  <c r="S2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2" i="3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R757" i="2"/>
  <c r="W757" i="2"/>
  <c r="R758" i="2"/>
  <c r="W758" i="2"/>
  <c r="R759" i="2"/>
  <c r="W759" i="2"/>
  <c r="R760" i="2"/>
  <c r="W760" i="2"/>
  <c r="R761" i="2"/>
  <c r="W761" i="2"/>
  <c r="R762" i="2"/>
  <c r="W762" i="2"/>
  <c r="R763" i="2"/>
  <c r="W763" i="2"/>
  <c r="R764" i="2"/>
  <c r="W764" i="2"/>
  <c r="R765" i="2"/>
  <c r="W765" i="2"/>
  <c r="R766" i="2"/>
  <c r="W766" i="2"/>
  <c r="R767" i="2"/>
  <c r="W767" i="2"/>
  <c r="R768" i="2"/>
  <c r="W768" i="2"/>
  <c r="R769" i="2"/>
  <c r="W769" i="2"/>
  <c r="R770" i="2"/>
  <c r="W770" i="2"/>
  <c r="R771" i="2"/>
  <c r="W771" i="2"/>
  <c r="R772" i="2"/>
  <c r="W772" i="2"/>
  <c r="R773" i="2"/>
  <c r="W773" i="2"/>
  <c r="R774" i="2"/>
  <c r="W774" i="2"/>
  <c r="R775" i="2"/>
  <c r="W775" i="2"/>
  <c r="R776" i="2"/>
  <c r="W776" i="2"/>
  <c r="R777" i="2"/>
  <c r="W777" i="2"/>
  <c r="R778" i="2"/>
  <c r="W778" i="2"/>
  <c r="R779" i="2"/>
  <c r="W779" i="2"/>
  <c r="R780" i="2"/>
  <c r="W780" i="2"/>
  <c r="R781" i="2"/>
  <c r="W781" i="2"/>
  <c r="R782" i="2"/>
  <c r="W782" i="2"/>
  <c r="R783" i="2"/>
  <c r="W783" i="2"/>
  <c r="R784" i="2"/>
  <c r="W784" i="2"/>
  <c r="R785" i="2"/>
  <c r="W785" i="2"/>
  <c r="R786" i="2"/>
  <c r="W786" i="2"/>
  <c r="R787" i="2"/>
  <c r="W787" i="2"/>
  <c r="R788" i="2"/>
  <c r="W788" i="2"/>
  <c r="R789" i="2"/>
  <c r="W789" i="2"/>
  <c r="R790" i="2"/>
  <c r="W790" i="2"/>
  <c r="R791" i="2"/>
  <c r="W791" i="2"/>
  <c r="R792" i="2"/>
  <c r="W792" i="2"/>
  <c r="R793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R694" i="2"/>
  <c r="W694" i="2"/>
  <c r="R695" i="2"/>
  <c r="W695" i="2"/>
  <c r="R696" i="2"/>
  <c r="W696" i="2"/>
  <c r="R697" i="2"/>
  <c r="W697" i="2"/>
  <c r="R698" i="2"/>
  <c r="W698" i="2"/>
  <c r="R699" i="2"/>
  <c r="W699" i="2"/>
  <c r="R700" i="2"/>
  <c r="W700" i="2"/>
  <c r="R701" i="2"/>
  <c r="W701" i="2"/>
  <c r="R702" i="2"/>
  <c r="W702" i="2"/>
  <c r="R703" i="2"/>
  <c r="W703" i="2"/>
  <c r="R704" i="2"/>
  <c r="W704" i="2"/>
  <c r="R705" i="2"/>
  <c r="W705" i="2"/>
  <c r="R706" i="2"/>
  <c r="W706" i="2"/>
  <c r="R707" i="2"/>
  <c r="W707" i="2"/>
  <c r="R708" i="2"/>
  <c r="W708" i="2"/>
  <c r="R709" i="2"/>
  <c r="W709" i="2"/>
  <c r="R710" i="2"/>
  <c r="W710" i="2"/>
  <c r="R711" i="2"/>
  <c r="W711" i="2"/>
  <c r="R712" i="2"/>
  <c r="W712" i="2"/>
  <c r="R713" i="2"/>
  <c r="W713" i="2"/>
  <c r="R714" i="2"/>
  <c r="W714" i="2"/>
  <c r="R715" i="2"/>
  <c r="W715" i="2"/>
  <c r="R716" i="2"/>
  <c r="W716" i="2"/>
  <c r="R717" i="2"/>
  <c r="W717" i="2"/>
  <c r="R718" i="2"/>
  <c r="W718" i="2"/>
  <c r="R719" i="2"/>
  <c r="W719" i="2"/>
  <c r="R720" i="2"/>
  <c r="W720" i="2"/>
  <c r="R721" i="2"/>
  <c r="W721" i="2"/>
  <c r="R722" i="2"/>
  <c r="W722" i="2"/>
  <c r="R723" i="2"/>
  <c r="W723" i="2"/>
  <c r="R724" i="2"/>
  <c r="W724" i="2"/>
  <c r="R725" i="2"/>
  <c r="W725" i="2"/>
  <c r="R726" i="2"/>
  <c r="W726" i="2"/>
  <c r="R727" i="2"/>
  <c r="W727" i="2"/>
  <c r="R728" i="2"/>
  <c r="W728" i="2"/>
  <c r="R729" i="2"/>
  <c r="W729" i="2"/>
  <c r="R730" i="2"/>
  <c r="W730" i="2"/>
  <c r="R731" i="2"/>
  <c r="W731" i="2"/>
  <c r="R732" i="2"/>
  <c r="W732" i="2"/>
  <c r="R733" i="2"/>
  <c r="W733" i="2"/>
  <c r="R734" i="2"/>
  <c r="W734" i="2"/>
  <c r="R735" i="2"/>
  <c r="W735" i="2"/>
  <c r="R736" i="2"/>
  <c r="W736" i="2"/>
  <c r="R737" i="2"/>
  <c r="W737" i="2"/>
  <c r="R738" i="2"/>
  <c r="W738" i="2"/>
  <c r="R739" i="2"/>
  <c r="W739" i="2"/>
  <c r="R740" i="2"/>
  <c r="W740" i="2"/>
  <c r="R741" i="2"/>
  <c r="W741" i="2"/>
  <c r="R742" i="2"/>
  <c r="W742" i="2"/>
  <c r="R743" i="2"/>
  <c r="W743" i="2"/>
  <c r="R744" i="2"/>
  <c r="W744" i="2"/>
  <c r="R745" i="2"/>
  <c r="W745" i="2"/>
  <c r="R746" i="2"/>
  <c r="W746" i="2"/>
  <c r="R747" i="2"/>
  <c r="W747" i="2"/>
  <c r="R748" i="2"/>
  <c r="W748" i="2"/>
  <c r="R749" i="2"/>
  <c r="W749" i="2"/>
  <c r="R750" i="2"/>
  <c r="W750" i="2"/>
  <c r="R751" i="2"/>
  <c r="W751" i="2"/>
  <c r="R752" i="2"/>
  <c r="W752" i="2"/>
  <c r="R753" i="2"/>
  <c r="W753" i="2"/>
  <c r="R754" i="2"/>
  <c r="W754" i="2"/>
  <c r="R755" i="2"/>
  <c r="W755" i="2"/>
  <c r="R756" i="2"/>
  <c r="W756" i="2"/>
  <c r="R631" i="2"/>
  <c r="W631" i="2"/>
  <c r="R632" i="2"/>
  <c r="W632" i="2"/>
  <c r="R633" i="2"/>
  <c r="W633" i="2"/>
  <c r="R634" i="2"/>
  <c r="W634" i="2"/>
  <c r="R635" i="2"/>
  <c r="W635" i="2"/>
  <c r="R636" i="2"/>
  <c r="W636" i="2"/>
  <c r="R637" i="2"/>
  <c r="W637" i="2"/>
  <c r="R638" i="2"/>
  <c r="W638" i="2"/>
  <c r="R639" i="2"/>
  <c r="W639" i="2"/>
  <c r="R640" i="2"/>
  <c r="W640" i="2"/>
  <c r="R641" i="2"/>
  <c r="W641" i="2"/>
  <c r="R642" i="2"/>
  <c r="W642" i="2"/>
  <c r="R643" i="2"/>
  <c r="W643" i="2"/>
  <c r="R644" i="2"/>
  <c r="W644" i="2"/>
  <c r="R645" i="2"/>
  <c r="W645" i="2"/>
  <c r="R646" i="2"/>
  <c r="W646" i="2"/>
  <c r="R647" i="2"/>
  <c r="W647" i="2"/>
  <c r="R648" i="2"/>
  <c r="W648" i="2"/>
  <c r="R649" i="2"/>
  <c r="W649" i="2"/>
  <c r="R650" i="2"/>
  <c r="W650" i="2"/>
  <c r="R651" i="2"/>
  <c r="W651" i="2"/>
  <c r="R652" i="2"/>
  <c r="W652" i="2"/>
  <c r="R653" i="2"/>
  <c r="W653" i="2"/>
  <c r="R654" i="2"/>
  <c r="W654" i="2"/>
  <c r="R655" i="2"/>
  <c r="W655" i="2"/>
  <c r="R656" i="2"/>
  <c r="W656" i="2"/>
  <c r="R657" i="2"/>
  <c r="W657" i="2"/>
  <c r="R658" i="2"/>
  <c r="W658" i="2"/>
  <c r="R659" i="2"/>
  <c r="W659" i="2"/>
  <c r="R660" i="2"/>
  <c r="W660" i="2"/>
  <c r="R661" i="2"/>
  <c r="W661" i="2"/>
  <c r="R662" i="2"/>
  <c r="W662" i="2"/>
  <c r="R663" i="2"/>
  <c r="W663" i="2"/>
  <c r="R664" i="2"/>
  <c r="W664" i="2"/>
  <c r="R665" i="2"/>
  <c r="W665" i="2"/>
  <c r="R666" i="2"/>
  <c r="W666" i="2"/>
  <c r="R667" i="2"/>
  <c r="W667" i="2"/>
  <c r="R668" i="2"/>
  <c r="W668" i="2"/>
  <c r="R669" i="2"/>
  <c r="W669" i="2"/>
  <c r="R670" i="2"/>
  <c r="W670" i="2"/>
  <c r="R671" i="2"/>
  <c r="W671" i="2"/>
  <c r="R672" i="2"/>
  <c r="W672" i="2"/>
  <c r="R673" i="2"/>
  <c r="W673" i="2"/>
  <c r="R674" i="2"/>
  <c r="W674" i="2"/>
  <c r="R675" i="2"/>
  <c r="W675" i="2"/>
  <c r="R676" i="2"/>
  <c r="W676" i="2"/>
  <c r="R677" i="2"/>
  <c r="W677" i="2"/>
  <c r="R678" i="2"/>
  <c r="W678" i="2"/>
  <c r="R679" i="2"/>
  <c r="W679" i="2"/>
  <c r="R680" i="2"/>
  <c r="W680" i="2"/>
  <c r="R681" i="2"/>
  <c r="W681" i="2"/>
  <c r="R682" i="2"/>
  <c r="W682" i="2"/>
  <c r="R683" i="2"/>
  <c r="W683" i="2"/>
  <c r="R684" i="2"/>
  <c r="W684" i="2"/>
  <c r="R685" i="2"/>
  <c r="W685" i="2"/>
  <c r="R686" i="2"/>
  <c r="W686" i="2"/>
  <c r="R687" i="2"/>
  <c r="W687" i="2"/>
  <c r="R688" i="2"/>
  <c r="W688" i="2"/>
  <c r="R689" i="2"/>
  <c r="W689" i="2"/>
  <c r="R690" i="2"/>
  <c r="W690" i="2"/>
  <c r="R691" i="2"/>
  <c r="W691" i="2"/>
  <c r="R692" i="2"/>
  <c r="W692" i="2"/>
  <c r="R693" i="2"/>
  <c r="W693" i="2"/>
  <c r="R568" i="2"/>
  <c r="W568" i="2"/>
  <c r="R569" i="2"/>
  <c r="W569" i="2"/>
  <c r="R570" i="2"/>
  <c r="W570" i="2"/>
  <c r="R571" i="2"/>
  <c r="W571" i="2"/>
  <c r="R572" i="2"/>
  <c r="W572" i="2"/>
  <c r="R573" i="2"/>
  <c r="W573" i="2"/>
  <c r="R574" i="2"/>
  <c r="W574" i="2"/>
  <c r="R575" i="2"/>
  <c r="W575" i="2"/>
  <c r="R576" i="2"/>
  <c r="W576" i="2"/>
  <c r="R577" i="2"/>
  <c r="W577" i="2"/>
  <c r="R578" i="2"/>
  <c r="W578" i="2"/>
  <c r="R579" i="2"/>
  <c r="W579" i="2"/>
  <c r="R580" i="2"/>
  <c r="W580" i="2"/>
  <c r="R581" i="2"/>
  <c r="W581" i="2"/>
  <c r="R582" i="2"/>
  <c r="W582" i="2"/>
  <c r="R583" i="2"/>
  <c r="W583" i="2"/>
  <c r="R584" i="2"/>
  <c r="W584" i="2"/>
  <c r="R585" i="2"/>
  <c r="W585" i="2"/>
  <c r="R586" i="2"/>
  <c r="W586" i="2"/>
  <c r="R587" i="2"/>
  <c r="W587" i="2"/>
  <c r="R588" i="2"/>
  <c r="W588" i="2"/>
  <c r="R589" i="2"/>
  <c r="W589" i="2"/>
  <c r="R590" i="2"/>
  <c r="W590" i="2"/>
  <c r="R591" i="2"/>
  <c r="W591" i="2"/>
  <c r="R592" i="2"/>
  <c r="W592" i="2"/>
  <c r="R593" i="2"/>
  <c r="W593" i="2"/>
  <c r="R594" i="2"/>
  <c r="W594" i="2"/>
  <c r="R595" i="2"/>
  <c r="W595" i="2"/>
  <c r="R596" i="2"/>
  <c r="W596" i="2"/>
  <c r="R597" i="2"/>
  <c r="W597" i="2"/>
  <c r="R598" i="2"/>
  <c r="W598" i="2"/>
  <c r="R599" i="2"/>
  <c r="W599" i="2"/>
  <c r="R600" i="2"/>
  <c r="W600" i="2"/>
  <c r="R601" i="2"/>
  <c r="W601" i="2"/>
  <c r="R602" i="2"/>
  <c r="W602" i="2"/>
  <c r="R603" i="2"/>
  <c r="W603" i="2"/>
  <c r="R604" i="2"/>
  <c r="W604" i="2"/>
  <c r="R605" i="2"/>
  <c r="W605" i="2"/>
  <c r="R606" i="2"/>
  <c r="W606" i="2"/>
  <c r="R607" i="2"/>
  <c r="W607" i="2"/>
  <c r="R608" i="2"/>
  <c r="W608" i="2"/>
  <c r="R609" i="2"/>
  <c r="W609" i="2"/>
  <c r="R610" i="2"/>
  <c r="W610" i="2"/>
  <c r="R611" i="2"/>
  <c r="W611" i="2"/>
  <c r="R612" i="2"/>
  <c r="W612" i="2"/>
  <c r="R613" i="2"/>
  <c r="W613" i="2"/>
  <c r="R614" i="2"/>
  <c r="W614" i="2"/>
  <c r="R615" i="2"/>
  <c r="W615" i="2"/>
  <c r="R616" i="2"/>
  <c r="W616" i="2"/>
  <c r="R617" i="2"/>
  <c r="W617" i="2"/>
  <c r="R618" i="2"/>
  <c r="W618" i="2"/>
  <c r="R619" i="2"/>
  <c r="W619" i="2"/>
  <c r="R620" i="2"/>
  <c r="W620" i="2"/>
  <c r="R621" i="2"/>
  <c r="W621" i="2"/>
  <c r="R622" i="2"/>
  <c r="W622" i="2"/>
  <c r="R623" i="2"/>
  <c r="W623" i="2"/>
  <c r="R624" i="2"/>
  <c r="W624" i="2"/>
  <c r="R625" i="2"/>
  <c r="W625" i="2"/>
  <c r="R626" i="2"/>
  <c r="W626" i="2"/>
  <c r="R627" i="2"/>
  <c r="W627" i="2"/>
  <c r="R628" i="2"/>
  <c r="W628" i="2"/>
  <c r="R629" i="2"/>
  <c r="W629" i="2"/>
  <c r="R630" i="2"/>
  <c r="W630" i="2"/>
  <c r="R505" i="2"/>
  <c r="W505" i="2"/>
  <c r="R506" i="2"/>
  <c r="W506" i="2"/>
  <c r="R507" i="2"/>
  <c r="W507" i="2"/>
  <c r="R508" i="2"/>
  <c r="W508" i="2"/>
  <c r="R509" i="2"/>
  <c r="W509" i="2"/>
  <c r="R510" i="2"/>
  <c r="W510" i="2"/>
  <c r="R511" i="2"/>
  <c r="W511" i="2"/>
  <c r="R512" i="2"/>
  <c r="W512" i="2"/>
  <c r="R513" i="2"/>
  <c r="W513" i="2"/>
  <c r="R514" i="2"/>
  <c r="W514" i="2"/>
  <c r="R515" i="2"/>
  <c r="W515" i="2"/>
  <c r="R516" i="2"/>
  <c r="W516" i="2"/>
  <c r="R517" i="2"/>
  <c r="W517" i="2"/>
  <c r="R518" i="2"/>
  <c r="W518" i="2"/>
  <c r="R519" i="2"/>
  <c r="W519" i="2"/>
  <c r="R520" i="2"/>
  <c r="W520" i="2"/>
  <c r="R521" i="2"/>
  <c r="W521" i="2"/>
  <c r="R522" i="2"/>
  <c r="W522" i="2"/>
  <c r="R523" i="2"/>
  <c r="W523" i="2"/>
  <c r="R524" i="2"/>
  <c r="W524" i="2"/>
  <c r="R525" i="2"/>
  <c r="W525" i="2"/>
  <c r="R526" i="2"/>
  <c r="W526" i="2"/>
  <c r="R527" i="2"/>
  <c r="W527" i="2"/>
  <c r="R528" i="2"/>
  <c r="W528" i="2"/>
  <c r="R529" i="2"/>
  <c r="W529" i="2"/>
  <c r="R530" i="2"/>
  <c r="W530" i="2"/>
  <c r="R531" i="2"/>
  <c r="W531" i="2"/>
  <c r="R532" i="2"/>
  <c r="W532" i="2"/>
  <c r="R533" i="2"/>
  <c r="W533" i="2"/>
  <c r="R534" i="2"/>
  <c r="W534" i="2"/>
  <c r="R535" i="2"/>
  <c r="W535" i="2"/>
  <c r="R536" i="2"/>
  <c r="W536" i="2"/>
  <c r="R537" i="2"/>
  <c r="W537" i="2"/>
  <c r="R538" i="2"/>
  <c r="W538" i="2"/>
  <c r="R539" i="2"/>
  <c r="W539" i="2"/>
  <c r="R540" i="2"/>
  <c r="W540" i="2"/>
  <c r="R541" i="2"/>
  <c r="W541" i="2"/>
  <c r="R542" i="2"/>
  <c r="W542" i="2"/>
  <c r="R543" i="2"/>
  <c r="W543" i="2"/>
  <c r="R544" i="2"/>
  <c r="W544" i="2"/>
  <c r="R545" i="2"/>
  <c r="W545" i="2"/>
  <c r="R546" i="2"/>
  <c r="W546" i="2"/>
  <c r="R547" i="2"/>
  <c r="W547" i="2"/>
  <c r="R548" i="2"/>
  <c r="W548" i="2"/>
  <c r="R549" i="2"/>
  <c r="W549" i="2"/>
  <c r="R550" i="2"/>
  <c r="W550" i="2"/>
  <c r="R551" i="2"/>
  <c r="W551" i="2"/>
  <c r="R552" i="2"/>
  <c r="W552" i="2"/>
  <c r="R553" i="2"/>
  <c r="W553" i="2"/>
  <c r="R554" i="2"/>
  <c r="W554" i="2"/>
  <c r="R555" i="2"/>
  <c r="W555" i="2"/>
  <c r="R556" i="2"/>
  <c r="W556" i="2"/>
  <c r="R557" i="2"/>
  <c r="W557" i="2"/>
  <c r="R558" i="2"/>
  <c r="W558" i="2"/>
  <c r="R559" i="2"/>
  <c r="W559" i="2"/>
  <c r="R560" i="2"/>
  <c r="W560" i="2"/>
  <c r="R561" i="2"/>
  <c r="W561" i="2"/>
  <c r="R562" i="2"/>
  <c r="W562" i="2"/>
  <c r="R563" i="2"/>
  <c r="W563" i="2"/>
  <c r="R564" i="2"/>
  <c r="W564" i="2"/>
  <c r="R565" i="2"/>
  <c r="W565" i="2"/>
  <c r="R566" i="2"/>
  <c r="W566" i="2"/>
  <c r="R567" i="2"/>
  <c r="W567" i="2"/>
  <c r="R442" i="2"/>
  <c r="W442" i="2"/>
  <c r="R443" i="2"/>
  <c r="W443" i="2"/>
  <c r="R444" i="2"/>
  <c r="W444" i="2"/>
  <c r="R445" i="2"/>
  <c r="W445" i="2"/>
  <c r="R446" i="2"/>
  <c r="W446" i="2"/>
  <c r="R447" i="2"/>
  <c r="W447" i="2"/>
  <c r="R448" i="2"/>
  <c r="W448" i="2"/>
  <c r="R449" i="2"/>
  <c r="W449" i="2"/>
  <c r="R450" i="2"/>
  <c r="W450" i="2"/>
  <c r="R451" i="2"/>
  <c r="W451" i="2"/>
  <c r="R452" i="2"/>
  <c r="W452" i="2"/>
  <c r="R453" i="2"/>
  <c r="W453" i="2"/>
  <c r="R454" i="2"/>
  <c r="W454" i="2"/>
  <c r="R455" i="2"/>
  <c r="W455" i="2"/>
  <c r="R456" i="2"/>
  <c r="W456" i="2"/>
  <c r="R457" i="2"/>
  <c r="W457" i="2"/>
  <c r="R458" i="2"/>
  <c r="W458" i="2"/>
  <c r="R459" i="2"/>
  <c r="W459" i="2"/>
  <c r="R460" i="2"/>
  <c r="W460" i="2"/>
  <c r="R461" i="2"/>
  <c r="W461" i="2"/>
  <c r="R462" i="2"/>
  <c r="W462" i="2"/>
  <c r="R463" i="2"/>
  <c r="W463" i="2"/>
  <c r="R464" i="2"/>
  <c r="W464" i="2"/>
  <c r="R465" i="2"/>
  <c r="W465" i="2"/>
  <c r="R466" i="2"/>
  <c r="W466" i="2"/>
  <c r="R467" i="2"/>
  <c r="W467" i="2"/>
  <c r="R468" i="2"/>
  <c r="W468" i="2"/>
  <c r="R469" i="2"/>
  <c r="W469" i="2"/>
  <c r="R470" i="2"/>
  <c r="W470" i="2"/>
  <c r="R471" i="2"/>
  <c r="W471" i="2"/>
  <c r="R472" i="2"/>
  <c r="W472" i="2"/>
  <c r="R473" i="2"/>
  <c r="W473" i="2"/>
  <c r="R474" i="2"/>
  <c r="W474" i="2"/>
  <c r="R475" i="2"/>
  <c r="W475" i="2"/>
  <c r="R476" i="2"/>
  <c r="W476" i="2"/>
  <c r="R477" i="2"/>
  <c r="W477" i="2"/>
  <c r="R478" i="2"/>
  <c r="W478" i="2"/>
  <c r="R479" i="2"/>
  <c r="W479" i="2"/>
  <c r="R480" i="2"/>
  <c r="W480" i="2"/>
  <c r="R481" i="2"/>
  <c r="W481" i="2"/>
  <c r="R482" i="2"/>
  <c r="W482" i="2"/>
  <c r="R483" i="2"/>
  <c r="W483" i="2"/>
  <c r="R484" i="2"/>
  <c r="W484" i="2"/>
  <c r="R485" i="2"/>
  <c r="W485" i="2"/>
  <c r="R486" i="2"/>
  <c r="W486" i="2"/>
  <c r="R487" i="2"/>
  <c r="W487" i="2"/>
  <c r="R488" i="2"/>
  <c r="W488" i="2"/>
  <c r="R489" i="2"/>
  <c r="W489" i="2"/>
  <c r="R490" i="2"/>
  <c r="W490" i="2"/>
  <c r="R491" i="2"/>
  <c r="W491" i="2"/>
  <c r="R492" i="2"/>
  <c r="W492" i="2"/>
  <c r="R493" i="2"/>
  <c r="W493" i="2"/>
  <c r="R494" i="2"/>
  <c r="W494" i="2"/>
  <c r="R495" i="2"/>
  <c r="W495" i="2"/>
  <c r="R496" i="2"/>
  <c r="W496" i="2"/>
  <c r="R497" i="2"/>
  <c r="W497" i="2"/>
  <c r="R498" i="2"/>
  <c r="W498" i="2"/>
  <c r="R499" i="2"/>
  <c r="W499" i="2"/>
  <c r="R500" i="2"/>
  <c r="W500" i="2"/>
  <c r="R501" i="2"/>
  <c r="W501" i="2"/>
  <c r="R502" i="2"/>
  <c r="W502" i="2"/>
  <c r="R503" i="2"/>
  <c r="W503" i="2"/>
  <c r="R504" i="2"/>
  <c r="W504" i="2"/>
  <c r="R379" i="2"/>
  <c r="W379" i="2"/>
  <c r="R380" i="2"/>
  <c r="W380" i="2"/>
  <c r="R381" i="2"/>
  <c r="W381" i="2"/>
  <c r="R382" i="2"/>
  <c r="W382" i="2"/>
  <c r="R383" i="2"/>
  <c r="W383" i="2"/>
  <c r="R384" i="2"/>
  <c r="W384" i="2"/>
  <c r="R385" i="2"/>
  <c r="W385" i="2"/>
  <c r="R386" i="2"/>
  <c r="W386" i="2"/>
  <c r="R387" i="2"/>
  <c r="W387" i="2"/>
  <c r="R388" i="2"/>
  <c r="W388" i="2"/>
  <c r="R389" i="2"/>
  <c r="W389" i="2"/>
  <c r="R390" i="2"/>
  <c r="W390" i="2"/>
  <c r="R391" i="2"/>
  <c r="W391" i="2"/>
  <c r="R392" i="2"/>
  <c r="W392" i="2"/>
  <c r="R393" i="2"/>
  <c r="W393" i="2"/>
  <c r="R394" i="2"/>
  <c r="W394" i="2"/>
  <c r="R395" i="2"/>
  <c r="W395" i="2"/>
  <c r="R396" i="2"/>
  <c r="W396" i="2"/>
  <c r="R397" i="2"/>
  <c r="W397" i="2"/>
  <c r="R398" i="2"/>
  <c r="W398" i="2"/>
  <c r="R399" i="2"/>
  <c r="W399" i="2"/>
  <c r="R400" i="2"/>
  <c r="W400" i="2"/>
  <c r="R401" i="2"/>
  <c r="W401" i="2"/>
  <c r="R402" i="2"/>
  <c r="W402" i="2"/>
  <c r="R403" i="2"/>
  <c r="W403" i="2"/>
  <c r="R404" i="2"/>
  <c r="W404" i="2"/>
  <c r="R405" i="2"/>
  <c r="W405" i="2"/>
  <c r="R406" i="2"/>
  <c r="W406" i="2"/>
  <c r="R407" i="2"/>
  <c r="W407" i="2"/>
  <c r="R408" i="2"/>
  <c r="W408" i="2"/>
  <c r="R409" i="2"/>
  <c r="W409" i="2"/>
  <c r="R410" i="2"/>
  <c r="W410" i="2"/>
  <c r="R411" i="2"/>
  <c r="W411" i="2"/>
  <c r="R412" i="2"/>
  <c r="W412" i="2"/>
  <c r="R413" i="2"/>
  <c r="W413" i="2"/>
  <c r="R414" i="2"/>
  <c r="W414" i="2"/>
  <c r="R415" i="2"/>
  <c r="W415" i="2"/>
  <c r="R416" i="2"/>
  <c r="W416" i="2"/>
  <c r="R417" i="2"/>
  <c r="W417" i="2"/>
  <c r="R418" i="2"/>
  <c r="W418" i="2"/>
  <c r="R419" i="2"/>
  <c r="W419" i="2"/>
  <c r="R420" i="2"/>
  <c r="W420" i="2"/>
  <c r="R421" i="2"/>
  <c r="W421" i="2"/>
  <c r="R422" i="2"/>
  <c r="W422" i="2"/>
  <c r="R423" i="2"/>
  <c r="W423" i="2"/>
  <c r="R424" i="2"/>
  <c r="W424" i="2"/>
  <c r="R425" i="2"/>
  <c r="W425" i="2"/>
  <c r="R426" i="2"/>
  <c r="W426" i="2"/>
  <c r="R427" i="2"/>
  <c r="W427" i="2"/>
  <c r="R428" i="2"/>
  <c r="W428" i="2"/>
  <c r="R429" i="2"/>
  <c r="W429" i="2"/>
  <c r="R430" i="2"/>
  <c r="W430" i="2"/>
  <c r="R431" i="2"/>
  <c r="W431" i="2"/>
  <c r="R432" i="2"/>
  <c r="W432" i="2"/>
  <c r="R433" i="2"/>
  <c r="W433" i="2"/>
  <c r="R434" i="2"/>
  <c r="W434" i="2"/>
  <c r="R435" i="2"/>
  <c r="W435" i="2"/>
  <c r="R436" i="2"/>
  <c r="W436" i="2"/>
  <c r="R437" i="2"/>
  <c r="W437" i="2"/>
  <c r="R438" i="2"/>
  <c r="W438" i="2"/>
  <c r="R439" i="2"/>
  <c r="W439" i="2"/>
  <c r="R440" i="2"/>
  <c r="W440" i="2"/>
  <c r="R441" i="2"/>
  <c r="W441" i="2"/>
  <c r="R316" i="2"/>
  <c r="W316" i="2"/>
  <c r="R317" i="2"/>
  <c r="W317" i="2"/>
  <c r="R318" i="2"/>
  <c r="W318" i="2"/>
  <c r="R319" i="2"/>
  <c r="W319" i="2"/>
  <c r="R320" i="2"/>
  <c r="W320" i="2"/>
  <c r="R321" i="2"/>
  <c r="W321" i="2"/>
  <c r="R322" i="2"/>
  <c r="W322" i="2"/>
  <c r="R323" i="2"/>
  <c r="W323" i="2"/>
  <c r="R324" i="2"/>
  <c r="W324" i="2"/>
  <c r="R325" i="2"/>
  <c r="W325" i="2"/>
  <c r="R326" i="2"/>
  <c r="W326" i="2"/>
  <c r="R327" i="2"/>
  <c r="W327" i="2"/>
  <c r="R328" i="2"/>
  <c r="W328" i="2"/>
  <c r="R329" i="2"/>
  <c r="W329" i="2"/>
  <c r="R330" i="2"/>
  <c r="W330" i="2"/>
  <c r="R331" i="2"/>
  <c r="W331" i="2"/>
  <c r="R332" i="2"/>
  <c r="W332" i="2"/>
  <c r="R333" i="2"/>
  <c r="W333" i="2"/>
  <c r="R334" i="2"/>
  <c r="W334" i="2"/>
  <c r="R335" i="2"/>
  <c r="W335" i="2"/>
  <c r="R336" i="2"/>
  <c r="W336" i="2"/>
  <c r="R337" i="2"/>
  <c r="W337" i="2"/>
  <c r="R338" i="2"/>
  <c r="W338" i="2"/>
  <c r="R339" i="2"/>
  <c r="W339" i="2"/>
  <c r="R340" i="2"/>
  <c r="W340" i="2"/>
  <c r="R341" i="2"/>
  <c r="W341" i="2"/>
  <c r="R342" i="2"/>
  <c r="W342" i="2"/>
  <c r="R343" i="2"/>
  <c r="W343" i="2"/>
  <c r="R344" i="2"/>
  <c r="W344" i="2"/>
  <c r="R345" i="2"/>
  <c r="W345" i="2"/>
  <c r="R346" i="2"/>
  <c r="W346" i="2"/>
  <c r="R347" i="2"/>
  <c r="W347" i="2"/>
  <c r="R348" i="2"/>
  <c r="W348" i="2"/>
  <c r="R349" i="2"/>
  <c r="W349" i="2"/>
  <c r="R350" i="2"/>
  <c r="W350" i="2"/>
  <c r="R351" i="2"/>
  <c r="W351" i="2"/>
  <c r="R352" i="2"/>
  <c r="W352" i="2"/>
  <c r="R353" i="2"/>
  <c r="W353" i="2"/>
  <c r="R354" i="2"/>
  <c r="W354" i="2"/>
  <c r="R355" i="2"/>
  <c r="W355" i="2"/>
  <c r="R356" i="2"/>
  <c r="W356" i="2"/>
  <c r="R357" i="2"/>
  <c r="W357" i="2"/>
  <c r="R358" i="2"/>
  <c r="W358" i="2"/>
  <c r="R359" i="2"/>
  <c r="W359" i="2"/>
  <c r="R360" i="2"/>
  <c r="W360" i="2"/>
  <c r="R361" i="2"/>
  <c r="W361" i="2"/>
  <c r="R362" i="2"/>
  <c r="W362" i="2"/>
  <c r="R363" i="2"/>
  <c r="W363" i="2"/>
  <c r="R364" i="2"/>
  <c r="W364" i="2"/>
  <c r="R365" i="2"/>
  <c r="W365" i="2"/>
  <c r="R366" i="2"/>
  <c r="W366" i="2"/>
  <c r="R367" i="2"/>
  <c r="W367" i="2"/>
  <c r="R368" i="2"/>
  <c r="W368" i="2"/>
  <c r="R369" i="2"/>
  <c r="W369" i="2"/>
  <c r="R370" i="2"/>
  <c r="W370" i="2"/>
  <c r="R371" i="2"/>
  <c r="W371" i="2"/>
  <c r="R372" i="2"/>
  <c r="W372" i="2"/>
  <c r="R373" i="2"/>
  <c r="W373" i="2"/>
  <c r="R374" i="2"/>
  <c r="W374" i="2"/>
  <c r="R375" i="2"/>
  <c r="W375" i="2"/>
  <c r="R376" i="2"/>
  <c r="W376" i="2"/>
  <c r="R377" i="2"/>
  <c r="W377" i="2"/>
  <c r="R378" i="2"/>
  <c r="W378" i="2"/>
  <c r="R253" i="2"/>
  <c r="W253" i="2"/>
  <c r="R254" i="2"/>
  <c r="W254" i="2"/>
  <c r="R255" i="2"/>
  <c r="W255" i="2"/>
  <c r="R256" i="2"/>
  <c r="W256" i="2"/>
  <c r="R257" i="2"/>
  <c r="W257" i="2"/>
  <c r="R258" i="2"/>
  <c r="W258" i="2"/>
  <c r="R259" i="2"/>
  <c r="W259" i="2"/>
  <c r="R260" i="2"/>
  <c r="W260" i="2"/>
  <c r="R261" i="2"/>
  <c r="W261" i="2"/>
  <c r="R262" i="2"/>
  <c r="W262" i="2"/>
  <c r="R263" i="2"/>
  <c r="W263" i="2"/>
  <c r="R264" i="2"/>
  <c r="W264" i="2"/>
  <c r="R265" i="2"/>
  <c r="W265" i="2"/>
  <c r="R266" i="2"/>
  <c r="W266" i="2"/>
  <c r="R267" i="2"/>
  <c r="W267" i="2"/>
  <c r="R268" i="2"/>
  <c r="W268" i="2"/>
  <c r="R269" i="2"/>
  <c r="W269" i="2"/>
  <c r="R270" i="2"/>
  <c r="W270" i="2"/>
  <c r="R271" i="2"/>
  <c r="W271" i="2"/>
  <c r="R272" i="2"/>
  <c r="W272" i="2"/>
  <c r="R273" i="2"/>
  <c r="W273" i="2"/>
  <c r="R274" i="2"/>
  <c r="W274" i="2"/>
  <c r="R275" i="2"/>
  <c r="W275" i="2"/>
  <c r="R276" i="2"/>
  <c r="W276" i="2"/>
  <c r="R277" i="2"/>
  <c r="W277" i="2"/>
  <c r="R278" i="2"/>
  <c r="W278" i="2"/>
  <c r="R279" i="2"/>
  <c r="W279" i="2"/>
  <c r="R280" i="2"/>
  <c r="W280" i="2"/>
  <c r="R281" i="2"/>
  <c r="W281" i="2"/>
  <c r="R282" i="2"/>
  <c r="W282" i="2"/>
  <c r="R283" i="2"/>
  <c r="W283" i="2"/>
  <c r="R284" i="2"/>
  <c r="W284" i="2"/>
  <c r="R285" i="2"/>
  <c r="W285" i="2"/>
  <c r="R286" i="2"/>
  <c r="W286" i="2"/>
  <c r="R287" i="2"/>
  <c r="W287" i="2"/>
  <c r="R288" i="2"/>
  <c r="W288" i="2"/>
  <c r="R289" i="2"/>
  <c r="W289" i="2"/>
  <c r="R290" i="2"/>
  <c r="W290" i="2"/>
  <c r="R291" i="2"/>
  <c r="W291" i="2"/>
  <c r="R292" i="2"/>
  <c r="W292" i="2"/>
  <c r="R293" i="2"/>
  <c r="W293" i="2"/>
  <c r="R294" i="2"/>
  <c r="W294" i="2"/>
  <c r="R295" i="2"/>
  <c r="W295" i="2"/>
  <c r="R296" i="2"/>
  <c r="W296" i="2"/>
  <c r="R297" i="2"/>
  <c r="W297" i="2"/>
  <c r="R298" i="2"/>
  <c r="W298" i="2"/>
  <c r="R299" i="2"/>
  <c r="W299" i="2"/>
  <c r="R300" i="2"/>
  <c r="W300" i="2"/>
  <c r="R301" i="2"/>
  <c r="W301" i="2"/>
  <c r="R302" i="2"/>
  <c r="W302" i="2"/>
  <c r="R303" i="2"/>
  <c r="W303" i="2"/>
  <c r="R304" i="2"/>
  <c r="W304" i="2"/>
  <c r="R305" i="2"/>
  <c r="W305" i="2"/>
  <c r="R306" i="2"/>
  <c r="W306" i="2"/>
  <c r="R307" i="2"/>
  <c r="W307" i="2"/>
  <c r="R308" i="2"/>
  <c r="W308" i="2"/>
  <c r="R309" i="2"/>
  <c r="W309" i="2"/>
  <c r="R310" i="2"/>
  <c r="W310" i="2"/>
  <c r="R311" i="2"/>
  <c r="W311" i="2"/>
  <c r="R312" i="2"/>
  <c r="W312" i="2"/>
  <c r="R313" i="2"/>
  <c r="W313" i="2"/>
  <c r="R314" i="2"/>
  <c r="W314" i="2"/>
  <c r="R315" i="2"/>
  <c r="W315" i="2"/>
  <c r="R190" i="2"/>
  <c r="W190" i="2"/>
  <c r="R191" i="2"/>
  <c r="W191" i="2"/>
  <c r="R192" i="2"/>
  <c r="W192" i="2"/>
  <c r="R193" i="2"/>
  <c r="W193" i="2"/>
  <c r="R194" i="2"/>
  <c r="W194" i="2"/>
  <c r="R195" i="2"/>
  <c r="W195" i="2"/>
  <c r="R196" i="2"/>
  <c r="W196" i="2"/>
  <c r="R197" i="2"/>
  <c r="W197" i="2"/>
  <c r="R198" i="2"/>
  <c r="W198" i="2"/>
  <c r="R199" i="2"/>
  <c r="W199" i="2"/>
  <c r="R200" i="2"/>
  <c r="W200" i="2"/>
  <c r="R201" i="2"/>
  <c r="W201" i="2"/>
  <c r="R202" i="2"/>
  <c r="W202" i="2"/>
  <c r="R203" i="2"/>
  <c r="W203" i="2"/>
  <c r="R204" i="2"/>
  <c r="W204" i="2"/>
  <c r="R205" i="2"/>
  <c r="W205" i="2"/>
  <c r="R206" i="2"/>
  <c r="W206" i="2"/>
  <c r="R207" i="2"/>
  <c r="W207" i="2"/>
  <c r="R208" i="2"/>
  <c r="W208" i="2"/>
  <c r="R209" i="2"/>
  <c r="W209" i="2"/>
  <c r="R210" i="2"/>
  <c r="W210" i="2"/>
  <c r="R211" i="2"/>
  <c r="W211" i="2"/>
  <c r="R212" i="2"/>
  <c r="W212" i="2"/>
  <c r="R213" i="2"/>
  <c r="W213" i="2"/>
  <c r="R214" i="2"/>
  <c r="W214" i="2"/>
  <c r="R215" i="2"/>
  <c r="W215" i="2"/>
  <c r="R216" i="2"/>
  <c r="W216" i="2"/>
  <c r="R217" i="2"/>
  <c r="W217" i="2"/>
  <c r="R218" i="2"/>
  <c r="W218" i="2"/>
  <c r="R219" i="2"/>
  <c r="W219" i="2"/>
  <c r="R220" i="2"/>
  <c r="W220" i="2"/>
  <c r="R221" i="2"/>
  <c r="W221" i="2"/>
  <c r="R222" i="2"/>
  <c r="W222" i="2"/>
  <c r="R223" i="2"/>
  <c r="W223" i="2"/>
  <c r="R224" i="2"/>
  <c r="W224" i="2"/>
  <c r="R225" i="2"/>
  <c r="W225" i="2"/>
  <c r="R226" i="2"/>
  <c r="W226" i="2"/>
  <c r="R227" i="2"/>
  <c r="W227" i="2"/>
  <c r="R228" i="2"/>
  <c r="W228" i="2"/>
  <c r="R229" i="2"/>
  <c r="W229" i="2"/>
  <c r="R230" i="2"/>
  <c r="W230" i="2"/>
  <c r="R231" i="2"/>
  <c r="W231" i="2"/>
  <c r="R232" i="2"/>
  <c r="W232" i="2"/>
  <c r="R233" i="2"/>
  <c r="W233" i="2"/>
  <c r="R234" i="2"/>
  <c r="W234" i="2"/>
  <c r="R235" i="2"/>
  <c r="W235" i="2"/>
  <c r="R236" i="2"/>
  <c r="W236" i="2"/>
  <c r="R237" i="2"/>
  <c r="W237" i="2"/>
  <c r="R238" i="2"/>
  <c r="W238" i="2"/>
  <c r="R239" i="2"/>
  <c r="W239" i="2"/>
  <c r="R240" i="2"/>
  <c r="W240" i="2"/>
  <c r="R241" i="2"/>
  <c r="W241" i="2"/>
  <c r="R242" i="2"/>
  <c r="W242" i="2"/>
  <c r="R243" i="2"/>
  <c r="W243" i="2"/>
  <c r="R244" i="2"/>
  <c r="W244" i="2"/>
  <c r="R245" i="2"/>
  <c r="W245" i="2"/>
  <c r="R246" i="2"/>
  <c r="W246" i="2"/>
  <c r="R247" i="2"/>
  <c r="W247" i="2"/>
  <c r="R248" i="2"/>
  <c r="W248" i="2"/>
  <c r="R249" i="2"/>
  <c r="W249" i="2"/>
  <c r="R250" i="2"/>
  <c r="W250" i="2"/>
  <c r="R251" i="2"/>
  <c r="W251" i="2"/>
  <c r="R252" i="2"/>
  <c r="W252" i="2"/>
  <c r="R127" i="2"/>
  <c r="W127" i="2"/>
  <c r="R128" i="2"/>
  <c r="W128" i="2"/>
  <c r="R129" i="2"/>
  <c r="W129" i="2"/>
  <c r="R130" i="2"/>
  <c r="W130" i="2"/>
  <c r="R131" i="2"/>
  <c r="W131" i="2"/>
  <c r="R132" i="2"/>
  <c r="W132" i="2"/>
  <c r="R133" i="2"/>
  <c r="W133" i="2"/>
  <c r="R134" i="2"/>
  <c r="W134" i="2"/>
  <c r="R135" i="2"/>
  <c r="W135" i="2"/>
  <c r="R136" i="2"/>
  <c r="W136" i="2"/>
  <c r="R137" i="2"/>
  <c r="W137" i="2"/>
  <c r="R138" i="2"/>
  <c r="W138" i="2"/>
  <c r="R139" i="2"/>
  <c r="W139" i="2"/>
  <c r="R140" i="2"/>
  <c r="W140" i="2"/>
  <c r="R141" i="2"/>
  <c r="W141" i="2"/>
  <c r="R142" i="2"/>
  <c r="W142" i="2"/>
  <c r="R143" i="2"/>
  <c r="W143" i="2"/>
  <c r="R144" i="2"/>
  <c r="W144" i="2"/>
  <c r="R145" i="2"/>
  <c r="W145" i="2"/>
  <c r="R146" i="2"/>
  <c r="W146" i="2"/>
  <c r="R147" i="2"/>
  <c r="W147" i="2"/>
  <c r="R148" i="2"/>
  <c r="W148" i="2"/>
  <c r="R149" i="2"/>
  <c r="W149" i="2"/>
  <c r="R150" i="2"/>
  <c r="W150" i="2"/>
  <c r="R151" i="2"/>
  <c r="W151" i="2"/>
  <c r="R152" i="2"/>
  <c r="W152" i="2"/>
  <c r="R153" i="2"/>
  <c r="W153" i="2"/>
  <c r="R154" i="2"/>
  <c r="W154" i="2"/>
  <c r="R155" i="2"/>
  <c r="W155" i="2"/>
  <c r="R156" i="2"/>
  <c r="W156" i="2"/>
  <c r="R157" i="2"/>
  <c r="W157" i="2"/>
  <c r="R158" i="2"/>
  <c r="W158" i="2"/>
  <c r="R159" i="2"/>
  <c r="W159" i="2"/>
  <c r="R160" i="2"/>
  <c r="W160" i="2"/>
  <c r="R161" i="2"/>
  <c r="W161" i="2"/>
  <c r="R162" i="2"/>
  <c r="W162" i="2"/>
  <c r="R163" i="2"/>
  <c r="W163" i="2"/>
  <c r="R164" i="2"/>
  <c r="W164" i="2"/>
  <c r="R165" i="2"/>
  <c r="W165" i="2"/>
  <c r="R166" i="2"/>
  <c r="W166" i="2"/>
  <c r="R167" i="2"/>
  <c r="W167" i="2"/>
  <c r="R168" i="2"/>
  <c r="W168" i="2"/>
  <c r="R169" i="2"/>
  <c r="W169" i="2"/>
  <c r="R170" i="2"/>
  <c r="W170" i="2"/>
  <c r="R171" i="2"/>
  <c r="W171" i="2"/>
  <c r="R172" i="2"/>
  <c r="W172" i="2"/>
  <c r="R173" i="2"/>
  <c r="W173" i="2"/>
  <c r="R174" i="2"/>
  <c r="W174" i="2"/>
  <c r="R175" i="2"/>
  <c r="W175" i="2"/>
  <c r="R176" i="2"/>
  <c r="W176" i="2"/>
  <c r="R177" i="2"/>
  <c r="W177" i="2"/>
  <c r="R178" i="2"/>
  <c r="W178" i="2"/>
  <c r="R179" i="2"/>
  <c r="W179" i="2"/>
  <c r="R180" i="2"/>
  <c r="W180" i="2"/>
  <c r="R181" i="2"/>
  <c r="W181" i="2"/>
  <c r="R182" i="2"/>
  <c r="W182" i="2"/>
  <c r="R183" i="2"/>
  <c r="W183" i="2"/>
  <c r="R184" i="2"/>
  <c r="W184" i="2"/>
  <c r="R185" i="2"/>
  <c r="W185" i="2"/>
  <c r="R186" i="2"/>
  <c r="W186" i="2"/>
  <c r="R187" i="2"/>
  <c r="W187" i="2"/>
  <c r="R188" i="2"/>
  <c r="W188" i="2"/>
  <c r="R189" i="2"/>
  <c r="W189" i="2"/>
  <c r="R64" i="2"/>
  <c r="W64" i="2"/>
  <c r="R65" i="2"/>
  <c r="W65" i="2"/>
  <c r="R66" i="2"/>
  <c r="W66" i="2"/>
  <c r="R67" i="2"/>
  <c r="W67" i="2"/>
  <c r="R68" i="2"/>
  <c r="W68" i="2"/>
  <c r="R69" i="2"/>
  <c r="W69" i="2"/>
  <c r="R70" i="2"/>
  <c r="W70" i="2"/>
  <c r="R71" i="2"/>
  <c r="W71" i="2"/>
  <c r="R72" i="2"/>
  <c r="W72" i="2"/>
  <c r="R73" i="2"/>
  <c r="W73" i="2"/>
  <c r="R74" i="2"/>
  <c r="W74" i="2"/>
  <c r="R75" i="2"/>
  <c r="W75" i="2"/>
  <c r="R76" i="2"/>
  <c r="W76" i="2"/>
  <c r="R77" i="2"/>
  <c r="W77" i="2"/>
  <c r="R78" i="2"/>
  <c r="W78" i="2"/>
  <c r="R79" i="2"/>
  <c r="W79" i="2"/>
  <c r="R80" i="2"/>
  <c r="W80" i="2"/>
  <c r="R81" i="2"/>
  <c r="W81" i="2"/>
  <c r="R82" i="2"/>
  <c r="W82" i="2"/>
  <c r="R83" i="2"/>
  <c r="W83" i="2"/>
  <c r="R84" i="2"/>
  <c r="W84" i="2"/>
  <c r="R85" i="2"/>
  <c r="W85" i="2"/>
  <c r="R86" i="2"/>
  <c r="W86" i="2"/>
  <c r="R87" i="2"/>
  <c r="W87" i="2"/>
  <c r="R88" i="2"/>
  <c r="W88" i="2"/>
  <c r="R89" i="2"/>
  <c r="W89" i="2"/>
  <c r="R90" i="2"/>
  <c r="W90" i="2"/>
  <c r="R91" i="2"/>
  <c r="W91" i="2"/>
  <c r="R92" i="2"/>
  <c r="W92" i="2"/>
  <c r="R93" i="2"/>
  <c r="W93" i="2"/>
  <c r="R94" i="2"/>
  <c r="W94" i="2"/>
  <c r="R95" i="2"/>
  <c r="W95" i="2"/>
  <c r="R96" i="2"/>
  <c r="W96" i="2"/>
  <c r="R97" i="2"/>
  <c r="W97" i="2"/>
  <c r="R98" i="2"/>
  <c r="W98" i="2"/>
  <c r="R99" i="2"/>
  <c r="W99" i="2"/>
  <c r="R100" i="2"/>
  <c r="W100" i="2"/>
  <c r="R101" i="2"/>
  <c r="W101" i="2"/>
  <c r="R102" i="2"/>
  <c r="W102" i="2"/>
  <c r="R103" i="2"/>
  <c r="W103" i="2"/>
  <c r="R104" i="2"/>
  <c r="W104" i="2"/>
  <c r="R105" i="2"/>
  <c r="W105" i="2"/>
  <c r="R106" i="2"/>
  <c r="W106" i="2"/>
  <c r="R107" i="2"/>
  <c r="W107" i="2"/>
  <c r="R108" i="2"/>
  <c r="W108" i="2"/>
  <c r="R109" i="2"/>
  <c r="W109" i="2"/>
  <c r="R110" i="2"/>
  <c r="W110" i="2"/>
  <c r="R111" i="2"/>
  <c r="W111" i="2"/>
  <c r="R112" i="2"/>
  <c r="W112" i="2"/>
  <c r="R113" i="2"/>
  <c r="W113" i="2"/>
  <c r="R114" i="2"/>
  <c r="W114" i="2"/>
  <c r="R115" i="2"/>
  <c r="W115" i="2"/>
  <c r="R116" i="2"/>
  <c r="W116" i="2"/>
  <c r="R117" i="2"/>
  <c r="W117" i="2"/>
  <c r="R118" i="2"/>
  <c r="W118" i="2"/>
  <c r="R119" i="2"/>
  <c r="W119" i="2"/>
  <c r="R120" i="2"/>
  <c r="W120" i="2"/>
  <c r="R121" i="2"/>
  <c r="W121" i="2"/>
  <c r="R122" i="2"/>
  <c r="W122" i="2"/>
  <c r="R123" i="2"/>
  <c r="W123" i="2"/>
  <c r="R124" i="2"/>
  <c r="W124" i="2"/>
  <c r="R125" i="2"/>
  <c r="W125" i="2"/>
  <c r="R126" i="2"/>
  <c r="W126" i="2"/>
  <c r="R20" i="2"/>
  <c r="W20" i="2"/>
  <c r="R21" i="2"/>
  <c r="W21" i="2"/>
  <c r="R22" i="2"/>
  <c r="W22" i="2"/>
  <c r="R23" i="2"/>
  <c r="W23" i="2"/>
  <c r="R24" i="2"/>
  <c r="W24" i="2"/>
  <c r="R25" i="2"/>
  <c r="W25" i="2"/>
  <c r="R26" i="2"/>
  <c r="W26" i="2"/>
  <c r="R27" i="2"/>
  <c r="W27" i="2"/>
  <c r="R28" i="2"/>
  <c r="W28" i="2"/>
  <c r="R29" i="2"/>
  <c r="W29" i="2"/>
  <c r="R30" i="2"/>
  <c r="W30" i="2"/>
  <c r="R31" i="2"/>
  <c r="W31" i="2"/>
  <c r="R32" i="2"/>
  <c r="W32" i="2"/>
  <c r="R33" i="2"/>
  <c r="W33" i="2"/>
  <c r="R34" i="2"/>
  <c r="W34" i="2"/>
  <c r="R35" i="2"/>
  <c r="W35" i="2"/>
  <c r="R36" i="2"/>
  <c r="W36" i="2"/>
  <c r="R37" i="2"/>
  <c r="W37" i="2"/>
  <c r="R38" i="2"/>
  <c r="W38" i="2"/>
  <c r="R39" i="2"/>
  <c r="W39" i="2"/>
  <c r="R40" i="2"/>
  <c r="W40" i="2"/>
  <c r="R41" i="2"/>
  <c r="W41" i="2"/>
  <c r="R42" i="2"/>
  <c r="W42" i="2"/>
  <c r="R43" i="2"/>
  <c r="W43" i="2"/>
  <c r="R44" i="2"/>
  <c r="W44" i="2"/>
  <c r="R45" i="2"/>
  <c r="W45" i="2"/>
  <c r="R46" i="2"/>
  <c r="W46" i="2"/>
  <c r="R47" i="2"/>
  <c r="W47" i="2"/>
  <c r="R48" i="2"/>
  <c r="W48" i="2"/>
  <c r="R49" i="2"/>
  <c r="W49" i="2"/>
  <c r="R50" i="2"/>
  <c r="W50" i="2"/>
  <c r="R51" i="2"/>
  <c r="W51" i="2"/>
  <c r="R52" i="2"/>
  <c r="W52" i="2"/>
  <c r="R53" i="2"/>
  <c r="W53" i="2"/>
  <c r="R54" i="2"/>
  <c r="W54" i="2"/>
  <c r="R55" i="2"/>
  <c r="W55" i="2"/>
  <c r="R56" i="2"/>
  <c r="W56" i="2"/>
  <c r="R57" i="2"/>
  <c r="W57" i="2"/>
  <c r="R58" i="2"/>
  <c r="W58" i="2"/>
  <c r="R59" i="2"/>
  <c r="W59" i="2"/>
  <c r="R60" i="2"/>
  <c r="W60" i="2"/>
  <c r="R61" i="2"/>
  <c r="W61" i="2"/>
  <c r="R62" i="2"/>
  <c r="W62" i="2"/>
  <c r="R63" i="2"/>
  <c r="W63" i="2"/>
  <c r="F3" i="4"/>
  <c r="Q783" i="4"/>
  <c r="Q776" i="4"/>
  <c r="Q777" i="4"/>
  <c r="Q778" i="4"/>
  <c r="Q779" i="4"/>
  <c r="Q780" i="4"/>
  <c r="Q781" i="4"/>
  <c r="Q782" i="4"/>
  <c r="B52" i="4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S2" i="4"/>
  <c r="R2" i="4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D3" i="3"/>
  <c r="C2" i="3"/>
  <c r="D3" i="4" l="1"/>
  <c r="E3" i="3"/>
  <c r="D4" i="3"/>
  <c r="E3" i="4" l="1"/>
  <c r="D4" i="4"/>
  <c r="D5" i="3"/>
  <c r="E4" i="3"/>
  <c r="F3" i="3"/>
  <c r="R3" i="3" s="1"/>
  <c r="G3" i="3" l="1"/>
  <c r="F4" i="3" s="1"/>
  <c r="H3" i="3"/>
  <c r="D5" i="4"/>
  <c r="E4" i="4"/>
  <c r="R3" i="4"/>
  <c r="D6" i="3"/>
  <c r="E5" i="3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S3" i="3" l="1"/>
  <c r="I3" i="3"/>
  <c r="R4" i="3"/>
  <c r="G4" i="3"/>
  <c r="F5" i="3" s="1"/>
  <c r="R5" i="3" s="1"/>
  <c r="H4" i="3"/>
  <c r="S4" i="3" s="1"/>
  <c r="G3" i="4"/>
  <c r="H3" i="4"/>
  <c r="S3" i="4" s="1"/>
  <c r="F4" i="4"/>
  <c r="I3" i="4"/>
  <c r="D6" i="4"/>
  <c r="E5" i="4"/>
  <c r="D7" i="3"/>
  <c r="E6" i="3"/>
  <c r="I4" i="3" l="1"/>
  <c r="H5" i="3"/>
  <c r="S5" i="3" s="1"/>
  <c r="G5" i="3"/>
  <c r="F6" i="3" s="1"/>
  <c r="R6" i="3" s="1"/>
  <c r="H4" i="4"/>
  <c r="S4" i="4" s="1"/>
  <c r="R4" i="4"/>
  <c r="I4" i="4"/>
  <c r="E6" i="4"/>
  <c r="D7" i="4"/>
  <c r="G4" i="4"/>
  <c r="D8" i="3"/>
  <c r="E7" i="3"/>
  <c r="I5" i="3" l="1"/>
  <c r="H6" i="3"/>
  <c r="S6" i="3" s="1"/>
  <c r="G6" i="3"/>
  <c r="F7" i="3" s="1"/>
  <c r="R7" i="3" s="1"/>
  <c r="D8" i="4"/>
  <c r="E7" i="4"/>
  <c r="F5" i="4"/>
  <c r="R5" i="4" s="1"/>
  <c r="D9" i="3"/>
  <c r="E8" i="3"/>
  <c r="I6" i="3" l="1"/>
  <c r="H7" i="3"/>
  <c r="S7" i="3" s="1"/>
  <c r="H5" i="4"/>
  <c r="S5" i="4" s="1"/>
  <c r="I5" i="4"/>
  <c r="D9" i="4"/>
  <c r="E8" i="4"/>
  <c r="G5" i="4"/>
  <c r="D10" i="3"/>
  <c r="E9" i="3"/>
  <c r="G7" i="3"/>
  <c r="I7" i="3" l="1"/>
  <c r="F6" i="4"/>
  <c r="R6" i="4" s="1"/>
  <c r="E9" i="4"/>
  <c r="D10" i="4"/>
  <c r="D11" i="3"/>
  <c r="E10" i="3"/>
  <c r="F8" i="3"/>
  <c r="R8" i="3" s="1"/>
  <c r="H8" i="3" l="1"/>
  <c r="S8" i="3" s="1"/>
  <c r="D11" i="4"/>
  <c r="E10" i="4"/>
  <c r="H6" i="4"/>
  <c r="S6" i="4" s="1"/>
  <c r="I6" i="4"/>
  <c r="G6" i="4"/>
  <c r="D12" i="3"/>
  <c r="E11" i="3"/>
  <c r="G8" i="3"/>
  <c r="I8" i="3" l="1"/>
  <c r="F7" i="4"/>
  <c r="R7" i="4" s="1"/>
  <c r="D12" i="4"/>
  <c r="E11" i="4"/>
  <c r="F9" i="3"/>
  <c r="R9" i="3" s="1"/>
  <c r="D13" i="3"/>
  <c r="E12" i="3"/>
  <c r="G9" i="3" l="1"/>
  <c r="F10" i="3" s="1"/>
  <c r="R10" i="3" s="1"/>
  <c r="H9" i="3"/>
  <c r="S9" i="3" s="1"/>
  <c r="E12" i="4"/>
  <c r="D13" i="4"/>
  <c r="H7" i="4"/>
  <c r="S7" i="4" s="1"/>
  <c r="I7" i="4"/>
  <c r="G7" i="4"/>
  <c r="D14" i="3"/>
  <c r="E13" i="3"/>
  <c r="I9" i="3" l="1"/>
  <c r="H10" i="3"/>
  <c r="S10" i="3" s="1"/>
  <c r="G10" i="3"/>
  <c r="F11" i="3" s="1"/>
  <c r="R11" i="3" s="1"/>
  <c r="D14" i="4"/>
  <c r="E13" i="4"/>
  <c r="F8" i="4"/>
  <c r="R8" i="4" s="1"/>
  <c r="D15" i="3"/>
  <c r="E14" i="3"/>
  <c r="H11" i="3" l="1"/>
  <c r="S11" i="3" s="1"/>
  <c r="I10" i="3"/>
  <c r="I11" i="3" s="1"/>
  <c r="G11" i="3"/>
  <c r="F12" i="3" s="1"/>
  <c r="H8" i="4"/>
  <c r="S8" i="4" s="1"/>
  <c r="I8" i="4"/>
  <c r="G8" i="4"/>
  <c r="D15" i="4"/>
  <c r="E14" i="4"/>
  <c r="D16" i="3"/>
  <c r="E15" i="3"/>
  <c r="G12" i="3" l="1"/>
  <c r="F13" i="3" s="1"/>
  <c r="R13" i="3" s="1"/>
  <c r="R12" i="3"/>
  <c r="H12" i="3"/>
  <c r="S12" i="3" s="1"/>
  <c r="E15" i="4"/>
  <c r="D16" i="4"/>
  <c r="F9" i="4"/>
  <c r="D17" i="3"/>
  <c r="E16" i="3"/>
  <c r="I12" i="3" l="1"/>
  <c r="H13" i="3"/>
  <c r="S13" i="3" s="1"/>
  <c r="G9" i="4"/>
  <c r="R9" i="4"/>
  <c r="F10" i="4"/>
  <c r="R10" i="4" s="1"/>
  <c r="H9" i="4"/>
  <c r="S9" i="4" s="1"/>
  <c r="I9" i="4"/>
  <c r="D17" i="4"/>
  <c r="E16" i="4"/>
  <c r="D18" i="3"/>
  <c r="E17" i="3"/>
  <c r="G13" i="3"/>
  <c r="I13" i="3" l="1"/>
  <c r="D18" i="4"/>
  <c r="E17" i="4"/>
  <c r="H10" i="4"/>
  <c r="S10" i="4" s="1"/>
  <c r="I10" i="4"/>
  <c r="G10" i="4"/>
  <c r="D19" i="3"/>
  <c r="E18" i="3"/>
  <c r="F14" i="3"/>
  <c r="R14" i="3" s="1"/>
  <c r="H14" i="3" l="1"/>
  <c r="S14" i="3" s="1"/>
  <c r="F11" i="4"/>
  <c r="R11" i="4" s="1"/>
  <c r="E18" i="4"/>
  <c r="D19" i="4"/>
  <c r="D20" i="3"/>
  <c r="E19" i="3"/>
  <c r="G14" i="3"/>
  <c r="I14" i="3" l="1"/>
  <c r="D20" i="4"/>
  <c r="E19" i="4"/>
  <c r="H11" i="4"/>
  <c r="S11" i="4" s="1"/>
  <c r="I11" i="4"/>
  <c r="G11" i="4"/>
  <c r="D21" i="3"/>
  <c r="E20" i="3"/>
  <c r="F15" i="3"/>
  <c r="R15" i="3" s="1"/>
  <c r="G15" i="3" l="1"/>
  <c r="H15" i="3"/>
  <c r="S15" i="3" s="1"/>
  <c r="F12" i="4"/>
  <c r="R12" i="4" s="1"/>
  <c r="D21" i="4"/>
  <c r="E20" i="4"/>
  <c r="D22" i="3"/>
  <c r="E21" i="3"/>
  <c r="F16" i="3"/>
  <c r="R16" i="3" s="1"/>
  <c r="I15" i="3" l="1"/>
  <c r="H16" i="3"/>
  <c r="S16" i="3" s="1"/>
  <c r="E21" i="4"/>
  <c r="D22" i="4"/>
  <c r="H12" i="4"/>
  <c r="S12" i="4" s="1"/>
  <c r="I12" i="4"/>
  <c r="G12" i="4"/>
  <c r="D23" i="3"/>
  <c r="E22" i="3"/>
  <c r="G16" i="3"/>
  <c r="I16" i="3" l="1"/>
  <c r="F13" i="4"/>
  <c r="R13" i="4" s="1"/>
  <c r="D23" i="4"/>
  <c r="E22" i="4"/>
  <c r="D24" i="3"/>
  <c r="E23" i="3"/>
  <c r="F17" i="3"/>
  <c r="R17" i="3" s="1"/>
  <c r="H17" i="3" l="1"/>
  <c r="S17" i="3" s="1"/>
  <c r="D24" i="4"/>
  <c r="E23" i="4"/>
  <c r="H13" i="4"/>
  <c r="S13" i="4" s="1"/>
  <c r="I13" i="4"/>
  <c r="G13" i="4"/>
  <c r="D25" i="3"/>
  <c r="E24" i="3"/>
  <c r="G17" i="3"/>
  <c r="I17" i="3" l="1"/>
  <c r="F14" i="4"/>
  <c r="R14" i="4" s="1"/>
  <c r="E24" i="4"/>
  <c r="D25" i="4"/>
  <c r="D26" i="3"/>
  <c r="E25" i="3"/>
  <c r="F18" i="3"/>
  <c r="R18" i="3" s="1"/>
  <c r="G18" i="3" l="1"/>
  <c r="F19" i="3" s="1"/>
  <c r="R19" i="3" s="1"/>
  <c r="H18" i="3"/>
  <c r="S18" i="3" s="1"/>
  <c r="D26" i="4"/>
  <c r="E25" i="4"/>
  <c r="H14" i="4"/>
  <c r="S14" i="4" s="1"/>
  <c r="I14" i="4"/>
  <c r="G14" i="4"/>
  <c r="D27" i="3"/>
  <c r="E26" i="3"/>
  <c r="I18" i="3" l="1"/>
  <c r="H19" i="3"/>
  <c r="S19" i="3" s="1"/>
  <c r="F15" i="4"/>
  <c r="R15" i="4" s="1"/>
  <c r="D27" i="4"/>
  <c r="E26" i="4"/>
  <c r="D28" i="3"/>
  <c r="E27" i="3"/>
  <c r="G19" i="3"/>
  <c r="I19" i="3" l="1"/>
  <c r="E27" i="4"/>
  <c r="D28" i="4"/>
  <c r="H15" i="4"/>
  <c r="S15" i="4" s="1"/>
  <c r="I15" i="4"/>
  <c r="G15" i="4"/>
  <c r="D29" i="3"/>
  <c r="E28" i="3"/>
  <c r="F20" i="3"/>
  <c r="R20" i="3" s="1"/>
  <c r="H20" i="3" l="1"/>
  <c r="S20" i="3" s="1"/>
  <c r="F16" i="4"/>
  <c r="R16" i="4" s="1"/>
  <c r="D29" i="4"/>
  <c r="E28" i="4"/>
  <c r="D30" i="3"/>
  <c r="E29" i="3"/>
  <c r="G20" i="3"/>
  <c r="I20" i="3" l="1"/>
  <c r="D30" i="4"/>
  <c r="E29" i="4"/>
  <c r="H16" i="4"/>
  <c r="S16" i="4" s="1"/>
  <c r="I16" i="4"/>
  <c r="G16" i="4"/>
  <c r="D31" i="3"/>
  <c r="E30" i="3"/>
  <c r="F21" i="3"/>
  <c r="R21" i="3" s="1"/>
  <c r="G21" i="3" l="1"/>
  <c r="F22" i="3" s="1"/>
  <c r="R22" i="3" s="1"/>
  <c r="H21" i="3"/>
  <c r="S21" i="3" s="1"/>
  <c r="F17" i="4"/>
  <c r="R17" i="4" s="1"/>
  <c r="E30" i="4"/>
  <c r="D31" i="4"/>
  <c r="D32" i="3"/>
  <c r="E31" i="3"/>
  <c r="I21" i="3" l="1"/>
  <c r="H22" i="3"/>
  <c r="S22" i="3" s="1"/>
  <c r="D32" i="4"/>
  <c r="E31" i="4"/>
  <c r="H17" i="4"/>
  <c r="S17" i="4" s="1"/>
  <c r="I17" i="4"/>
  <c r="G17" i="4"/>
  <c r="D33" i="3"/>
  <c r="E32" i="3"/>
  <c r="G22" i="3"/>
  <c r="I22" i="3" l="1"/>
  <c r="F18" i="4"/>
  <c r="R18" i="4" s="1"/>
  <c r="D33" i="4"/>
  <c r="E32" i="4"/>
  <c r="D34" i="3"/>
  <c r="E33" i="3"/>
  <c r="F23" i="3"/>
  <c r="R23" i="3" s="1"/>
  <c r="H23" i="3" l="1"/>
  <c r="S23" i="3" s="1"/>
  <c r="E33" i="4"/>
  <c r="D34" i="4"/>
  <c r="H18" i="4"/>
  <c r="S18" i="4" s="1"/>
  <c r="I18" i="4"/>
  <c r="G18" i="4"/>
  <c r="D35" i="3"/>
  <c r="E34" i="3"/>
  <c r="G23" i="3"/>
  <c r="I23" i="3" l="1"/>
  <c r="D35" i="4"/>
  <c r="E34" i="4"/>
  <c r="F19" i="4"/>
  <c r="R19" i="4" s="1"/>
  <c r="D36" i="3"/>
  <c r="E35" i="3"/>
  <c r="F24" i="3"/>
  <c r="R24" i="3" s="1"/>
  <c r="G24" i="3" l="1"/>
  <c r="F25" i="3" s="1"/>
  <c r="R25" i="3" s="1"/>
  <c r="H24" i="3"/>
  <c r="S24" i="3" s="1"/>
  <c r="H19" i="4"/>
  <c r="S19" i="4" s="1"/>
  <c r="I19" i="4"/>
  <c r="G19" i="4"/>
  <c r="D36" i="4"/>
  <c r="E35" i="4"/>
  <c r="D37" i="3"/>
  <c r="E36" i="3"/>
  <c r="I24" i="3" l="1"/>
  <c r="H25" i="3"/>
  <c r="S25" i="3" s="1"/>
  <c r="E36" i="4"/>
  <c r="D37" i="4"/>
  <c r="F20" i="4"/>
  <c r="R20" i="4" s="1"/>
  <c r="D38" i="3"/>
  <c r="E37" i="3"/>
  <c r="G25" i="3"/>
  <c r="I25" i="3" l="1"/>
  <c r="D38" i="4"/>
  <c r="E37" i="4"/>
  <c r="H20" i="4"/>
  <c r="S20" i="4" s="1"/>
  <c r="I20" i="4"/>
  <c r="G20" i="4"/>
  <c r="D39" i="3"/>
  <c r="E38" i="3"/>
  <c r="F26" i="3"/>
  <c r="R26" i="3" s="1"/>
  <c r="H26" i="3" l="1"/>
  <c r="S26" i="3" s="1"/>
  <c r="D39" i="4"/>
  <c r="E38" i="4"/>
  <c r="F21" i="4"/>
  <c r="R21" i="4" s="1"/>
  <c r="D40" i="3"/>
  <c r="E39" i="3"/>
  <c r="G26" i="3"/>
  <c r="I26" i="3" l="1"/>
  <c r="H21" i="4"/>
  <c r="S21" i="4" s="1"/>
  <c r="I21" i="4"/>
  <c r="G21" i="4"/>
  <c r="E39" i="4"/>
  <c r="D40" i="4"/>
  <c r="D41" i="3"/>
  <c r="E40" i="3"/>
  <c r="F27" i="3"/>
  <c r="R27" i="3" s="1"/>
  <c r="H27" i="3" l="1"/>
  <c r="S27" i="3" s="1"/>
  <c r="D41" i="4"/>
  <c r="E40" i="4"/>
  <c r="F22" i="4"/>
  <c r="R22" i="4" s="1"/>
  <c r="D42" i="3"/>
  <c r="E41" i="3"/>
  <c r="G27" i="3"/>
  <c r="I27" i="3" l="1"/>
  <c r="H22" i="4"/>
  <c r="S22" i="4" s="1"/>
  <c r="I22" i="4"/>
  <c r="G22" i="4"/>
  <c r="D42" i="4"/>
  <c r="E41" i="4"/>
  <c r="D43" i="3"/>
  <c r="E42" i="3"/>
  <c r="F28" i="3"/>
  <c r="R28" i="3" s="1"/>
  <c r="H28" i="3" l="1"/>
  <c r="S28" i="3" s="1"/>
  <c r="F23" i="4"/>
  <c r="R23" i="4" s="1"/>
  <c r="E42" i="4"/>
  <c r="D43" i="4"/>
  <c r="D44" i="3"/>
  <c r="E43" i="3"/>
  <c r="G28" i="3"/>
  <c r="I28" i="3" l="1"/>
  <c r="D44" i="4"/>
  <c r="E43" i="4"/>
  <c r="H23" i="4"/>
  <c r="S23" i="4" s="1"/>
  <c r="I23" i="4"/>
  <c r="G23" i="4"/>
  <c r="D45" i="3"/>
  <c r="E44" i="3"/>
  <c r="F29" i="3"/>
  <c r="R29" i="3" s="1"/>
  <c r="H29" i="3" l="1"/>
  <c r="S29" i="3" s="1"/>
  <c r="F24" i="4"/>
  <c r="R24" i="4" s="1"/>
  <c r="D45" i="4"/>
  <c r="E44" i="4"/>
  <c r="D46" i="3"/>
  <c r="E45" i="3"/>
  <c r="G29" i="3"/>
  <c r="I29" i="3" l="1"/>
  <c r="E45" i="4"/>
  <c r="D46" i="4"/>
  <c r="H24" i="4"/>
  <c r="S24" i="4" s="1"/>
  <c r="I24" i="4"/>
  <c r="G24" i="4"/>
  <c r="D47" i="3"/>
  <c r="E46" i="3"/>
  <c r="F30" i="3"/>
  <c r="R30" i="3" s="1"/>
  <c r="G30" i="3" l="1"/>
  <c r="H30" i="3"/>
  <c r="S30" i="3" s="1"/>
  <c r="D47" i="4"/>
  <c r="E46" i="4"/>
  <c r="F25" i="4"/>
  <c r="R25" i="4" s="1"/>
  <c r="D48" i="3"/>
  <c r="E47" i="3"/>
  <c r="F31" i="3"/>
  <c r="R31" i="3" s="1"/>
  <c r="I30" i="3" l="1"/>
  <c r="H31" i="3"/>
  <c r="S31" i="3" s="1"/>
  <c r="H25" i="4"/>
  <c r="S25" i="4" s="1"/>
  <c r="I25" i="4"/>
  <c r="G25" i="4"/>
  <c r="D48" i="4"/>
  <c r="E47" i="4"/>
  <c r="D49" i="3"/>
  <c r="E48" i="3"/>
  <c r="G31" i="3"/>
  <c r="I31" i="3" l="1"/>
  <c r="E48" i="4"/>
  <c r="D49" i="4"/>
  <c r="F26" i="4"/>
  <c r="R26" i="4" s="1"/>
  <c r="D50" i="3"/>
  <c r="E49" i="3"/>
  <c r="F32" i="3"/>
  <c r="R32" i="3" s="1"/>
  <c r="H32" i="3" l="1"/>
  <c r="S32" i="3" s="1"/>
  <c r="D50" i="4"/>
  <c r="E49" i="4"/>
  <c r="H26" i="4"/>
  <c r="S26" i="4" s="1"/>
  <c r="I26" i="4"/>
  <c r="G26" i="4"/>
  <c r="D51" i="3"/>
  <c r="E51" i="3" s="1"/>
  <c r="E50" i="3"/>
  <c r="G32" i="3"/>
  <c r="I32" i="3" l="1"/>
  <c r="F27" i="4"/>
  <c r="R27" i="4" s="1"/>
  <c r="D51" i="4"/>
  <c r="E50" i="4"/>
  <c r="F33" i="3"/>
  <c r="G33" i="3" l="1"/>
  <c r="F34" i="3" s="1"/>
  <c r="R34" i="3" s="1"/>
  <c r="R33" i="3"/>
  <c r="H33" i="3"/>
  <c r="S33" i="3" s="1"/>
  <c r="E51" i="4"/>
  <c r="D52" i="4"/>
  <c r="H27" i="4"/>
  <c r="S27" i="4" s="1"/>
  <c r="I27" i="4"/>
  <c r="G27" i="4"/>
  <c r="I33" i="3" l="1"/>
  <c r="H34" i="3"/>
  <c r="S34" i="3" s="1"/>
  <c r="E52" i="4"/>
  <c r="D53" i="4"/>
  <c r="F28" i="4"/>
  <c r="R28" i="4" s="1"/>
  <c r="G34" i="3"/>
  <c r="I34" i="3" l="1"/>
  <c r="E53" i="4"/>
  <c r="D54" i="4"/>
  <c r="H28" i="4"/>
  <c r="S28" i="4" s="1"/>
  <c r="I28" i="4"/>
  <c r="G28" i="4"/>
  <c r="F35" i="3"/>
  <c r="R35" i="3" s="1"/>
  <c r="H35" i="3" l="1"/>
  <c r="S35" i="3" s="1"/>
  <c r="E54" i="4"/>
  <c r="D55" i="4"/>
  <c r="F29" i="4"/>
  <c r="R29" i="4" s="1"/>
  <c r="G35" i="3"/>
  <c r="I35" i="3" l="1"/>
  <c r="D56" i="4"/>
  <c r="E55" i="4"/>
  <c r="H29" i="4"/>
  <c r="S29" i="4" s="1"/>
  <c r="I29" i="4"/>
  <c r="G29" i="4"/>
  <c r="F36" i="3"/>
  <c r="R36" i="3" s="1"/>
  <c r="G36" i="3" l="1"/>
  <c r="F37" i="3" s="1"/>
  <c r="R37" i="3" s="1"/>
  <c r="H36" i="3"/>
  <c r="S36" i="3" s="1"/>
  <c r="E56" i="4"/>
  <c r="D57" i="4"/>
  <c r="F30" i="4"/>
  <c r="R30" i="4" s="1"/>
  <c r="I36" i="3" l="1"/>
  <c r="H37" i="3"/>
  <c r="S37" i="3" s="1"/>
  <c r="E57" i="4"/>
  <c r="D58" i="4"/>
  <c r="H30" i="4"/>
  <c r="S30" i="4" s="1"/>
  <c r="I30" i="4"/>
  <c r="G30" i="4"/>
  <c r="G37" i="3"/>
  <c r="I37" i="3" l="1"/>
  <c r="E58" i="4"/>
  <c r="D59" i="4"/>
  <c r="F31" i="4"/>
  <c r="R31" i="4" s="1"/>
  <c r="F38" i="3"/>
  <c r="R38" i="3" s="1"/>
  <c r="H38" i="3" l="1"/>
  <c r="S38" i="3" s="1"/>
  <c r="D60" i="4"/>
  <c r="E59" i="4"/>
  <c r="H31" i="4"/>
  <c r="S31" i="4" s="1"/>
  <c r="I31" i="4"/>
  <c r="G31" i="4"/>
  <c r="G38" i="3"/>
  <c r="I38" i="3" l="1"/>
  <c r="D61" i="4"/>
  <c r="E60" i="4"/>
  <c r="F32" i="4"/>
  <c r="R32" i="4" s="1"/>
  <c r="F39" i="3"/>
  <c r="G39" i="3" l="1"/>
  <c r="F40" i="3" s="1"/>
  <c r="R40" i="3" s="1"/>
  <c r="R39" i="3"/>
  <c r="H39" i="3"/>
  <c r="S39" i="3" s="1"/>
  <c r="E61" i="4"/>
  <c r="D62" i="4"/>
  <c r="H32" i="4"/>
  <c r="S32" i="4" s="1"/>
  <c r="I32" i="4"/>
  <c r="G32" i="4"/>
  <c r="I39" i="3" l="1"/>
  <c r="H40" i="3"/>
  <c r="S40" i="3" s="1"/>
  <c r="D63" i="4"/>
  <c r="E62" i="4"/>
  <c r="F33" i="4"/>
  <c r="R33" i="4" s="1"/>
  <c r="G40" i="3"/>
  <c r="I40" i="3" l="1"/>
  <c r="D64" i="4"/>
  <c r="E63" i="4"/>
  <c r="H33" i="4"/>
  <c r="S33" i="4" s="1"/>
  <c r="I33" i="4"/>
  <c r="G33" i="4"/>
  <c r="F41" i="3"/>
  <c r="R41" i="3" s="1"/>
  <c r="H41" i="3" l="1"/>
  <c r="S41" i="3" s="1"/>
  <c r="D65" i="4"/>
  <c r="E64" i="4"/>
  <c r="F34" i="4"/>
  <c r="R34" i="4" s="1"/>
  <c r="G41" i="3"/>
  <c r="I41" i="3" l="1"/>
  <c r="E65" i="4"/>
  <c r="D66" i="4"/>
  <c r="H34" i="4"/>
  <c r="S34" i="4" s="1"/>
  <c r="I34" i="4"/>
  <c r="G34" i="4"/>
  <c r="F42" i="3"/>
  <c r="R42" i="3" s="1"/>
  <c r="G42" i="3" l="1"/>
  <c r="F43" i="3" s="1"/>
  <c r="R43" i="3" s="1"/>
  <c r="H42" i="3"/>
  <c r="S42" i="3" s="1"/>
  <c r="D67" i="4"/>
  <c r="E66" i="4"/>
  <c r="F35" i="4"/>
  <c r="R35" i="4" s="1"/>
  <c r="I42" i="3" l="1"/>
  <c r="H43" i="3"/>
  <c r="S43" i="3" s="1"/>
  <c r="D68" i="4"/>
  <c r="E67" i="4"/>
  <c r="H35" i="4"/>
  <c r="S35" i="4" s="1"/>
  <c r="I35" i="4"/>
  <c r="G35" i="4"/>
  <c r="G43" i="3"/>
  <c r="I43" i="3" l="1"/>
  <c r="D69" i="4"/>
  <c r="E68" i="4"/>
  <c r="F36" i="4"/>
  <c r="R36" i="4" s="1"/>
  <c r="F44" i="3"/>
  <c r="G44" i="3" l="1"/>
  <c r="F45" i="3" s="1"/>
  <c r="R45" i="3" s="1"/>
  <c r="R44" i="3"/>
  <c r="H44" i="3"/>
  <c r="S44" i="3" s="1"/>
  <c r="E69" i="4"/>
  <c r="D70" i="4"/>
  <c r="H36" i="4"/>
  <c r="S36" i="4" s="1"/>
  <c r="I36" i="4"/>
  <c r="G36" i="4"/>
  <c r="I44" i="3" l="1"/>
  <c r="G45" i="3"/>
  <c r="F46" i="3" s="1"/>
  <c r="R46" i="3" s="1"/>
  <c r="H45" i="3"/>
  <c r="S45" i="3" s="1"/>
  <c r="D71" i="4"/>
  <c r="E70" i="4"/>
  <c r="F37" i="4"/>
  <c r="R37" i="4" s="1"/>
  <c r="I45" i="3" l="1"/>
  <c r="H46" i="3"/>
  <c r="S46" i="3" s="1"/>
  <c r="D72" i="4"/>
  <c r="E71" i="4"/>
  <c r="H37" i="4"/>
  <c r="S37" i="4" s="1"/>
  <c r="I37" i="4"/>
  <c r="G37" i="4"/>
  <c r="G46" i="3"/>
  <c r="I46" i="3" l="1"/>
  <c r="D73" i="4"/>
  <c r="E72" i="4"/>
  <c r="F38" i="4"/>
  <c r="R38" i="4" s="1"/>
  <c r="F47" i="3"/>
  <c r="R47" i="3" s="1"/>
  <c r="H47" i="3" l="1"/>
  <c r="S47" i="3" s="1"/>
  <c r="E73" i="4"/>
  <c r="D74" i="4"/>
  <c r="H38" i="4"/>
  <c r="S38" i="4" s="1"/>
  <c r="I38" i="4"/>
  <c r="G38" i="4"/>
  <c r="G47" i="3"/>
  <c r="I47" i="3" l="1"/>
  <c r="D75" i="4"/>
  <c r="E74" i="4"/>
  <c r="F39" i="4"/>
  <c r="R39" i="4" s="1"/>
  <c r="F48" i="3"/>
  <c r="R48" i="3" s="1"/>
  <c r="G48" i="3" l="1"/>
  <c r="F49" i="3" s="1"/>
  <c r="R49" i="3" s="1"/>
  <c r="H48" i="3"/>
  <c r="S48" i="3" s="1"/>
  <c r="D76" i="4"/>
  <c r="E75" i="4"/>
  <c r="H39" i="4"/>
  <c r="S39" i="4" s="1"/>
  <c r="I39" i="4"/>
  <c r="G39" i="4"/>
  <c r="I48" i="3" l="1"/>
  <c r="H49" i="3"/>
  <c r="S49" i="3" s="1"/>
  <c r="D77" i="4"/>
  <c r="E76" i="4"/>
  <c r="F40" i="4"/>
  <c r="R40" i="4" s="1"/>
  <c r="G49" i="3"/>
  <c r="I49" i="3" l="1"/>
  <c r="E77" i="4"/>
  <c r="D78" i="4"/>
  <c r="H40" i="4"/>
  <c r="S40" i="4" s="1"/>
  <c r="I40" i="4"/>
  <c r="G40" i="4"/>
  <c r="F50" i="3"/>
  <c r="R50" i="3" s="1"/>
  <c r="G50" i="3"/>
  <c r="H50" i="3" l="1"/>
  <c r="S50" i="3" s="1"/>
  <c r="D79" i="4"/>
  <c r="E78" i="4"/>
  <c r="F41" i="4"/>
  <c r="R41" i="4" s="1"/>
  <c r="F51" i="3"/>
  <c r="R51" i="3" s="1"/>
  <c r="I50" i="3" l="1"/>
  <c r="H51" i="3"/>
  <c r="S51" i="3" s="1"/>
  <c r="D80" i="4"/>
  <c r="E79" i="4"/>
  <c r="H41" i="4"/>
  <c r="S41" i="4" s="1"/>
  <c r="I41" i="4"/>
  <c r="G41" i="4"/>
  <c r="G51" i="3"/>
  <c r="I51" i="3" l="1"/>
  <c r="D81" i="4"/>
  <c r="E80" i="4"/>
  <c r="F42" i="4"/>
  <c r="R42" i="4" s="1"/>
  <c r="E81" i="4" l="1"/>
  <c r="D82" i="4"/>
  <c r="H42" i="4"/>
  <c r="S42" i="4" s="1"/>
  <c r="I42" i="4"/>
  <c r="G42" i="4"/>
  <c r="D83" i="4" l="1"/>
  <c r="E82" i="4"/>
  <c r="F43" i="4"/>
  <c r="R43" i="4" s="1"/>
  <c r="D84" i="4" l="1"/>
  <c r="E83" i="4"/>
  <c r="H43" i="4"/>
  <c r="S43" i="4" s="1"/>
  <c r="I43" i="4"/>
  <c r="G43" i="4"/>
  <c r="D85" i="4" l="1"/>
  <c r="E84" i="4"/>
  <c r="F44" i="4"/>
  <c r="R44" i="4" s="1"/>
  <c r="E85" i="4" l="1"/>
  <c r="D86" i="4"/>
  <c r="H44" i="4"/>
  <c r="S44" i="4" s="1"/>
  <c r="I44" i="4"/>
  <c r="G44" i="4"/>
  <c r="D87" i="4" l="1"/>
  <c r="E86" i="4"/>
  <c r="F45" i="4"/>
  <c r="R45" i="4" s="1"/>
  <c r="D88" i="4" l="1"/>
  <c r="E87" i="4"/>
  <c r="H45" i="4"/>
  <c r="S45" i="4" s="1"/>
  <c r="I45" i="4"/>
  <c r="G45" i="4"/>
  <c r="D89" i="4" l="1"/>
  <c r="E88" i="4"/>
  <c r="F46" i="4"/>
  <c r="R46" i="4" s="1"/>
  <c r="E89" i="4" l="1"/>
  <c r="D90" i="4"/>
  <c r="H46" i="4"/>
  <c r="S46" i="4" s="1"/>
  <c r="I46" i="4"/>
  <c r="G46" i="4"/>
  <c r="E90" i="4" l="1"/>
  <c r="D91" i="4"/>
  <c r="F47" i="4"/>
  <c r="R47" i="4" s="1"/>
  <c r="D92" i="4" l="1"/>
  <c r="E91" i="4"/>
  <c r="H47" i="4"/>
  <c r="S47" i="4" s="1"/>
  <c r="I47" i="4"/>
  <c r="G47" i="4"/>
  <c r="D93" i="4" l="1"/>
  <c r="E92" i="4"/>
  <c r="F48" i="4"/>
  <c r="R48" i="4" s="1"/>
  <c r="E93" i="4" l="1"/>
  <c r="D94" i="4"/>
  <c r="H48" i="4"/>
  <c r="S48" i="4" s="1"/>
  <c r="I48" i="4"/>
  <c r="G48" i="4"/>
  <c r="D95" i="4" l="1"/>
  <c r="E94" i="4"/>
  <c r="F49" i="4"/>
  <c r="R49" i="4" s="1"/>
  <c r="D96" i="4" l="1"/>
  <c r="E95" i="4"/>
  <c r="H49" i="4"/>
  <c r="S49" i="4" s="1"/>
  <c r="I49" i="4"/>
  <c r="G49" i="4"/>
  <c r="D97" i="4" l="1"/>
  <c r="E96" i="4"/>
  <c r="F50" i="4"/>
  <c r="R50" i="4" s="1"/>
  <c r="E97" i="4" l="1"/>
  <c r="D98" i="4"/>
  <c r="H50" i="4"/>
  <c r="S50" i="4" s="1"/>
  <c r="I50" i="4"/>
  <c r="G50" i="4"/>
  <c r="D99" i="4" l="1"/>
  <c r="E98" i="4"/>
  <c r="F51" i="4"/>
  <c r="R51" i="4" s="1"/>
  <c r="D100" i="4" l="1"/>
  <c r="E99" i="4"/>
  <c r="H51" i="4"/>
  <c r="S51" i="4" s="1"/>
  <c r="I51" i="4"/>
  <c r="G51" i="4"/>
  <c r="F52" i="4" l="1"/>
  <c r="D101" i="4"/>
  <c r="E100" i="4"/>
  <c r="E101" i="4" l="1"/>
  <c r="D102" i="4"/>
  <c r="I52" i="4"/>
  <c r="R52" i="4"/>
  <c r="H52" i="4"/>
  <c r="S52" i="4" s="1"/>
  <c r="G52" i="4"/>
  <c r="F53" i="4" l="1"/>
  <c r="D103" i="4"/>
  <c r="E102" i="4"/>
  <c r="D104" i="4" l="1"/>
  <c r="E103" i="4"/>
  <c r="H53" i="4"/>
  <c r="S53" i="4" s="1"/>
  <c r="R53" i="4"/>
  <c r="I53" i="4"/>
  <c r="G53" i="4"/>
  <c r="F54" i="4" l="1"/>
  <c r="D105" i="4"/>
  <c r="E104" i="4"/>
  <c r="E105" i="4" l="1"/>
  <c r="D106" i="4"/>
  <c r="R54" i="4"/>
  <c r="H54" i="4"/>
  <c r="S54" i="4" s="1"/>
  <c r="I54" i="4"/>
  <c r="G54" i="4"/>
  <c r="F55" i="4" l="1"/>
  <c r="D107" i="4"/>
  <c r="E106" i="4"/>
  <c r="E107" i="4" l="1"/>
  <c r="D108" i="4"/>
  <c r="R55" i="4"/>
  <c r="H55" i="4"/>
  <c r="S55" i="4" s="1"/>
  <c r="I55" i="4"/>
  <c r="G55" i="4"/>
  <c r="F56" i="4" l="1"/>
  <c r="D109" i="4"/>
  <c r="E108" i="4"/>
  <c r="E109" i="4" l="1"/>
  <c r="D110" i="4"/>
  <c r="R56" i="4"/>
  <c r="H56" i="4"/>
  <c r="S56" i="4" s="1"/>
  <c r="I56" i="4"/>
  <c r="G56" i="4"/>
  <c r="F57" i="4" l="1"/>
  <c r="E110" i="4"/>
  <c r="D111" i="4"/>
  <c r="E111" i="4" l="1"/>
  <c r="D112" i="4"/>
  <c r="R57" i="4"/>
  <c r="H57" i="4"/>
  <c r="S57" i="4" s="1"/>
  <c r="I57" i="4"/>
  <c r="G57" i="4"/>
  <c r="F58" i="4" l="1"/>
  <c r="E112" i="4"/>
  <c r="D113" i="4"/>
  <c r="D114" i="4" l="1"/>
  <c r="E113" i="4"/>
  <c r="R58" i="4"/>
  <c r="H58" i="4"/>
  <c r="S58" i="4" s="1"/>
  <c r="I58" i="4"/>
  <c r="G58" i="4"/>
  <c r="F59" i="4" l="1"/>
  <c r="E114" i="4"/>
  <c r="D115" i="4"/>
  <c r="E115" i="4" l="1"/>
  <c r="D116" i="4"/>
  <c r="R59" i="4"/>
  <c r="H59" i="4"/>
  <c r="S59" i="4" s="1"/>
  <c r="I59" i="4"/>
  <c r="G59" i="4"/>
  <c r="F60" i="4" l="1"/>
  <c r="D117" i="4"/>
  <c r="E116" i="4"/>
  <c r="E117" i="4" l="1"/>
  <c r="D118" i="4"/>
  <c r="R60" i="4"/>
  <c r="H60" i="4"/>
  <c r="S60" i="4" s="1"/>
  <c r="I60" i="4"/>
  <c r="G60" i="4"/>
  <c r="F61" i="4" l="1"/>
  <c r="E118" i="4"/>
  <c r="D119" i="4"/>
  <c r="D120" i="4" l="1"/>
  <c r="E119" i="4"/>
  <c r="R61" i="4"/>
  <c r="H61" i="4"/>
  <c r="S61" i="4" s="1"/>
  <c r="I61" i="4"/>
  <c r="G61" i="4"/>
  <c r="F62" i="4" l="1"/>
  <c r="E120" i="4"/>
  <c r="D121" i="4"/>
  <c r="E121" i="4" l="1"/>
  <c r="D122" i="4"/>
  <c r="R62" i="4"/>
  <c r="H62" i="4"/>
  <c r="S62" i="4" s="1"/>
  <c r="I62" i="4"/>
  <c r="G62" i="4"/>
  <c r="F63" i="4" l="1"/>
  <c r="E122" i="4"/>
  <c r="D123" i="4"/>
  <c r="D124" i="4" l="1"/>
  <c r="E123" i="4"/>
  <c r="R63" i="4"/>
  <c r="H63" i="4"/>
  <c r="S63" i="4" s="1"/>
  <c r="I63" i="4"/>
  <c r="G63" i="4"/>
  <c r="F64" i="4" l="1"/>
  <c r="D125" i="4"/>
  <c r="E124" i="4"/>
  <c r="E125" i="4" l="1"/>
  <c r="D126" i="4"/>
  <c r="R64" i="4"/>
  <c r="H64" i="4"/>
  <c r="S64" i="4" s="1"/>
  <c r="I64" i="4"/>
  <c r="G64" i="4"/>
  <c r="F65" i="4" l="1"/>
  <c r="E126" i="4"/>
  <c r="D127" i="4"/>
  <c r="D128" i="4" l="1"/>
  <c r="E127" i="4"/>
  <c r="R65" i="4"/>
  <c r="H65" i="4"/>
  <c r="S65" i="4" s="1"/>
  <c r="I65" i="4"/>
  <c r="G65" i="4"/>
  <c r="F66" i="4" l="1"/>
  <c r="E128" i="4"/>
  <c r="D129" i="4"/>
  <c r="D130" i="4" l="1"/>
  <c r="E129" i="4"/>
  <c r="R66" i="4"/>
  <c r="H66" i="4"/>
  <c r="S66" i="4" s="1"/>
  <c r="I66" i="4"/>
  <c r="G66" i="4"/>
  <c r="F67" i="4" l="1"/>
  <c r="E130" i="4"/>
  <c r="D131" i="4"/>
  <c r="E131" i="4" l="1"/>
  <c r="D132" i="4"/>
  <c r="R67" i="4"/>
  <c r="H67" i="4"/>
  <c r="S67" i="4" s="1"/>
  <c r="I67" i="4"/>
  <c r="G67" i="4"/>
  <c r="F68" i="4" l="1"/>
  <c r="E132" i="4"/>
  <c r="D133" i="4"/>
  <c r="E133" i="4" l="1"/>
  <c r="D134" i="4"/>
  <c r="R68" i="4"/>
  <c r="H68" i="4"/>
  <c r="S68" i="4" s="1"/>
  <c r="I68" i="4"/>
  <c r="G68" i="4"/>
  <c r="F69" i="4" l="1"/>
  <c r="D135" i="4"/>
  <c r="E134" i="4"/>
  <c r="E135" i="4" l="1"/>
  <c r="D136" i="4"/>
  <c r="R69" i="4"/>
  <c r="H69" i="4"/>
  <c r="S69" i="4" s="1"/>
  <c r="I69" i="4"/>
  <c r="G69" i="4"/>
  <c r="F70" i="4" l="1"/>
  <c r="E136" i="4"/>
  <c r="D137" i="4"/>
  <c r="E137" i="4" l="1"/>
  <c r="D138" i="4"/>
  <c r="R70" i="4"/>
  <c r="H70" i="4"/>
  <c r="S70" i="4" s="1"/>
  <c r="I70" i="4"/>
  <c r="G70" i="4"/>
  <c r="F71" i="4" l="1"/>
  <c r="E138" i="4"/>
  <c r="D139" i="4"/>
  <c r="D140" i="4" l="1"/>
  <c r="E139" i="4"/>
  <c r="R71" i="4"/>
  <c r="H71" i="4"/>
  <c r="S71" i="4" s="1"/>
  <c r="I71" i="4"/>
  <c r="G71" i="4"/>
  <c r="F72" i="4" l="1"/>
  <c r="E140" i="4"/>
  <c r="D141" i="4"/>
  <c r="D142" i="4" l="1"/>
  <c r="E141" i="4"/>
  <c r="R72" i="4"/>
  <c r="H72" i="4"/>
  <c r="S72" i="4" s="1"/>
  <c r="I72" i="4"/>
  <c r="G72" i="4"/>
  <c r="F73" i="4" l="1"/>
  <c r="D143" i="4"/>
  <c r="E142" i="4"/>
  <c r="D144" i="4" l="1"/>
  <c r="E143" i="4"/>
  <c r="R73" i="4"/>
  <c r="H73" i="4"/>
  <c r="S73" i="4" s="1"/>
  <c r="I73" i="4"/>
  <c r="G73" i="4"/>
  <c r="F74" i="4" l="1"/>
  <c r="E144" i="4"/>
  <c r="D145" i="4"/>
  <c r="D146" i="4" l="1"/>
  <c r="E145" i="4"/>
  <c r="R74" i="4"/>
  <c r="H74" i="4"/>
  <c r="S74" i="4" s="1"/>
  <c r="I74" i="4"/>
  <c r="G74" i="4"/>
  <c r="F75" i="4" l="1"/>
  <c r="D147" i="4"/>
  <c r="E146" i="4"/>
  <c r="E147" i="4" l="1"/>
  <c r="D148" i="4"/>
  <c r="R75" i="4"/>
  <c r="H75" i="4"/>
  <c r="S75" i="4" s="1"/>
  <c r="I75" i="4"/>
  <c r="G75" i="4"/>
  <c r="F76" i="4" l="1"/>
  <c r="D149" i="4"/>
  <c r="E148" i="4"/>
  <c r="D150" i="4" l="1"/>
  <c r="E149" i="4"/>
  <c r="R76" i="4"/>
  <c r="H76" i="4"/>
  <c r="S76" i="4" s="1"/>
  <c r="I76" i="4"/>
  <c r="G76" i="4"/>
  <c r="F77" i="4" l="1"/>
  <c r="E150" i="4"/>
  <c r="D151" i="4"/>
  <c r="D152" i="4" l="1"/>
  <c r="E151" i="4"/>
  <c r="R77" i="4"/>
  <c r="H77" i="4"/>
  <c r="S77" i="4" s="1"/>
  <c r="I77" i="4"/>
  <c r="G77" i="4"/>
  <c r="F78" i="4" l="1"/>
  <c r="D153" i="4"/>
  <c r="E152" i="4"/>
  <c r="E153" i="4" l="1"/>
  <c r="D154" i="4"/>
  <c r="R78" i="4"/>
  <c r="H78" i="4"/>
  <c r="S78" i="4" s="1"/>
  <c r="I78" i="4"/>
  <c r="G78" i="4"/>
  <c r="F79" i="4" l="1"/>
  <c r="D155" i="4"/>
  <c r="E154" i="4"/>
  <c r="D156" i="4" l="1"/>
  <c r="E155" i="4"/>
  <c r="R79" i="4"/>
  <c r="H79" i="4"/>
  <c r="S79" i="4" s="1"/>
  <c r="I79" i="4"/>
  <c r="G79" i="4"/>
  <c r="F80" i="4" l="1"/>
  <c r="D157" i="4"/>
  <c r="E156" i="4"/>
  <c r="E157" i="4" l="1"/>
  <c r="D158" i="4"/>
  <c r="R80" i="4"/>
  <c r="H80" i="4"/>
  <c r="S80" i="4" s="1"/>
  <c r="I80" i="4"/>
  <c r="G80" i="4"/>
  <c r="F81" i="4" l="1"/>
  <c r="E158" i="4"/>
  <c r="D159" i="4"/>
  <c r="E159" i="4" l="1"/>
  <c r="D160" i="4"/>
  <c r="R81" i="4"/>
  <c r="H81" i="4"/>
  <c r="S81" i="4" s="1"/>
  <c r="I81" i="4"/>
  <c r="G81" i="4"/>
  <c r="F82" i="4" l="1"/>
  <c r="D161" i="4"/>
  <c r="E160" i="4"/>
  <c r="E161" i="4" l="1"/>
  <c r="D162" i="4"/>
  <c r="R82" i="4"/>
  <c r="H82" i="4"/>
  <c r="S82" i="4" s="1"/>
  <c r="I82" i="4"/>
  <c r="G82" i="4"/>
  <c r="F83" i="4" l="1"/>
  <c r="E162" i="4"/>
  <c r="D163" i="4"/>
  <c r="D164" i="4" l="1"/>
  <c r="E163" i="4"/>
  <c r="R83" i="4"/>
  <c r="H83" i="4"/>
  <c r="S83" i="4" s="1"/>
  <c r="I83" i="4"/>
  <c r="G83" i="4"/>
  <c r="F84" i="4" l="1"/>
  <c r="D165" i="4"/>
  <c r="E164" i="4"/>
  <c r="E165" i="4" l="1"/>
  <c r="D166" i="4"/>
  <c r="R84" i="4"/>
  <c r="H84" i="4"/>
  <c r="S84" i="4" s="1"/>
  <c r="I84" i="4"/>
  <c r="G84" i="4"/>
  <c r="F85" i="4" l="1"/>
  <c r="D167" i="4"/>
  <c r="E166" i="4"/>
  <c r="D168" i="4" l="1"/>
  <c r="E167" i="4"/>
  <c r="R85" i="4"/>
  <c r="H85" i="4"/>
  <c r="S85" i="4" s="1"/>
  <c r="I85" i="4"/>
  <c r="G85" i="4"/>
  <c r="F86" i="4" l="1"/>
  <c r="E168" i="4"/>
  <c r="D169" i="4"/>
  <c r="E169" i="4" l="1"/>
  <c r="D170" i="4"/>
  <c r="R86" i="4"/>
  <c r="H86" i="4"/>
  <c r="S86" i="4" s="1"/>
  <c r="I86" i="4"/>
  <c r="G86" i="4"/>
  <c r="F87" i="4" l="1"/>
  <c r="D171" i="4"/>
  <c r="E170" i="4"/>
  <c r="D172" i="4" l="1"/>
  <c r="E171" i="4"/>
  <c r="R87" i="4"/>
  <c r="H87" i="4"/>
  <c r="S87" i="4" s="1"/>
  <c r="I87" i="4"/>
  <c r="G87" i="4"/>
  <c r="F88" i="4" l="1"/>
  <c r="D173" i="4"/>
  <c r="E172" i="4"/>
  <c r="E173" i="4" l="1"/>
  <c r="D174" i="4"/>
  <c r="R88" i="4"/>
  <c r="H88" i="4"/>
  <c r="S88" i="4" s="1"/>
  <c r="I88" i="4"/>
  <c r="G88" i="4"/>
  <c r="F89" i="4" l="1"/>
  <c r="E174" i="4"/>
  <c r="D175" i="4"/>
  <c r="D176" i="4" l="1"/>
  <c r="E175" i="4"/>
  <c r="R89" i="4"/>
  <c r="H89" i="4"/>
  <c r="S89" i="4" s="1"/>
  <c r="I89" i="4"/>
  <c r="G89" i="4"/>
  <c r="F90" i="4" l="1"/>
  <c r="D177" i="4"/>
  <c r="E176" i="4"/>
  <c r="E177" i="4" l="1"/>
  <c r="D178" i="4"/>
  <c r="R90" i="4"/>
  <c r="H90" i="4"/>
  <c r="S90" i="4" s="1"/>
  <c r="I90" i="4"/>
  <c r="G90" i="4"/>
  <c r="F91" i="4" l="1"/>
  <c r="E178" i="4"/>
  <c r="D179" i="4"/>
  <c r="E179" i="4" l="1"/>
  <c r="D180" i="4"/>
  <c r="R91" i="4"/>
  <c r="H91" i="4"/>
  <c r="S91" i="4" s="1"/>
  <c r="I91" i="4"/>
  <c r="G91" i="4"/>
  <c r="F92" i="4" l="1"/>
  <c r="D181" i="4"/>
  <c r="E180" i="4"/>
  <c r="E181" i="4" l="1"/>
  <c r="D182" i="4"/>
  <c r="R92" i="4"/>
  <c r="H92" i="4"/>
  <c r="S92" i="4" s="1"/>
  <c r="I92" i="4"/>
  <c r="G92" i="4"/>
  <c r="F93" i="4" l="1"/>
  <c r="E182" i="4"/>
  <c r="D183" i="4"/>
  <c r="D184" i="4" l="1"/>
  <c r="E183" i="4"/>
  <c r="R93" i="4"/>
  <c r="H93" i="4"/>
  <c r="S93" i="4" s="1"/>
  <c r="I93" i="4"/>
  <c r="G93" i="4"/>
  <c r="F94" i="4" l="1"/>
  <c r="E184" i="4"/>
  <c r="D185" i="4"/>
  <c r="D186" i="4" l="1"/>
  <c r="E185" i="4"/>
  <c r="R94" i="4"/>
  <c r="H94" i="4"/>
  <c r="S94" i="4" s="1"/>
  <c r="I94" i="4"/>
  <c r="G94" i="4"/>
  <c r="F95" i="4" l="1"/>
  <c r="E186" i="4"/>
  <c r="D187" i="4"/>
  <c r="D188" i="4" l="1"/>
  <c r="E187" i="4"/>
  <c r="R95" i="4"/>
  <c r="H95" i="4"/>
  <c r="S95" i="4" s="1"/>
  <c r="I95" i="4"/>
  <c r="G95" i="4"/>
  <c r="F96" i="4" l="1"/>
  <c r="E188" i="4"/>
  <c r="D189" i="4"/>
  <c r="D190" i="4" l="1"/>
  <c r="E189" i="4"/>
  <c r="R96" i="4"/>
  <c r="H96" i="4"/>
  <c r="S96" i="4" s="1"/>
  <c r="I96" i="4"/>
  <c r="G96" i="4"/>
  <c r="F97" i="4" l="1"/>
  <c r="E190" i="4"/>
  <c r="D191" i="4"/>
  <c r="D192" i="4" l="1"/>
  <c r="E191" i="4"/>
  <c r="R97" i="4"/>
  <c r="H97" i="4"/>
  <c r="S97" i="4" s="1"/>
  <c r="I97" i="4"/>
  <c r="G97" i="4"/>
  <c r="F98" i="4" l="1"/>
  <c r="E192" i="4"/>
  <c r="D193" i="4"/>
  <c r="E193" i="4" l="1"/>
  <c r="D194" i="4"/>
  <c r="R98" i="4"/>
  <c r="H98" i="4"/>
  <c r="S98" i="4" s="1"/>
  <c r="I98" i="4"/>
  <c r="G98" i="4"/>
  <c r="F99" i="4" l="1"/>
  <c r="E194" i="4"/>
  <c r="D195" i="4"/>
  <c r="D196" i="4" l="1"/>
  <c r="E195" i="4"/>
  <c r="R99" i="4"/>
  <c r="H99" i="4"/>
  <c r="S99" i="4" s="1"/>
  <c r="I99" i="4"/>
  <c r="G99" i="4"/>
  <c r="F100" i="4" l="1"/>
  <c r="D197" i="4"/>
  <c r="E196" i="4"/>
  <c r="E197" i="4" l="1"/>
  <c r="D198" i="4"/>
  <c r="R100" i="4"/>
  <c r="H100" i="4"/>
  <c r="S100" i="4" s="1"/>
  <c r="I100" i="4"/>
  <c r="G100" i="4"/>
  <c r="F101" i="4" l="1"/>
  <c r="E198" i="4"/>
  <c r="D199" i="4"/>
  <c r="D200" i="4" l="1"/>
  <c r="E199" i="4"/>
  <c r="R101" i="4"/>
  <c r="H101" i="4"/>
  <c r="S101" i="4" s="1"/>
  <c r="I101" i="4"/>
  <c r="G101" i="4"/>
  <c r="F102" i="4" l="1"/>
  <c r="E200" i="4"/>
  <c r="D201" i="4"/>
  <c r="E201" i="4" l="1"/>
  <c r="D202" i="4"/>
  <c r="R102" i="4"/>
  <c r="H102" i="4"/>
  <c r="S102" i="4" s="1"/>
  <c r="I102" i="4"/>
  <c r="G102" i="4"/>
  <c r="F103" i="4" l="1"/>
  <c r="G103" i="4"/>
  <c r="D203" i="4"/>
  <c r="E202" i="4"/>
  <c r="E203" i="4" l="1"/>
  <c r="D204" i="4"/>
  <c r="F104" i="4"/>
  <c r="G104" i="4"/>
  <c r="R103" i="4"/>
  <c r="H103" i="4"/>
  <c r="S103" i="4" s="1"/>
  <c r="I103" i="4"/>
  <c r="F105" i="4" l="1"/>
  <c r="G105" i="4"/>
  <c r="R104" i="4"/>
  <c r="I104" i="4"/>
  <c r="H104" i="4"/>
  <c r="S104" i="4" s="1"/>
  <c r="D205" i="4"/>
  <c r="E204" i="4"/>
  <c r="E205" i="4" l="1"/>
  <c r="D206" i="4"/>
  <c r="F106" i="4"/>
  <c r="G106" i="4"/>
  <c r="R105" i="4"/>
  <c r="H105" i="4"/>
  <c r="S105" i="4" s="1"/>
  <c r="I105" i="4"/>
  <c r="F107" i="4" l="1"/>
  <c r="G107" i="4"/>
  <c r="R106" i="4"/>
  <c r="I106" i="4"/>
  <c r="H106" i="4"/>
  <c r="S106" i="4" s="1"/>
  <c r="D207" i="4"/>
  <c r="E206" i="4"/>
  <c r="E207" i="4" l="1"/>
  <c r="D208" i="4"/>
  <c r="F108" i="4"/>
  <c r="G108" i="4"/>
  <c r="R107" i="4"/>
  <c r="H107" i="4"/>
  <c r="S107" i="4" s="1"/>
  <c r="I107" i="4"/>
  <c r="F109" i="4" l="1"/>
  <c r="G109" i="4"/>
  <c r="R108" i="4"/>
  <c r="H108" i="4"/>
  <c r="S108" i="4" s="1"/>
  <c r="I108" i="4"/>
  <c r="E208" i="4"/>
  <c r="D209" i="4"/>
  <c r="E209" i="4" l="1"/>
  <c r="D210" i="4"/>
  <c r="F110" i="4"/>
  <c r="G110" i="4"/>
  <c r="R109" i="4"/>
  <c r="H109" i="4"/>
  <c r="S109" i="4" s="1"/>
  <c r="I109" i="4"/>
  <c r="F111" i="4" l="1"/>
  <c r="G111" i="4"/>
  <c r="R110" i="4"/>
  <c r="H110" i="4"/>
  <c r="S110" i="4" s="1"/>
  <c r="I110" i="4"/>
  <c r="E210" i="4"/>
  <c r="D211" i="4"/>
  <c r="D212" i="4" l="1"/>
  <c r="E211" i="4"/>
  <c r="F112" i="4"/>
  <c r="G112" i="4"/>
  <c r="R111" i="4"/>
  <c r="I111" i="4"/>
  <c r="H111" i="4"/>
  <c r="S111" i="4" s="1"/>
  <c r="F113" i="4" l="1"/>
  <c r="G113" i="4"/>
  <c r="R112" i="4"/>
  <c r="H112" i="4"/>
  <c r="S112" i="4" s="1"/>
  <c r="I112" i="4"/>
  <c r="D213" i="4"/>
  <c r="E212" i="4"/>
  <c r="E213" i="4" l="1"/>
  <c r="D214" i="4"/>
  <c r="F114" i="4"/>
  <c r="G114" i="4"/>
  <c r="R113" i="4"/>
  <c r="H113" i="4"/>
  <c r="S113" i="4" s="1"/>
  <c r="I113" i="4"/>
  <c r="F115" i="4" l="1"/>
  <c r="G115" i="4"/>
  <c r="R114" i="4"/>
  <c r="H114" i="4"/>
  <c r="S114" i="4" s="1"/>
  <c r="I114" i="4"/>
  <c r="D215" i="4"/>
  <c r="E214" i="4"/>
  <c r="E215" i="4" l="1"/>
  <c r="D216" i="4"/>
  <c r="F116" i="4"/>
  <c r="G116" i="4"/>
  <c r="R115" i="4"/>
  <c r="H115" i="4"/>
  <c r="S115" i="4" s="1"/>
  <c r="I115" i="4"/>
  <c r="F117" i="4" l="1"/>
  <c r="G117" i="4"/>
  <c r="R116" i="4"/>
  <c r="H116" i="4"/>
  <c r="S116" i="4" s="1"/>
  <c r="I116" i="4"/>
  <c r="D217" i="4"/>
  <c r="E216" i="4"/>
  <c r="D218" i="4" l="1"/>
  <c r="E217" i="4"/>
  <c r="F118" i="4"/>
  <c r="G118" i="4"/>
  <c r="R117" i="4"/>
  <c r="H117" i="4"/>
  <c r="S117" i="4" s="1"/>
  <c r="I117" i="4"/>
  <c r="F119" i="4" l="1"/>
  <c r="G119" i="4"/>
  <c r="R118" i="4"/>
  <c r="H118" i="4"/>
  <c r="S118" i="4" s="1"/>
  <c r="I118" i="4"/>
  <c r="D219" i="4"/>
  <c r="E218" i="4"/>
  <c r="E219" i="4" l="1"/>
  <c r="D220" i="4"/>
  <c r="F120" i="4"/>
  <c r="G120" i="4"/>
  <c r="R119" i="4"/>
  <c r="I119" i="4"/>
  <c r="H119" i="4"/>
  <c r="S119" i="4" s="1"/>
  <c r="F121" i="4" l="1"/>
  <c r="G121" i="4"/>
  <c r="R120" i="4"/>
  <c r="H120" i="4"/>
  <c r="S120" i="4" s="1"/>
  <c r="I120" i="4"/>
  <c r="E220" i="4"/>
  <c r="D221" i="4"/>
  <c r="D222" i="4" l="1"/>
  <c r="E221" i="4"/>
  <c r="F122" i="4"/>
  <c r="G122" i="4"/>
  <c r="R121" i="4"/>
  <c r="H121" i="4"/>
  <c r="S121" i="4" s="1"/>
  <c r="I121" i="4"/>
  <c r="F123" i="4" l="1"/>
  <c r="G123" i="4"/>
  <c r="R122" i="4"/>
  <c r="H122" i="4"/>
  <c r="S122" i="4" s="1"/>
  <c r="I122" i="4"/>
  <c r="E222" i="4"/>
  <c r="D223" i="4"/>
  <c r="E223" i="4" l="1"/>
  <c r="D224" i="4"/>
  <c r="F124" i="4"/>
  <c r="G124" i="4"/>
  <c r="F125" i="4" s="1"/>
  <c r="R123" i="4"/>
  <c r="I123" i="4"/>
  <c r="H123" i="4"/>
  <c r="S123" i="4" s="1"/>
  <c r="G125" i="4" l="1"/>
  <c r="R125" i="4"/>
  <c r="I125" i="4"/>
  <c r="H125" i="4"/>
  <c r="S125" i="4" s="1"/>
  <c r="R124" i="4"/>
  <c r="I124" i="4"/>
  <c r="H124" i="4"/>
  <c r="S124" i="4" s="1"/>
  <c r="E224" i="4"/>
  <c r="D225" i="4"/>
  <c r="D226" i="4" l="1"/>
  <c r="E225" i="4"/>
  <c r="F126" i="4"/>
  <c r="G126" i="4"/>
  <c r="F127" i="4" l="1"/>
  <c r="G127" i="4"/>
  <c r="R126" i="4"/>
  <c r="H126" i="4"/>
  <c r="S126" i="4" s="1"/>
  <c r="I126" i="4"/>
  <c r="E226" i="4"/>
  <c r="D227" i="4"/>
  <c r="E227" i="4" l="1"/>
  <c r="D228" i="4"/>
  <c r="F128" i="4"/>
  <c r="G128" i="4"/>
  <c r="R127" i="4"/>
  <c r="H127" i="4"/>
  <c r="S127" i="4" s="1"/>
  <c r="I127" i="4"/>
  <c r="F129" i="4" l="1"/>
  <c r="G129" i="4"/>
  <c r="F130" i="4" s="1"/>
  <c r="R128" i="4"/>
  <c r="H128" i="4"/>
  <c r="S128" i="4" s="1"/>
  <c r="I128" i="4"/>
  <c r="E228" i="4"/>
  <c r="D229" i="4"/>
  <c r="E229" i="4" l="1"/>
  <c r="D230" i="4"/>
  <c r="G130" i="4"/>
  <c r="R130" i="4"/>
  <c r="H130" i="4"/>
  <c r="S130" i="4" s="1"/>
  <c r="I130" i="4"/>
  <c r="R129" i="4"/>
  <c r="I129" i="4"/>
  <c r="H129" i="4"/>
  <c r="S129" i="4" s="1"/>
  <c r="F131" i="4" l="1"/>
  <c r="G131" i="4"/>
  <c r="E230" i="4"/>
  <c r="D231" i="4"/>
  <c r="E231" i="4" l="1"/>
  <c r="D232" i="4"/>
  <c r="F132" i="4"/>
  <c r="G132" i="4"/>
  <c r="R131" i="4"/>
  <c r="H131" i="4"/>
  <c r="S131" i="4" s="1"/>
  <c r="I131" i="4"/>
  <c r="F133" i="4" l="1"/>
  <c r="G133" i="4"/>
  <c r="R132" i="4"/>
  <c r="I132" i="4"/>
  <c r="H132" i="4"/>
  <c r="S132" i="4" s="1"/>
  <c r="E232" i="4"/>
  <c r="D233" i="4"/>
  <c r="E233" i="4" l="1"/>
  <c r="D234" i="4"/>
  <c r="F134" i="4"/>
  <c r="G134" i="4"/>
  <c r="R133" i="4"/>
  <c r="I133" i="4"/>
  <c r="H133" i="4"/>
  <c r="S133" i="4" s="1"/>
  <c r="F135" i="4" l="1"/>
  <c r="G135" i="4"/>
  <c r="R134" i="4"/>
  <c r="H134" i="4"/>
  <c r="S134" i="4" s="1"/>
  <c r="I134" i="4"/>
  <c r="E234" i="4"/>
  <c r="D235" i="4"/>
  <c r="E235" i="4" l="1"/>
  <c r="D236" i="4"/>
  <c r="F136" i="4"/>
  <c r="G136" i="4"/>
  <c r="R135" i="4"/>
  <c r="H135" i="4"/>
  <c r="S135" i="4" s="1"/>
  <c r="I135" i="4"/>
  <c r="F137" i="4" l="1"/>
  <c r="G137" i="4"/>
  <c r="R136" i="4"/>
  <c r="H136" i="4"/>
  <c r="S136" i="4" s="1"/>
  <c r="I136" i="4"/>
  <c r="E236" i="4"/>
  <c r="D237" i="4"/>
  <c r="E237" i="4" l="1"/>
  <c r="D238" i="4"/>
  <c r="F138" i="4"/>
  <c r="G138" i="4"/>
  <c r="R137" i="4"/>
  <c r="H137" i="4"/>
  <c r="S137" i="4" s="1"/>
  <c r="I137" i="4"/>
  <c r="F139" i="4" l="1"/>
  <c r="G139" i="4"/>
  <c r="R138" i="4"/>
  <c r="H138" i="4"/>
  <c r="S138" i="4" s="1"/>
  <c r="I138" i="4"/>
  <c r="E238" i="4"/>
  <c r="D239" i="4"/>
  <c r="E239" i="4" l="1"/>
  <c r="D240" i="4"/>
  <c r="F140" i="4"/>
  <c r="G140" i="4"/>
  <c r="R139" i="4"/>
  <c r="H139" i="4"/>
  <c r="S139" i="4" s="1"/>
  <c r="I139" i="4"/>
  <c r="F141" i="4" l="1"/>
  <c r="G141" i="4"/>
  <c r="R140" i="4"/>
  <c r="H140" i="4"/>
  <c r="S140" i="4" s="1"/>
  <c r="I140" i="4"/>
  <c r="E240" i="4"/>
  <c r="D241" i="4"/>
  <c r="D242" i="4" l="1"/>
  <c r="E241" i="4"/>
  <c r="F142" i="4"/>
  <c r="G142" i="4"/>
  <c r="R141" i="4"/>
  <c r="H141" i="4"/>
  <c r="S141" i="4" s="1"/>
  <c r="I141" i="4"/>
  <c r="F143" i="4" l="1"/>
  <c r="G143" i="4"/>
  <c r="R142" i="4"/>
  <c r="H142" i="4"/>
  <c r="S142" i="4" s="1"/>
  <c r="I142" i="4"/>
  <c r="E242" i="4"/>
  <c r="D243" i="4"/>
  <c r="E243" i="4" l="1"/>
  <c r="D244" i="4"/>
  <c r="F144" i="4"/>
  <c r="G144" i="4"/>
  <c r="R143" i="4"/>
  <c r="H143" i="4"/>
  <c r="S143" i="4" s="1"/>
  <c r="I143" i="4"/>
  <c r="F145" i="4" l="1"/>
  <c r="G145" i="4"/>
  <c r="R144" i="4"/>
  <c r="H144" i="4"/>
  <c r="S144" i="4" s="1"/>
  <c r="I144" i="4"/>
  <c r="D245" i="4"/>
  <c r="E244" i="4"/>
  <c r="E245" i="4" l="1"/>
  <c r="D246" i="4"/>
  <c r="F146" i="4"/>
  <c r="G146" i="4"/>
  <c r="R145" i="4"/>
  <c r="H145" i="4"/>
  <c r="S145" i="4" s="1"/>
  <c r="I145" i="4"/>
  <c r="F147" i="4" l="1"/>
  <c r="G147" i="4"/>
  <c r="R146" i="4"/>
  <c r="H146" i="4"/>
  <c r="S146" i="4" s="1"/>
  <c r="I146" i="4"/>
  <c r="E246" i="4"/>
  <c r="D247" i="4"/>
  <c r="D248" i="4" l="1"/>
  <c r="E247" i="4"/>
  <c r="F148" i="4"/>
  <c r="G148" i="4"/>
  <c r="R147" i="4"/>
  <c r="H147" i="4"/>
  <c r="S147" i="4" s="1"/>
  <c r="I147" i="4"/>
  <c r="F149" i="4" l="1"/>
  <c r="G149" i="4"/>
  <c r="R148" i="4"/>
  <c r="H148" i="4"/>
  <c r="S148" i="4" s="1"/>
  <c r="I148" i="4"/>
  <c r="D249" i="4"/>
  <c r="E248" i="4"/>
  <c r="D250" i="4" l="1"/>
  <c r="E249" i="4"/>
  <c r="F150" i="4"/>
  <c r="G150" i="4"/>
  <c r="R149" i="4"/>
  <c r="H149" i="4"/>
  <c r="S149" i="4" s="1"/>
  <c r="I149" i="4"/>
  <c r="F151" i="4" l="1"/>
  <c r="G151" i="4"/>
  <c r="R150" i="4"/>
  <c r="H150" i="4"/>
  <c r="S150" i="4" s="1"/>
  <c r="I150" i="4"/>
  <c r="D251" i="4"/>
  <c r="E250" i="4"/>
  <c r="D252" i="4" l="1"/>
  <c r="E251" i="4"/>
  <c r="F152" i="4"/>
  <c r="G152" i="4"/>
  <c r="R151" i="4"/>
  <c r="H151" i="4"/>
  <c r="S151" i="4" s="1"/>
  <c r="I151" i="4"/>
  <c r="F153" i="4" l="1"/>
  <c r="G153" i="4"/>
  <c r="R152" i="4"/>
  <c r="H152" i="4"/>
  <c r="S152" i="4" s="1"/>
  <c r="I152" i="4"/>
  <c r="D253" i="4"/>
  <c r="E252" i="4"/>
  <c r="E253" i="4" l="1"/>
  <c r="D254" i="4"/>
  <c r="F154" i="4"/>
  <c r="G154" i="4"/>
  <c r="R153" i="4"/>
  <c r="H153" i="4"/>
  <c r="S153" i="4" s="1"/>
  <c r="I153" i="4"/>
  <c r="F155" i="4" l="1"/>
  <c r="G155" i="4"/>
  <c r="R154" i="4"/>
  <c r="I154" i="4"/>
  <c r="H154" i="4"/>
  <c r="S154" i="4" s="1"/>
  <c r="D255" i="4"/>
  <c r="E254" i="4"/>
  <c r="D256" i="4" l="1"/>
  <c r="E255" i="4"/>
  <c r="F156" i="4"/>
  <c r="G156" i="4"/>
  <c r="R155" i="4"/>
  <c r="I155" i="4"/>
  <c r="H155" i="4"/>
  <c r="S155" i="4" s="1"/>
  <c r="F157" i="4" l="1"/>
  <c r="G157" i="4"/>
  <c r="R156" i="4"/>
  <c r="I156" i="4"/>
  <c r="H156" i="4"/>
  <c r="S156" i="4" s="1"/>
  <c r="E256" i="4"/>
  <c r="D257" i="4"/>
  <c r="E257" i="4" l="1"/>
  <c r="D258" i="4"/>
  <c r="F158" i="4"/>
  <c r="G158" i="4"/>
  <c r="R157" i="4"/>
  <c r="H157" i="4"/>
  <c r="S157" i="4" s="1"/>
  <c r="I157" i="4"/>
  <c r="F159" i="4" l="1"/>
  <c r="G159" i="4"/>
  <c r="R158" i="4"/>
  <c r="I158" i="4"/>
  <c r="H158" i="4"/>
  <c r="S158" i="4" s="1"/>
  <c r="D259" i="4"/>
  <c r="E258" i="4"/>
  <c r="E259" i="4" l="1"/>
  <c r="D260" i="4"/>
  <c r="F160" i="4"/>
  <c r="G160" i="4"/>
  <c r="R159" i="4"/>
  <c r="I159" i="4"/>
  <c r="H159" i="4"/>
  <c r="S159" i="4" s="1"/>
  <c r="F161" i="4" l="1"/>
  <c r="G161" i="4"/>
  <c r="R160" i="4"/>
  <c r="H160" i="4"/>
  <c r="S160" i="4" s="1"/>
  <c r="I160" i="4"/>
  <c r="D261" i="4"/>
  <c r="E260" i="4"/>
  <c r="E261" i="4" l="1"/>
  <c r="D262" i="4"/>
  <c r="F162" i="4"/>
  <c r="G162" i="4"/>
  <c r="R161" i="4"/>
  <c r="H161" i="4"/>
  <c r="S161" i="4" s="1"/>
  <c r="I161" i="4"/>
  <c r="F163" i="4" l="1"/>
  <c r="G163" i="4"/>
  <c r="F164" i="4" s="1"/>
  <c r="R162" i="4"/>
  <c r="H162" i="4"/>
  <c r="S162" i="4" s="1"/>
  <c r="I162" i="4"/>
  <c r="E262" i="4"/>
  <c r="D263" i="4"/>
  <c r="E263" i="4" l="1"/>
  <c r="D264" i="4"/>
  <c r="G164" i="4"/>
  <c r="R164" i="4"/>
  <c r="H164" i="4"/>
  <c r="S164" i="4" s="1"/>
  <c r="I164" i="4"/>
  <c r="R163" i="4"/>
  <c r="H163" i="4"/>
  <c r="S163" i="4" s="1"/>
  <c r="I163" i="4"/>
  <c r="F165" i="4" l="1"/>
  <c r="G165" i="4"/>
  <c r="E264" i="4"/>
  <c r="D265" i="4"/>
  <c r="E265" i="4" l="1"/>
  <c r="D266" i="4"/>
  <c r="F166" i="4"/>
  <c r="G166" i="4"/>
  <c r="R165" i="4"/>
  <c r="H165" i="4"/>
  <c r="S165" i="4" s="1"/>
  <c r="I165" i="4"/>
  <c r="F167" i="4" l="1"/>
  <c r="G167" i="4"/>
  <c r="R166" i="4"/>
  <c r="I166" i="4"/>
  <c r="H166" i="4"/>
  <c r="S166" i="4" s="1"/>
  <c r="D267" i="4"/>
  <c r="E266" i="4"/>
  <c r="D268" i="4" l="1"/>
  <c r="E267" i="4"/>
  <c r="F168" i="4"/>
  <c r="G168" i="4"/>
  <c r="R167" i="4"/>
  <c r="I167" i="4"/>
  <c r="H167" i="4"/>
  <c r="S167" i="4" s="1"/>
  <c r="F169" i="4" l="1"/>
  <c r="G169" i="4"/>
  <c r="R168" i="4"/>
  <c r="I168" i="4"/>
  <c r="H168" i="4"/>
  <c r="S168" i="4" s="1"/>
  <c r="D269" i="4"/>
  <c r="E268" i="4"/>
  <c r="E269" i="4" l="1"/>
  <c r="D270" i="4"/>
  <c r="F170" i="4"/>
  <c r="G170" i="4"/>
  <c r="R169" i="4"/>
  <c r="H169" i="4"/>
  <c r="S169" i="4" s="1"/>
  <c r="I169" i="4"/>
  <c r="F171" i="4" l="1"/>
  <c r="G171" i="4"/>
  <c r="R170" i="4"/>
  <c r="H170" i="4"/>
  <c r="S170" i="4" s="1"/>
  <c r="I170" i="4"/>
  <c r="E270" i="4"/>
  <c r="D271" i="4"/>
  <c r="E271" i="4" l="1"/>
  <c r="D272" i="4"/>
  <c r="F172" i="4"/>
  <c r="G172" i="4"/>
  <c r="R171" i="4"/>
  <c r="I171" i="4"/>
  <c r="H171" i="4"/>
  <c r="S171" i="4" s="1"/>
  <c r="F173" i="4" l="1"/>
  <c r="G173" i="4"/>
  <c r="R172" i="4"/>
  <c r="H172" i="4"/>
  <c r="S172" i="4" s="1"/>
  <c r="I172" i="4"/>
  <c r="E272" i="4"/>
  <c r="D273" i="4"/>
  <c r="E273" i="4" l="1"/>
  <c r="D274" i="4"/>
  <c r="F174" i="4"/>
  <c r="G174" i="4"/>
  <c r="R173" i="4"/>
  <c r="H173" i="4"/>
  <c r="S173" i="4" s="1"/>
  <c r="I173" i="4"/>
  <c r="F175" i="4" l="1"/>
  <c r="G175" i="4"/>
  <c r="R174" i="4"/>
  <c r="H174" i="4"/>
  <c r="S174" i="4" s="1"/>
  <c r="I174" i="4"/>
  <c r="D275" i="4"/>
  <c r="E274" i="4"/>
  <c r="D276" i="4" l="1"/>
  <c r="E275" i="4"/>
  <c r="F176" i="4"/>
  <c r="G176" i="4"/>
  <c r="R175" i="4"/>
  <c r="H175" i="4"/>
  <c r="S175" i="4" s="1"/>
  <c r="I175" i="4"/>
  <c r="F177" i="4" l="1"/>
  <c r="G177" i="4"/>
  <c r="R176" i="4"/>
  <c r="H176" i="4"/>
  <c r="S176" i="4" s="1"/>
  <c r="I176" i="4"/>
  <c r="E276" i="4"/>
  <c r="D277" i="4"/>
  <c r="D278" i="4" l="1"/>
  <c r="E277" i="4"/>
  <c r="F178" i="4"/>
  <c r="G178" i="4"/>
  <c r="R177" i="4"/>
  <c r="H177" i="4"/>
  <c r="S177" i="4" s="1"/>
  <c r="I177" i="4"/>
  <c r="F179" i="4" l="1"/>
  <c r="G179" i="4"/>
  <c r="R178" i="4"/>
  <c r="H178" i="4"/>
  <c r="S178" i="4" s="1"/>
  <c r="I178" i="4"/>
  <c r="E278" i="4"/>
  <c r="D279" i="4"/>
  <c r="D280" i="4" l="1"/>
  <c r="E279" i="4"/>
  <c r="F180" i="4"/>
  <c r="G180" i="4"/>
  <c r="R179" i="4"/>
  <c r="I179" i="4"/>
  <c r="H179" i="4"/>
  <c r="S179" i="4" s="1"/>
  <c r="F181" i="4" l="1"/>
  <c r="G181" i="4"/>
  <c r="R180" i="4"/>
  <c r="H180" i="4"/>
  <c r="S180" i="4" s="1"/>
  <c r="I180" i="4"/>
  <c r="D281" i="4"/>
  <c r="E280" i="4"/>
  <c r="D282" i="4" l="1"/>
  <c r="E281" i="4"/>
  <c r="F182" i="4"/>
  <c r="G182" i="4"/>
  <c r="R181" i="4"/>
  <c r="H181" i="4"/>
  <c r="S181" i="4" s="1"/>
  <c r="I181" i="4"/>
  <c r="F183" i="4" l="1"/>
  <c r="G183" i="4"/>
  <c r="R182" i="4"/>
  <c r="H182" i="4"/>
  <c r="S182" i="4" s="1"/>
  <c r="I182" i="4"/>
  <c r="D283" i="4"/>
  <c r="E282" i="4"/>
  <c r="D284" i="4" l="1"/>
  <c r="E283" i="4"/>
  <c r="F184" i="4"/>
  <c r="G184" i="4"/>
  <c r="R183" i="4"/>
  <c r="H183" i="4"/>
  <c r="S183" i="4" s="1"/>
  <c r="I183" i="4"/>
  <c r="F185" i="4" l="1"/>
  <c r="G185" i="4"/>
  <c r="R184" i="4"/>
  <c r="H184" i="4"/>
  <c r="S184" i="4" s="1"/>
  <c r="I184" i="4"/>
  <c r="D285" i="4"/>
  <c r="E284" i="4"/>
  <c r="D286" i="4" l="1"/>
  <c r="E285" i="4"/>
  <c r="F186" i="4"/>
  <c r="G186" i="4"/>
  <c r="R185" i="4"/>
  <c r="H185" i="4"/>
  <c r="S185" i="4" s="1"/>
  <c r="I185" i="4"/>
  <c r="F187" i="4" l="1"/>
  <c r="G187" i="4"/>
  <c r="R186" i="4"/>
  <c r="I186" i="4"/>
  <c r="H186" i="4"/>
  <c r="S186" i="4" s="1"/>
  <c r="E286" i="4"/>
  <c r="D287" i="4"/>
  <c r="E287" i="4" l="1"/>
  <c r="D288" i="4"/>
  <c r="F188" i="4"/>
  <c r="G188" i="4"/>
  <c r="R187" i="4"/>
  <c r="I187" i="4"/>
  <c r="H187" i="4"/>
  <c r="S187" i="4" s="1"/>
  <c r="F189" i="4" l="1"/>
  <c r="G189" i="4"/>
  <c r="R188" i="4"/>
  <c r="H188" i="4"/>
  <c r="S188" i="4" s="1"/>
  <c r="I188" i="4"/>
  <c r="E288" i="4"/>
  <c r="D289" i="4"/>
  <c r="D290" i="4" l="1"/>
  <c r="E289" i="4"/>
  <c r="F190" i="4"/>
  <c r="G190" i="4"/>
  <c r="R189" i="4"/>
  <c r="H189" i="4"/>
  <c r="S189" i="4" s="1"/>
  <c r="I189" i="4"/>
  <c r="F191" i="4" l="1"/>
  <c r="G191" i="4"/>
  <c r="R190" i="4"/>
  <c r="I190" i="4"/>
  <c r="H190" i="4"/>
  <c r="S190" i="4" s="1"/>
  <c r="E290" i="4"/>
  <c r="D291" i="4"/>
  <c r="E291" i="4" l="1"/>
  <c r="D292" i="4"/>
  <c r="F192" i="4"/>
  <c r="G192" i="4"/>
  <c r="R191" i="4"/>
  <c r="I191" i="4"/>
  <c r="H191" i="4"/>
  <c r="S191" i="4" s="1"/>
  <c r="F193" i="4" l="1"/>
  <c r="G193" i="4"/>
  <c r="R192" i="4"/>
  <c r="I192" i="4"/>
  <c r="H192" i="4"/>
  <c r="S192" i="4" s="1"/>
  <c r="D293" i="4"/>
  <c r="E292" i="4"/>
  <c r="E293" i="4" l="1"/>
  <c r="D294" i="4"/>
  <c r="F194" i="4"/>
  <c r="G194" i="4"/>
  <c r="R193" i="4"/>
  <c r="H193" i="4"/>
  <c r="S193" i="4" s="1"/>
  <c r="I193" i="4"/>
  <c r="F195" i="4" l="1"/>
  <c r="G195" i="4"/>
  <c r="R194" i="4"/>
  <c r="H194" i="4"/>
  <c r="S194" i="4" s="1"/>
  <c r="I194" i="4"/>
  <c r="E294" i="4"/>
  <c r="D295" i="4"/>
  <c r="D296" i="4" l="1"/>
  <c r="E295" i="4"/>
  <c r="F196" i="4"/>
  <c r="G196" i="4"/>
  <c r="R195" i="4"/>
  <c r="I195" i="4"/>
  <c r="H195" i="4"/>
  <c r="S195" i="4" s="1"/>
  <c r="F197" i="4" l="1"/>
  <c r="G197" i="4"/>
  <c r="R196" i="4"/>
  <c r="I196" i="4"/>
  <c r="H196" i="4"/>
  <c r="S196" i="4" s="1"/>
  <c r="D297" i="4"/>
  <c r="E296" i="4"/>
  <c r="E297" i="4" l="1"/>
  <c r="D298" i="4"/>
  <c r="F198" i="4"/>
  <c r="G198" i="4"/>
  <c r="R197" i="4"/>
  <c r="H197" i="4"/>
  <c r="S197" i="4" s="1"/>
  <c r="I197" i="4"/>
  <c r="F199" i="4" l="1"/>
  <c r="G199" i="4"/>
  <c r="R198" i="4"/>
  <c r="I198" i="4"/>
  <c r="H198" i="4"/>
  <c r="S198" i="4" s="1"/>
  <c r="E298" i="4"/>
  <c r="D299" i="4"/>
  <c r="D300" i="4" l="1"/>
  <c r="E299" i="4"/>
  <c r="F200" i="4"/>
  <c r="G200" i="4"/>
  <c r="R199" i="4"/>
  <c r="H199" i="4"/>
  <c r="S199" i="4" s="1"/>
  <c r="I199" i="4"/>
  <c r="F201" i="4" l="1"/>
  <c r="G201" i="4"/>
  <c r="R200" i="4"/>
  <c r="H200" i="4"/>
  <c r="S200" i="4" s="1"/>
  <c r="I200" i="4"/>
  <c r="D301" i="4"/>
  <c r="E300" i="4"/>
  <c r="D302" i="4" l="1"/>
  <c r="E301" i="4"/>
  <c r="F202" i="4"/>
  <c r="G202" i="4"/>
  <c r="F203" i="4" s="1"/>
  <c r="R203" i="4" s="1"/>
  <c r="R201" i="4"/>
  <c r="I201" i="4"/>
  <c r="H201" i="4"/>
  <c r="S201" i="4" s="1"/>
  <c r="H203" i="4"/>
  <c r="S203" i="4" s="1"/>
  <c r="I203" i="4"/>
  <c r="G203" i="4"/>
  <c r="R202" i="4" l="1"/>
  <c r="H202" i="4"/>
  <c r="S202" i="4" s="1"/>
  <c r="I202" i="4"/>
  <c r="E302" i="4"/>
  <c r="D303" i="4"/>
  <c r="F204" i="4"/>
  <c r="R204" i="4" s="1"/>
  <c r="E303" i="4" l="1"/>
  <c r="D304" i="4"/>
  <c r="H204" i="4"/>
  <c r="S204" i="4" s="1"/>
  <c r="I204" i="4"/>
  <c r="G204" i="4"/>
  <c r="E304" i="4" l="1"/>
  <c r="D305" i="4"/>
  <c r="F205" i="4"/>
  <c r="R205" i="4" s="1"/>
  <c r="D306" i="4" l="1"/>
  <c r="E305" i="4"/>
  <c r="H205" i="4"/>
  <c r="S205" i="4" s="1"/>
  <c r="I205" i="4"/>
  <c r="G205" i="4"/>
  <c r="E306" i="4" l="1"/>
  <c r="D307" i="4"/>
  <c r="F206" i="4"/>
  <c r="R206" i="4" s="1"/>
  <c r="E307" i="4" l="1"/>
  <c r="D308" i="4"/>
  <c r="H206" i="4"/>
  <c r="S206" i="4" s="1"/>
  <c r="I206" i="4"/>
  <c r="G206" i="4"/>
  <c r="E308" i="4" l="1"/>
  <c r="D309" i="4"/>
  <c r="F207" i="4"/>
  <c r="R207" i="4" s="1"/>
  <c r="E309" i="4" l="1"/>
  <c r="D310" i="4"/>
  <c r="H207" i="4"/>
  <c r="S207" i="4" s="1"/>
  <c r="I207" i="4"/>
  <c r="G207" i="4"/>
  <c r="D311" i="4" l="1"/>
  <c r="E310" i="4"/>
  <c r="F208" i="4"/>
  <c r="R208" i="4" s="1"/>
  <c r="D312" i="4" l="1"/>
  <c r="E311" i="4"/>
  <c r="H208" i="4"/>
  <c r="S208" i="4" s="1"/>
  <c r="I208" i="4"/>
  <c r="G208" i="4"/>
  <c r="E312" i="4" l="1"/>
  <c r="D313" i="4"/>
  <c r="F209" i="4"/>
  <c r="R209" i="4" s="1"/>
  <c r="D314" i="4" l="1"/>
  <c r="E313" i="4"/>
  <c r="H209" i="4"/>
  <c r="S209" i="4" s="1"/>
  <c r="I209" i="4"/>
  <c r="G209" i="4"/>
  <c r="E314" i="4" l="1"/>
  <c r="D315" i="4"/>
  <c r="F210" i="4"/>
  <c r="R210" i="4" s="1"/>
  <c r="E315" i="4" l="1"/>
  <c r="D316" i="4"/>
  <c r="H210" i="4"/>
  <c r="S210" i="4" s="1"/>
  <c r="I210" i="4"/>
  <c r="G210" i="4"/>
  <c r="D317" i="4" l="1"/>
  <c r="E316" i="4"/>
  <c r="F211" i="4"/>
  <c r="R211" i="4" s="1"/>
  <c r="E317" i="4" l="1"/>
  <c r="D318" i="4"/>
  <c r="H211" i="4"/>
  <c r="S211" i="4" s="1"/>
  <c r="I211" i="4"/>
  <c r="G211" i="4"/>
  <c r="E318" i="4" l="1"/>
  <c r="D319" i="4"/>
  <c r="F212" i="4"/>
  <c r="R212" i="4" s="1"/>
  <c r="E319" i="4" l="1"/>
  <c r="D320" i="4"/>
  <c r="H212" i="4"/>
  <c r="S212" i="4" s="1"/>
  <c r="I212" i="4"/>
  <c r="G212" i="4"/>
  <c r="E320" i="4" l="1"/>
  <c r="D321" i="4"/>
  <c r="F213" i="4"/>
  <c r="R213" i="4" s="1"/>
  <c r="E321" i="4" l="1"/>
  <c r="D322" i="4"/>
  <c r="H213" i="4"/>
  <c r="S213" i="4" s="1"/>
  <c r="I213" i="4"/>
  <c r="G213" i="4"/>
  <c r="E322" i="4" l="1"/>
  <c r="D323" i="4"/>
  <c r="F214" i="4"/>
  <c r="R214" i="4" s="1"/>
  <c r="E323" i="4" l="1"/>
  <c r="D324" i="4"/>
  <c r="H214" i="4"/>
  <c r="S214" i="4" s="1"/>
  <c r="I214" i="4"/>
  <c r="G214" i="4"/>
  <c r="E324" i="4" l="1"/>
  <c r="D325" i="4"/>
  <c r="F215" i="4"/>
  <c r="R215" i="4" s="1"/>
  <c r="E325" i="4" l="1"/>
  <c r="D326" i="4"/>
  <c r="H215" i="4"/>
  <c r="S215" i="4" s="1"/>
  <c r="I215" i="4"/>
  <c r="G215" i="4"/>
  <c r="E326" i="4" l="1"/>
  <c r="D327" i="4"/>
  <c r="F216" i="4"/>
  <c r="R216" i="4" s="1"/>
  <c r="E327" i="4" l="1"/>
  <c r="D328" i="4"/>
  <c r="H216" i="4"/>
  <c r="S216" i="4" s="1"/>
  <c r="I216" i="4"/>
  <c r="G216" i="4"/>
  <c r="E328" i="4" l="1"/>
  <c r="D329" i="4"/>
  <c r="F217" i="4"/>
  <c r="R217" i="4" s="1"/>
  <c r="E329" i="4" l="1"/>
  <c r="D330" i="4"/>
  <c r="H217" i="4"/>
  <c r="S217" i="4" s="1"/>
  <c r="I217" i="4"/>
  <c r="G217" i="4"/>
  <c r="E330" i="4" l="1"/>
  <c r="D331" i="4"/>
  <c r="F218" i="4"/>
  <c r="R218" i="4" s="1"/>
  <c r="E331" i="4" l="1"/>
  <c r="D332" i="4"/>
  <c r="H218" i="4"/>
  <c r="S218" i="4" s="1"/>
  <c r="I218" i="4"/>
  <c r="G218" i="4"/>
  <c r="E332" i="4" l="1"/>
  <c r="D333" i="4"/>
  <c r="F219" i="4"/>
  <c r="R219" i="4" s="1"/>
  <c r="E333" i="4" l="1"/>
  <c r="D334" i="4"/>
  <c r="H219" i="4"/>
  <c r="S219" i="4" s="1"/>
  <c r="I219" i="4"/>
  <c r="G219" i="4"/>
  <c r="D335" i="4" l="1"/>
  <c r="E334" i="4"/>
  <c r="F220" i="4"/>
  <c r="R220" i="4" s="1"/>
  <c r="D336" i="4" l="1"/>
  <c r="E335" i="4"/>
  <c r="H220" i="4"/>
  <c r="S220" i="4" s="1"/>
  <c r="I220" i="4"/>
  <c r="G220" i="4"/>
  <c r="E336" i="4" l="1"/>
  <c r="D337" i="4"/>
  <c r="F221" i="4"/>
  <c r="R221" i="4" s="1"/>
  <c r="D338" i="4" l="1"/>
  <c r="E337" i="4"/>
  <c r="H221" i="4"/>
  <c r="S221" i="4" s="1"/>
  <c r="I221" i="4"/>
  <c r="G221" i="4"/>
  <c r="D339" i="4" l="1"/>
  <c r="E338" i="4"/>
  <c r="F222" i="4"/>
  <c r="R222" i="4" s="1"/>
  <c r="E339" i="4" l="1"/>
  <c r="D340" i="4"/>
  <c r="H222" i="4"/>
  <c r="S222" i="4" s="1"/>
  <c r="I222" i="4"/>
  <c r="G222" i="4"/>
  <c r="E340" i="4" l="1"/>
  <c r="D341" i="4"/>
  <c r="F223" i="4"/>
  <c r="R223" i="4" s="1"/>
  <c r="D342" i="4" l="1"/>
  <c r="E341" i="4"/>
  <c r="H223" i="4"/>
  <c r="S223" i="4" s="1"/>
  <c r="I223" i="4"/>
  <c r="G223" i="4"/>
  <c r="D343" i="4" l="1"/>
  <c r="E342" i="4"/>
  <c r="F224" i="4"/>
  <c r="R224" i="4" s="1"/>
  <c r="D344" i="4" l="1"/>
  <c r="E343" i="4"/>
  <c r="H224" i="4"/>
  <c r="S224" i="4" s="1"/>
  <c r="I224" i="4"/>
  <c r="G224" i="4"/>
  <c r="D345" i="4" l="1"/>
  <c r="E344" i="4"/>
  <c r="F225" i="4"/>
  <c r="R225" i="4" s="1"/>
  <c r="D346" i="4" l="1"/>
  <c r="E345" i="4"/>
  <c r="H225" i="4"/>
  <c r="S225" i="4" s="1"/>
  <c r="I225" i="4"/>
  <c r="G225" i="4"/>
  <c r="D347" i="4" l="1"/>
  <c r="E346" i="4"/>
  <c r="F226" i="4"/>
  <c r="R226" i="4" s="1"/>
  <c r="E347" i="4" l="1"/>
  <c r="D348" i="4"/>
  <c r="H226" i="4"/>
  <c r="S226" i="4" s="1"/>
  <c r="I226" i="4"/>
  <c r="G226" i="4"/>
  <c r="E348" i="4" l="1"/>
  <c r="D349" i="4"/>
  <c r="F227" i="4"/>
  <c r="R227" i="4" s="1"/>
  <c r="D350" i="4" l="1"/>
  <c r="E349" i="4"/>
  <c r="H227" i="4"/>
  <c r="S227" i="4" s="1"/>
  <c r="I227" i="4"/>
  <c r="G227" i="4"/>
  <c r="D351" i="4" l="1"/>
  <c r="E350" i="4"/>
  <c r="F228" i="4"/>
  <c r="R228" i="4" s="1"/>
  <c r="E351" i="4" l="1"/>
  <c r="D352" i="4"/>
  <c r="H228" i="4"/>
  <c r="S228" i="4" s="1"/>
  <c r="I228" i="4"/>
  <c r="G228" i="4"/>
  <c r="D353" i="4" l="1"/>
  <c r="E352" i="4"/>
  <c r="F229" i="4"/>
  <c r="R229" i="4" s="1"/>
  <c r="E353" i="4" l="1"/>
  <c r="D354" i="4"/>
  <c r="H229" i="4"/>
  <c r="S229" i="4" s="1"/>
  <c r="I229" i="4"/>
  <c r="G229" i="4"/>
  <c r="E354" i="4" l="1"/>
  <c r="D355" i="4"/>
  <c r="F230" i="4"/>
  <c r="R230" i="4" s="1"/>
  <c r="D356" i="4" l="1"/>
  <c r="E355" i="4"/>
  <c r="H230" i="4"/>
  <c r="S230" i="4" s="1"/>
  <c r="I230" i="4"/>
  <c r="G230" i="4"/>
  <c r="E356" i="4" l="1"/>
  <c r="D357" i="4"/>
  <c r="F231" i="4"/>
  <c r="R231" i="4" s="1"/>
  <c r="E357" i="4" l="1"/>
  <c r="D358" i="4"/>
  <c r="H231" i="4"/>
  <c r="S231" i="4" s="1"/>
  <c r="I231" i="4"/>
  <c r="G231" i="4"/>
  <c r="E358" i="4" l="1"/>
  <c r="D359" i="4"/>
  <c r="F232" i="4"/>
  <c r="R232" i="4" s="1"/>
  <c r="D360" i="4" l="1"/>
  <c r="E359" i="4"/>
  <c r="H232" i="4"/>
  <c r="S232" i="4" s="1"/>
  <c r="I232" i="4"/>
  <c r="G232" i="4"/>
  <c r="E360" i="4" l="1"/>
  <c r="D361" i="4"/>
  <c r="F233" i="4"/>
  <c r="R233" i="4" s="1"/>
  <c r="E361" i="4" l="1"/>
  <c r="D362" i="4"/>
  <c r="H233" i="4"/>
  <c r="S233" i="4" s="1"/>
  <c r="I233" i="4"/>
  <c r="G233" i="4"/>
  <c r="E362" i="4" l="1"/>
  <c r="D363" i="4"/>
  <c r="F234" i="4"/>
  <c r="R234" i="4" s="1"/>
  <c r="D364" i="4" l="1"/>
  <c r="E363" i="4"/>
  <c r="H234" i="4"/>
  <c r="S234" i="4" s="1"/>
  <c r="I234" i="4"/>
  <c r="G234" i="4"/>
  <c r="E364" i="4" l="1"/>
  <c r="D365" i="4"/>
  <c r="F235" i="4"/>
  <c r="R235" i="4" s="1"/>
  <c r="E365" i="4" l="1"/>
  <c r="D366" i="4"/>
  <c r="H235" i="4"/>
  <c r="S235" i="4" s="1"/>
  <c r="I235" i="4"/>
  <c r="G235" i="4"/>
  <c r="D367" i="4" l="1"/>
  <c r="E366" i="4"/>
  <c r="F236" i="4"/>
  <c r="G236" i="4" l="1"/>
  <c r="R236" i="4"/>
  <c r="D368" i="4"/>
  <c r="E367" i="4"/>
  <c r="F237" i="4"/>
  <c r="R237" i="4" s="1"/>
  <c r="H236" i="4"/>
  <c r="S236" i="4" s="1"/>
  <c r="I236" i="4"/>
  <c r="E368" i="4" l="1"/>
  <c r="D369" i="4"/>
  <c r="H237" i="4"/>
  <c r="S237" i="4" s="1"/>
  <c r="I237" i="4"/>
  <c r="G237" i="4"/>
  <c r="E369" i="4" l="1"/>
  <c r="D370" i="4"/>
  <c r="F238" i="4"/>
  <c r="R238" i="4" s="1"/>
  <c r="E370" i="4" l="1"/>
  <c r="D371" i="4"/>
  <c r="H238" i="4"/>
  <c r="S238" i="4" s="1"/>
  <c r="I238" i="4"/>
  <c r="G238" i="4"/>
  <c r="D372" i="4" l="1"/>
  <c r="E371" i="4"/>
  <c r="F239" i="4"/>
  <c r="R239" i="4" s="1"/>
  <c r="E372" i="4" l="1"/>
  <c r="D373" i="4"/>
  <c r="H239" i="4"/>
  <c r="S239" i="4" s="1"/>
  <c r="I239" i="4"/>
  <c r="G239" i="4"/>
  <c r="E373" i="4" l="1"/>
  <c r="D374" i="4"/>
  <c r="F240" i="4"/>
  <c r="R240" i="4" s="1"/>
  <c r="E374" i="4" l="1"/>
  <c r="D375" i="4"/>
  <c r="H240" i="4"/>
  <c r="S240" i="4" s="1"/>
  <c r="I240" i="4"/>
  <c r="G240" i="4"/>
  <c r="D376" i="4" l="1"/>
  <c r="E375" i="4"/>
  <c r="F241" i="4"/>
  <c r="R241" i="4" s="1"/>
  <c r="E376" i="4" l="1"/>
  <c r="D377" i="4"/>
  <c r="H241" i="4"/>
  <c r="S241" i="4" s="1"/>
  <c r="I241" i="4"/>
  <c r="G241" i="4"/>
  <c r="E377" i="4" l="1"/>
  <c r="D378" i="4"/>
  <c r="F242" i="4"/>
  <c r="R242" i="4" s="1"/>
  <c r="E378" i="4" l="1"/>
  <c r="D379" i="4"/>
  <c r="H242" i="4"/>
  <c r="S242" i="4" s="1"/>
  <c r="I242" i="4"/>
  <c r="G242" i="4"/>
  <c r="D380" i="4" l="1"/>
  <c r="E379" i="4"/>
  <c r="F243" i="4"/>
  <c r="R243" i="4" s="1"/>
  <c r="D381" i="4" l="1"/>
  <c r="E380" i="4"/>
  <c r="H243" i="4"/>
  <c r="S243" i="4" s="1"/>
  <c r="I243" i="4"/>
  <c r="G243" i="4"/>
  <c r="E381" i="4" l="1"/>
  <c r="D382" i="4"/>
  <c r="F244" i="4"/>
  <c r="R244" i="4" s="1"/>
  <c r="E382" i="4" l="1"/>
  <c r="D383" i="4"/>
  <c r="H244" i="4"/>
  <c r="S244" i="4" s="1"/>
  <c r="I244" i="4"/>
  <c r="G244" i="4"/>
  <c r="D384" i="4" l="1"/>
  <c r="E383" i="4"/>
  <c r="F245" i="4"/>
  <c r="R245" i="4" s="1"/>
  <c r="D385" i="4" l="1"/>
  <c r="E384" i="4"/>
  <c r="H245" i="4"/>
  <c r="S245" i="4" s="1"/>
  <c r="I245" i="4"/>
  <c r="G245" i="4"/>
  <c r="E385" i="4" l="1"/>
  <c r="D386" i="4"/>
  <c r="F246" i="4"/>
  <c r="R246" i="4" s="1"/>
  <c r="D387" i="4" l="1"/>
  <c r="E386" i="4"/>
  <c r="H246" i="4"/>
  <c r="S246" i="4" s="1"/>
  <c r="I246" i="4"/>
  <c r="G246" i="4"/>
  <c r="D388" i="4" l="1"/>
  <c r="E387" i="4"/>
  <c r="F247" i="4"/>
  <c r="R247" i="4" s="1"/>
  <c r="D389" i="4" l="1"/>
  <c r="E388" i="4"/>
  <c r="H247" i="4"/>
  <c r="S247" i="4" s="1"/>
  <c r="I247" i="4"/>
  <c r="G247" i="4"/>
  <c r="E389" i="4" l="1"/>
  <c r="D390" i="4"/>
  <c r="F248" i="4"/>
  <c r="R248" i="4" s="1"/>
  <c r="E390" i="4" l="1"/>
  <c r="D391" i="4"/>
  <c r="H248" i="4"/>
  <c r="S248" i="4" s="1"/>
  <c r="I248" i="4"/>
  <c r="G248" i="4"/>
  <c r="D392" i="4" l="1"/>
  <c r="E391" i="4"/>
  <c r="F249" i="4"/>
  <c r="R249" i="4" s="1"/>
  <c r="D393" i="4" l="1"/>
  <c r="E392" i="4"/>
  <c r="H249" i="4"/>
  <c r="S249" i="4" s="1"/>
  <c r="I249" i="4"/>
  <c r="G249" i="4"/>
  <c r="E393" i="4" l="1"/>
  <c r="D394" i="4"/>
  <c r="F250" i="4"/>
  <c r="G250" i="4" l="1"/>
  <c r="R250" i="4"/>
  <c r="E394" i="4"/>
  <c r="D395" i="4"/>
  <c r="F251" i="4"/>
  <c r="R251" i="4" s="1"/>
  <c r="H250" i="4"/>
  <c r="S250" i="4" s="1"/>
  <c r="I250" i="4"/>
  <c r="E395" i="4" l="1"/>
  <c r="D396" i="4"/>
  <c r="H251" i="4"/>
  <c r="S251" i="4" s="1"/>
  <c r="I251" i="4"/>
  <c r="G251" i="4"/>
  <c r="D397" i="4" l="1"/>
  <c r="E396" i="4"/>
  <c r="F252" i="4"/>
  <c r="R252" i="4" s="1"/>
  <c r="E397" i="4" l="1"/>
  <c r="D398" i="4"/>
  <c r="H252" i="4"/>
  <c r="S252" i="4" s="1"/>
  <c r="I252" i="4"/>
  <c r="G252" i="4"/>
  <c r="E398" i="4" l="1"/>
  <c r="D399" i="4"/>
  <c r="F253" i="4"/>
  <c r="R253" i="4" s="1"/>
  <c r="D400" i="4" l="1"/>
  <c r="E399" i="4"/>
  <c r="H253" i="4"/>
  <c r="S253" i="4" s="1"/>
  <c r="I253" i="4"/>
  <c r="G253" i="4"/>
  <c r="D401" i="4" l="1"/>
  <c r="E400" i="4"/>
  <c r="F254" i="4"/>
  <c r="R254" i="4" s="1"/>
  <c r="E401" i="4" l="1"/>
  <c r="D402" i="4"/>
  <c r="H254" i="4"/>
  <c r="S254" i="4" s="1"/>
  <c r="I254" i="4"/>
  <c r="G254" i="4"/>
  <c r="E402" i="4" l="1"/>
  <c r="D403" i="4"/>
  <c r="F255" i="4"/>
  <c r="R255" i="4" s="1"/>
  <c r="E403" i="4" l="1"/>
  <c r="D404" i="4"/>
  <c r="H255" i="4"/>
  <c r="S255" i="4" s="1"/>
  <c r="I255" i="4"/>
  <c r="G255" i="4"/>
  <c r="D405" i="4" l="1"/>
  <c r="E404" i="4"/>
  <c r="F256" i="4"/>
  <c r="R256" i="4" s="1"/>
  <c r="E405" i="4" l="1"/>
  <c r="D406" i="4"/>
  <c r="H256" i="4"/>
  <c r="S256" i="4" s="1"/>
  <c r="I256" i="4"/>
  <c r="G256" i="4"/>
  <c r="E406" i="4" l="1"/>
  <c r="D407" i="4"/>
  <c r="F257" i="4"/>
  <c r="R257" i="4" s="1"/>
  <c r="D408" i="4" l="1"/>
  <c r="E407" i="4"/>
  <c r="H257" i="4"/>
  <c r="S257" i="4" s="1"/>
  <c r="I257" i="4"/>
  <c r="G257" i="4"/>
  <c r="D409" i="4" l="1"/>
  <c r="E408" i="4"/>
  <c r="F258" i="4"/>
  <c r="R258" i="4" s="1"/>
  <c r="E409" i="4" l="1"/>
  <c r="D410" i="4"/>
  <c r="H258" i="4"/>
  <c r="S258" i="4" s="1"/>
  <c r="I258" i="4"/>
  <c r="G258" i="4"/>
  <c r="E410" i="4" l="1"/>
  <c r="D411" i="4"/>
  <c r="F259" i="4"/>
  <c r="R259" i="4" s="1"/>
  <c r="E411" i="4" l="1"/>
  <c r="D412" i="4"/>
  <c r="H259" i="4"/>
  <c r="S259" i="4" s="1"/>
  <c r="I259" i="4"/>
  <c r="G259" i="4"/>
  <c r="D413" i="4" l="1"/>
  <c r="E412" i="4"/>
  <c r="F260" i="4"/>
  <c r="R260" i="4" s="1"/>
  <c r="E413" i="4" l="1"/>
  <c r="D414" i="4"/>
  <c r="H260" i="4"/>
  <c r="S260" i="4" s="1"/>
  <c r="I260" i="4"/>
  <c r="G260" i="4"/>
  <c r="E414" i="4" l="1"/>
  <c r="D415" i="4"/>
  <c r="F261" i="4"/>
  <c r="R261" i="4" s="1"/>
  <c r="E415" i="4" l="1"/>
  <c r="D416" i="4"/>
  <c r="H261" i="4"/>
  <c r="S261" i="4" s="1"/>
  <c r="I261" i="4"/>
  <c r="G261" i="4"/>
  <c r="D417" i="4" l="1"/>
  <c r="E416" i="4"/>
  <c r="F262" i="4"/>
  <c r="R262" i="4" s="1"/>
  <c r="E417" i="4" l="1"/>
  <c r="D418" i="4"/>
  <c r="H262" i="4"/>
  <c r="S262" i="4" s="1"/>
  <c r="I262" i="4"/>
  <c r="G262" i="4"/>
  <c r="E418" i="4" l="1"/>
  <c r="D419" i="4"/>
  <c r="F263" i="4"/>
  <c r="R263" i="4" s="1"/>
  <c r="E419" i="4" l="1"/>
  <c r="D420" i="4"/>
  <c r="H263" i="4"/>
  <c r="S263" i="4" s="1"/>
  <c r="I263" i="4"/>
  <c r="G263" i="4"/>
  <c r="E420" i="4" l="1"/>
  <c r="D421" i="4"/>
  <c r="F264" i="4"/>
  <c r="R264" i="4" s="1"/>
  <c r="E421" i="4" l="1"/>
  <c r="D422" i="4"/>
  <c r="H264" i="4"/>
  <c r="S264" i="4" s="1"/>
  <c r="I264" i="4"/>
  <c r="G264" i="4"/>
  <c r="E422" i="4" l="1"/>
  <c r="D423" i="4"/>
  <c r="F265" i="4"/>
  <c r="R265" i="4" s="1"/>
  <c r="D424" i="4" l="1"/>
  <c r="E423" i="4"/>
  <c r="H265" i="4"/>
  <c r="S265" i="4" s="1"/>
  <c r="I265" i="4"/>
  <c r="G265" i="4"/>
  <c r="E424" i="4" l="1"/>
  <c r="D425" i="4"/>
  <c r="F266" i="4"/>
  <c r="R266" i="4" s="1"/>
  <c r="E425" i="4" l="1"/>
  <c r="D426" i="4"/>
  <c r="H266" i="4"/>
  <c r="S266" i="4" s="1"/>
  <c r="I266" i="4"/>
  <c r="G266" i="4"/>
  <c r="E426" i="4" l="1"/>
  <c r="D427" i="4"/>
  <c r="F267" i="4"/>
  <c r="R267" i="4" s="1"/>
  <c r="E427" i="4" l="1"/>
  <c r="D428" i="4"/>
  <c r="H267" i="4"/>
  <c r="S267" i="4" s="1"/>
  <c r="I267" i="4"/>
  <c r="G267" i="4"/>
  <c r="D429" i="4" l="1"/>
  <c r="E428" i="4"/>
  <c r="F268" i="4"/>
  <c r="R268" i="4" s="1"/>
  <c r="E429" i="4" l="1"/>
  <c r="D430" i="4"/>
  <c r="H268" i="4"/>
  <c r="S268" i="4" s="1"/>
  <c r="I268" i="4"/>
  <c r="G268" i="4"/>
  <c r="E430" i="4" l="1"/>
  <c r="D431" i="4"/>
  <c r="F269" i="4"/>
  <c r="R269" i="4" s="1"/>
  <c r="E431" i="4" l="1"/>
  <c r="D432" i="4"/>
  <c r="H269" i="4"/>
  <c r="S269" i="4" s="1"/>
  <c r="I269" i="4"/>
  <c r="G269" i="4"/>
  <c r="E432" i="4" l="1"/>
  <c r="D433" i="4"/>
  <c r="F270" i="4"/>
  <c r="R270" i="4" s="1"/>
  <c r="E433" i="4" l="1"/>
  <c r="D434" i="4"/>
  <c r="H270" i="4"/>
  <c r="S270" i="4" s="1"/>
  <c r="I270" i="4"/>
  <c r="G270" i="4"/>
  <c r="E434" i="4" l="1"/>
  <c r="D435" i="4"/>
  <c r="F271" i="4"/>
  <c r="R271" i="4" s="1"/>
  <c r="E435" i="4" l="1"/>
  <c r="D436" i="4"/>
  <c r="H271" i="4"/>
  <c r="S271" i="4" s="1"/>
  <c r="I271" i="4"/>
  <c r="G271" i="4"/>
  <c r="E436" i="4" l="1"/>
  <c r="D437" i="4"/>
  <c r="F272" i="4"/>
  <c r="R272" i="4" s="1"/>
  <c r="E437" i="4" l="1"/>
  <c r="D438" i="4"/>
  <c r="H272" i="4"/>
  <c r="S272" i="4" s="1"/>
  <c r="I272" i="4"/>
  <c r="G272" i="4"/>
  <c r="D439" i="4" l="1"/>
  <c r="E438" i="4"/>
  <c r="F273" i="4"/>
  <c r="R273" i="4" s="1"/>
  <c r="E439" i="4" l="1"/>
  <c r="D440" i="4"/>
  <c r="H273" i="4"/>
  <c r="S273" i="4" s="1"/>
  <c r="I273" i="4"/>
  <c r="G273" i="4"/>
  <c r="E440" i="4" l="1"/>
  <c r="D441" i="4"/>
  <c r="F274" i="4"/>
  <c r="R274" i="4" s="1"/>
  <c r="E441" i="4" l="1"/>
  <c r="D442" i="4"/>
  <c r="H274" i="4"/>
  <c r="S274" i="4" s="1"/>
  <c r="I274" i="4"/>
  <c r="G274" i="4"/>
  <c r="E442" i="4" l="1"/>
  <c r="D443" i="4"/>
  <c r="F275" i="4"/>
  <c r="R275" i="4" s="1"/>
  <c r="D444" i="4" l="1"/>
  <c r="E443" i="4"/>
  <c r="H275" i="4"/>
  <c r="S275" i="4" s="1"/>
  <c r="I275" i="4"/>
  <c r="G275" i="4"/>
  <c r="E444" i="4" l="1"/>
  <c r="D445" i="4"/>
  <c r="F276" i="4"/>
  <c r="R276" i="4" s="1"/>
  <c r="E445" i="4" l="1"/>
  <c r="D446" i="4"/>
  <c r="H276" i="4"/>
  <c r="S276" i="4" s="1"/>
  <c r="I276" i="4"/>
  <c r="G276" i="4"/>
  <c r="E446" i="4" l="1"/>
  <c r="D447" i="4"/>
  <c r="F277" i="4"/>
  <c r="R277" i="4" s="1"/>
  <c r="D448" i="4" l="1"/>
  <c r="E447" i="4"/>
  <c r="H277" i="4"/>
  <c r="S277" i="4" s="1"/>
  <c r="I277" i="4"/>
  <c r="G277" i="4"/>
  <c r="E448" i="4" l="1"/>
  <c r="D449" i="4"/>
  <c r="F278" i="4"/>
  <c r="R278" i="4" s="1"/>
  <c r="E449" i="4" l="1"/>
  <c r="D450" i="4"/>
  <c r="H278" i="4"/>
  <c r="S278" i="4" s="1"/>
  <c r="I278" i="4"/>
  <c r="G278" i="4"/>
  <c r="E450" i="4" l="1"/>
  <c r="D451" i="4"/>
  <c r="F279" i="4"/>
  <c r="R279" i="4" s="1"/>
  <c r="E451" i="4" l="1"/>
  <c r="D452" i="4"/>
  <c r="H279" i="4"/>
  <c r="S279" i="4" s="1"/>
  <c r="I279" i="4"/>
  <c r="G279" i="4"/>
  <c r="E452" i="4" l="1"/>
  <c r="D453" i="4"/>
  <c r="F280" i="4"/>
  <c r="R280" i="4" s="1"/>
  <c r="E453" i="4" l="1"/>
  <c r="D454" i="4"/>
  <c r="H280" i="4"/>
  <c r="S280" i="4" s="1"/>
  <c r="I280" i="4"/>
  <c r="G280" i="4"/>
  <c r="E454" i="4" l="1"/>
  <c r="D455" i="4"/>
  <c r="F281" i="4"/>
  <c r="R281" i="4" s="1"/>
  <c r="E455" i="4" l="1"/>
  <c r="D456" i="4"/>
  <c r="H281" i="4"/>
  <c r="S281" i="4" s="1"/>
  <c r="I281" i="4"/>
  <c r="G281" i="4"/>
  <c r="D457" i="4" l="1"/>
  <c r="E456" i="4"/>
  <c r="F282" i="4"/>
  <c r="R282" i="4" s="1"/>
  <c r="E457" i="4" l="1"/>
  <c r="D458" i="4"/>
  <c r="H282" i="4"/>
  <c r="S282" i="4" s="1"/>
  <c r="I282" i="4"/>
  <c r="G282" i="4"/>
  <c r="E458" i="4" l="1"/>
  <c r="D459" i="4"/>
  <c r="F283" i="4"/>
  <c r="R283" i="4" s="1"/>
  <c r="E459" i="4" l="1"/>
  <c r="D460" i="4"/>
  <c r="H283" i="4"/>
  <c r="S283" i="4" s="1"/>
  <c r="I283" i="4"/>
  <c r="G283" i="4"/>
  <c r="D461" i="4" l="1"/>
  <c r="E460" i="4"/>
  <c r="F284" i="4"/>
  <c r="R284" i="4" s="1"/>
  <c r="E461" i="4" l="1"/>
  <c r="D462" i="4"/>
  <c r="H284" i="4"/>
  <c r="S284" i="4" s="1"/>
  <c r="I284" i="4"/>
  <c r="G284" i="4"/>
  <c r="E462" i="4" l="1"/>
  <c r="D463" i="4"/>
  <c r="F285" i="4"/>
  <c r="R285" i="4" s="1"/>
  <c r="E463" i="4" l="1"/>
  <c r="D464" i="4"/>
  <c r="H285" i="4"/>
  <c r="S285" i="4" s="1"/>
  <c r="I285" i="4"/>
  <c r="G285" i="4"/>
  <c r="D465" i="4" l="1"/>
  <c r="E464" i="4"/>
  <c r="F286" i="4"/>
  <c r="R286" i="4" s="1"/>
  <c r="D466" i="4" l="1"/>
  <c r="E465" i="4"/>
  <c r="H286" i="4"/>
  <c r="S286" i="4" s="1"/>
  <c r="I286" i="4"/>
  <c r="G286" i="4"/>
  <c r="E466" i="4" l="1"/>
  <c r="D467" i="4"/>
  <c r="F287" i="4"/>
  <c r="R287" i="4" s="1"/>
  <c r="E467" i="4" l="1"/>
  <c r="D468" i="4"/>
  <c r="H287" i="4"/>
  <c r="S287" i="4" s="1"/>
  <c r="I287" i="4"/>
  <c r="G287" i="4"/>
  <c r="E468" i="4" l="1"/>
  <c r="D469" i="4"/>
  <c r="F288" i="4"/>
  <c r="R288" i="4" s="1"/>
  <c r="D470" i="4" l="1"/>
  <c r="E469" i="4"/>
  <c r="H288" i="4"/>
  <c r="S288" i="4" s="1"/>
  <c r="I288" i="4"/>
  <c r="G288" i="4"/>
  <c r="E470" i="4" l="1"/>
  <c r="D471" i="4"/>
  <c r="F289" i="4"/>
  <c r="R289" i="4" s="1"/>
  <c r="E471" i="4" l="1"/>
  <c r="D472" i="4"/>
  <c r="H289" i="4"/>
  <c r="S289" i="4" s="1"/>
  <c r="I289" i="4"/>
  <c r="G289" i="4"/>
  <c r="E472" i="4" l="1"/>
  <c r="D473" i="4"/>
  <c r="F290" i="4"/>
  <c r="R290" i="4" s="1"/>
  <c r="E473" i="4" l="1"/>
  <c r="D474" i="4"/>
  <c r="H290" i="4"/>
  <c r="S290" i="4" s="1"/>
  <c r="I290" i="4"/>
  <c r="G290" i="4"/>
  <c r="E474" i="4" l="1"/>
  <c r="D475" i="4"/>
  <c r="F291" i="4"/>
  <c r="R291" i="4" s="1"/>
  <c r="E475" i="4" l="1"/>
  <c r="D476" i="4"/>
  <c r="H291" i="4"/>
  <c r="S291" i="4" s="1"/>
  <c r="I291" i="4"/>
  <c r="G291" i="4"/>
  <c r="E476" i="4" l="1"/>
  <c r="D477" i="4"/>
  <c r="F292" i="4"/>
  <c r="R292" i="4" s="1"/>
  <c r="E477" i="4" l="1"/>
  <c r="D478" i="4"/>
  <c r="H292" i="4"/>
  <c r="S292" i="4" s="1"/>
  <c r="I292" i="4"/>
  <c r="G292" i="4"/>
  <c r="D479" i="4" l="1"/>
  <c r="E478" i="4"/>
  <c r="F293" i="4"/>
  <c r="R293" i="4" s="1"/>
  <c r="E479" i="4" l="1"/>
  <c r="D480" i="4"/>
  <c r="H293" i="4"/>
  <c r="S293" i="4" s="1"/>
  <c r="I293" i="4"/>
  <c r="G293" i="4"/>
  <c r="E480" i="4" l="1"/>
  <c r="D481" i="4"/>
  <c r="F294" i="4"/>
  <c r="R294" i="4" s="1"/>
  <c r="E481" i="4" l="1"/>
  <c r="D482" i="4"/>
  <c r="H294" i="4"/>
  <c r="S294" i="4" s="1"/>
  <c r="I294" i="4"/>
  <c r="G294" i="4"/>
  <c r="D483" i="4" l="1"/>
  <c r="E482" i="4"/>
  <c r="F295" i="4"/>
  <c r="R295" i="4" s="1"/>
  <c r="E483" i="4" l="1"/>
  <c r="D484" i="4"/>
  <c r="H295" i="4"/>
  <c r="S295" i="4" s="1"/>
  <c r="I295" i="4"/>
  <c r="G295" i="4"/>
  <c r="E484" i="4" l="1"/>
  <c r="D485" i="4"/>
  <c r="F296" i="4"/>
  <c r="R296" i="4" s="1"/>
  <c r="E485" i="4" l="1"/>
  <c r="D486" i="4"/>
  <c r="H296" i="4"/>
  <c r="S296" i="4" s="1"/>
  <c r="I296" i="4"/>
  <c r="G296" i="4"/>
  <c r="E486" i="4" l="1"/>
  <c r="D487" i="4"/>
  <c r="F297" i="4"/>
  <c r="R297" i="4" s="1"/>
  <c r="E487" i="4" l="1"/>
  <c r="D488" i="4"/>
  <c r="H297" i="4"/>
  <c r="S297" i="4" s="1"/>
  <c r="I297" i="4"/>
  <c r="G297" i="4"/>
  <c r="E488" i="4" l="1"/>
  <c r="D489" i="4"/>
  <c r="F298" i="4"/>
  <c r="R298" i="4" s="1"/>
  <c r="E489" i="4" l="1"/>
  <c r="D490" i="4"/>
  <c r="H298" i="4"/>
  <c r="S298" i="4" s="1"/>
  <c r="I298" i="4"/>
  <c r="G298" i="4"/>
  <c r="E490" i="4" l="1"/>
  <c r="D491" i="4"/>
  <c r="F299" i="4"/>
  <c r="R299" i="4" s="1"/>
  <c r="D492" i="4" l="1"/>
  <c r="E491" i="4"/>
  <c r="H299" i="4"/>
  <c r="S299" i="4" s="1"/>
  <c r="I299" i="4"/>
  <c r="G299" i="4"/>
  <c r="E492" i="4" l="1"/>
  <c r="D493" i="4"/>
  <c r="F300" i="4"/>
  <c r="R300" i="4" s="1"/>
  <c r="E493" i="4" l="1"/>
  <c r="D494" i="4"/>
  <c r="H300" i="4"/>
  <c r="S300" i="4" s="1"/>
  <c r="I300" i="4"/>
  <c r="G300" i="4"/>
  <c r="D495" i="4" l="1"/>
  <c r="E494" i="4"/>
  <c r="F301" i="4"/>
  <c r="R301" i="4" s="1"/>
  <c r="D496" i="4" l="1"/>
  <c r="E495" i="4"/>
  <c r="H301" i="4"/>
  <c r="S301" i="4" s="1"/>
  <c r="I301" i="4"/>
  <c r="G301" i="4"/>
  <c r="E496" i="4" l="1"/>
  <c r="D497" i="4"/>
  <c r="F302" i="4"/>
  <c r="R302" i="4" s="1"/>
  <c r="E497" i="4" l="1"/>
  <c r="D498" i="4"/>
  <c r="H302" i="4"/>
  <c r="S302" i="4" s="1"/>
  <c r="I302" i="4"/>
  <c r="G302" i="4"/>
  <c r="E498" i="4" l="1"/>
  <c r="D499" i="4"/>
  <c r="F303" i="4"/>
  <c r="R303" i="4" s="1"/>
  <c r="D500" i="4" l="1"/>
  <c r="E499" i="4"/>
  <c r="H303" i="4"/>
  <c r="S303" i="4" s="1"/>
  <c r="I303" i="4"/>
  <c r="G303" i="4"/>
  <c r="E500" i="4" l="1"/>
  <c r="D501" i="4"/>
  <c r="F304" i="4"/>
  <c r="R304" i="4" s="1"/>
  <c r="E501" i="4" l="1"/>
  <c r="D502" i="4"/>
  <c r="H304" i="4"/>
  <c r="S304" i="4" s="1"/>
  <c r="I304" i="4"/>
  <c r="G304" i="4"/>
  <c r="E502" i="4" l="1"/>
  <c r="D503" i="4"/>
  <c r="F305" i="4"/>
  <c r="R305" i="4" s="1"/>
  <c r="D504" i="4" l="1"/>
  <c r="E503" i="4"/>
  <c r="H305" i="4"/>
  <c r="S305" i="4" s="1"/>
  <c r="I305" i="4"/>
  <c r="G305" i="4"/>
  <c r="E504" i="4" l="1"/>
  <c r="D505" i="4"/>
  <c r="F306" i="4"/>
  <c r="R306" i="4" s="1"/>
  <c r="E505" i="4" l="1"/>
  <c r="D506" i="4"/>
  <c r="H306" i="4"/>
  <c r="S306" i="4" s="1"/>
  <c r="I306" i="4"/>
  <c r="G306" i="4"/>
  <c r="D507" i="4" l="1"/>
  <c r="E506" i="4"/>
  <c r="F307" i="4"/>
  <c r="R307" i="4" s="1"/>
  <c r="D508" i="4" l="1"/>
  <c r="E507" i="4"/>
  <c r="H307" i="4"/>
  <c r="S307" i="4" s="1"/>
  <c r="I307" i="4"/>
  <c r="G307" i="4"/>
  <c r="E508" i="4" l="1"/>
  <c r="D509" i="4"/>
  <c r="F308" i="4"/>
  <c r="R308" i="4" s="1"/>
  <c r="E509" i="4" l="1"/>
  <c r="D510" i="4"/>
  <c r="H308" i="4"/>
  <c r="S308" i="4" s="1"/>
  <c r="I308" i="4"/>
  <c r="G308" i="4"/>
  <c r="E510" i="4" l="1"/>
  <c r="D511" i="4"/>
  <c r="F309" i="4"/>
  <c r="R309" i="4" s="1"/>
  <c r="D512" i="4" l="1"/>
  <c r="E511" i="4"/>
  <c r="H309" i="4"/>
  <c r="S309" i="4" s="1"/>
  <c r="I309" i="4"/>
  <c r="G309" i="4"/>
  <c r="E512" i="4" l="1"/>
  <c r="D513" i="4"/>
  <c r="F310" i="4"/>
  <c r="R310" i="4" s="1"/>
  <c r="E513" i="4" l="1"/>
  <c r="D514" i="4"/>
  <c r="H310" i="4"/>
  <c r="S310" i="4" s="1"/>
  <c r="I310" i="4"/>
  <c r="G310" i="4"/>
  <c r="D515" i="4" l="1"/>
  <c r="E514" i="4"/>
  <c r="F311" i="4"/>
  <c r="R311" i="4" s="1"/>
  <c r="D516" i="4" l="1"/>
  <c r="E515" i="4"/>
  <c r="H311" i="4"/>
  <c r="S311" i="4" s="1"/>
  <c r="I311" i="4"/>
  <c r="G311" i="4"/>
  <c r="E516" i="4" l="1"/>
  <c r="D517" i="4"/>
  <c r="F312" i="4"/>
  <c r="R312" i="4" s="1"/>
  <c r="E517" i="4" l="1"/>
  <c r="D518" i="4"/>
  <c r="H312" i="4"/>
  <c r="S312" i="4" s="1"/>
  <c r="I312" i="4"/>
  <c r="G312" i="4"/>
  <c r="E518" i="4" l="1"/>
  <c r="D519" i="4"/>
  <c r="F313" i="4"/>
  <c r="R313" i="4" s="1"/>
  <c r="D520" i="4" l="1"/>
  <c r="E519" i="4"/>
  <c r="H313" i="4"/>
  <c r="S313" i="4" s="1"/>
  <c r="I313" i="4"/>
  <c r="G313" i="4"/>
  <c r="E520" i="4" l="1"/>
  <c r="D521" i="4"/>
  <c r="F314" i="4"/>
  <c r="R314" i="4" s="1"/>
  <c r="E521" i="4" l="1"/>
  <c r="D522" i="4"/>
  <c r="H314" i="4"/>
  <c r="S314" i="4" s="1"/>
  <c r="I314" i="4"/>
  <c r="G314" i="4"/>
  <c r="E522" i="4" l="1"/>
  <c r="D523" i="4"/>
  <c r="F315" i="4"/>
  <c r="R315" i="4" s="1"/>
  <c r="D524" i="4" l="1"/>
  <c r="E523" i="4"/>
  <c r="H315" i="4"/>
  <c r="S315" i="4" s="1"/>
  <c r="I315" i="4"/>
  <c r="G315" i="4"/>
  <c r="E524" i="4" l="1"/>
  <c r="D525" i="4"/>
  <c r="F316" i="4"/>
  <c r="R316" i="4" s="1"/>
  <c r="D526" i="4" l="1"/>
  <c r="E525" i="4"/>
  <c r="H316" i="4"/>
  <c r="S316" i="4" s="1"/>
  <c r="I316" i="4"/>
  <c r="G316" i="4"/>
  <c r="D527" i="4" l="1"/>
  <c r="E526" i="4"/>
  <c r="F317" i="4"/>
  <c r="R317" i="4" s="1"/>
  <c r="D528" i="4" l="1"/>
  <c r="E527" i="4"/>
  <c r="H317" i="4"/>
  <c r="S317" i="4" s="1"/>
  <c r="I317" i="4"/>
  <c r="G317" i="4"/>
  <c r="E528" i="4" l="1"/>
  <c r="D529" i="4"/>
  <c r="F318" i="4"/>
  <c r="R318" i="4" s="1"/>
  <c r="E529" i="4" l="1"/>
  <c r="D530" i="4"/>
  <c r="H318" i="4"/>
  <c r="S318" i="4" s="1"/>
  <c r="I318" i="4"/>
  <c r="G318" i="4"/>
  <c r="E530" i="4" l="1"/>
  <c r="D531" i="4"/>
  <c r="F319" i="4"/>
  <c r="R319" i="4" s="1"/>
  <c r="E531" i="4" l="1"/>
  <c r="D532" i="4"/>
  <c r="H319" i="4"/>
  <c r="S319" i="4" s="1"/>
  <c r="I319" i="4"/>
  <c r="G319" i="4"/>
  <c r="E532" i="4" l="1"/>
  <c r="D533" i="4"/>
  <c r="F320" i="4"/>
  <c r="R320" i="4" s="1"/>
  <c r="E533" i="4" l="1"/>
  <c r="D534" i="4"/>
  <c r="H320" i="4"/>
  <c r="S320" i="4" s="1"/>
  <c r="I320" i="4"/>
  <c r="G320" i="4"/>
  <c r="D535" i="4" l="1"/>
  <c r="E534" i="4"/>
  <c r="F321" i="4"/>
  <c r="R321" i="4" s="1"/>
  <c r="D536" i="4" l="1"/>
  <c r="E535" i="4"/>
  <c r="H321" i="4"/>
  <c r="S321" i="4" s="1"/>
  <c r="I321" i="4"/>
  <c r="G321" i="4"/>
  <c r="E536" i="4" l="1"/>
  <c r="D537" i="4"/>
  <c r="F322" i="4"/>
  <c r="R322" i="4" s="1"/>
  <c r="E537" i="4" l="1"/>
  <c r="D538" i="4"/>
  <c r="H322" i="4"/>
  <c r="S322" i="4" s="1"/>
  <c r="I322" i="4"/>
  <c r="G322" i="4"/>
  <c r="E538" i="4" l="1"/>
  <c r="D539" i="4"/>
  <c r="F323" i="4"/>
  <c r="R323" i="4" s="1"/>
  <c r="D540" i="4" l="1"/>
  <c r="E539" i="4"/>
  <c r="H323" i="4"/>
  <c r="S323" i="4" s="1"/>
  <c r="I323" i="4"/>
  <c r="G323" i="4"/>
  <c r="E540" i="4" l="1"/>
  <c r="D541" i="4"/>
  <c r="F324" i="4"/>
  <c r="R324" i="4" s="1"/>
  <c r="E541" i="4" l="1"/>
  <c r="D542" i="4"/>
  <c r="H324" i="4"/>
  <c r="S324" i="4" s="1"/>
  <c r="I324" i="4"/>
  <c r="G324" i="4"/>
  <c r="D543" i="4" l="1"/>
  <c r="E542" i="4"/>
  <c r="F325" i="4"/>
  <c r="R325" i="4" s="1"/>
  <c r="D544" i="4" l="1"/>
  <c r="E543" i="4"/>
  <c r="H325" i="4"/>
  <c r="S325" i="4" s="1"/>
  <c r="I325" i="4"/>
  <c r="G325" i="4"/>
  <c r="E544" i="4" l="1"/>
  <c r="D545" i="4"/>
  <c r="F326" i="4"/>
  <c r="R326" i="4" s="1"/>
  <c r="E545" i="4" l="1"/>
  <c r="D546" i="4"/>
  <c r="H326" i="4"/>
  <c r="S326" i="4" s="1"/>
  <c r="I326" i="4"/>
  <c r="G326" i="4"/>
  <c r="E546" i="4" l="1"/>
  <c r="D547" i="4"/>
  <c r="F327" i="4"/>
  <c r="R327" i="4" s="1"/>
  <c r="D548" i="4" l="1"/>
  <c r="E547" i="4"/>
  <c r="H327" i="4"/>
  <c r="S327" i="4" s="1"/>
  <c r="I327" i="4"/>
  <c r="G327" i="4"/>
  <c r="E548" i="4" l="1"/>
  <c r="D549" i="4"/>
  <c r="F328" i="4"/>
  <c r="R328" i="4" s="1"/>
  <c r="D550" i="4" l="1"/>
  <c r="E549" i="4"/>
  <c r="H328" i="4"/>
  <c r="S328" i="4" s="1"/>
  <c r="I328" i="4"/>
  <c r="G328" i="4"/>
  <c r="D551" i="4" l="1"/>
  <c r="E550" i="4"/>
  <c r="F329" i="4"/>
  <c r="R329" i="4" s="1"/>
  <c r="D552" i="4" l="1"/>
  <c r="E551" i="4"/>
  <c r="H329" i="4"/>
  <c r="S329" i="4" s="1"/>
  <c r="I329" i="4"/>
  <c r="G329" i="4"/>
  <c r="E552" i="4" l="1"/>
  <c r="D553" i="4"/>
  <c r="F330" i="4"/>
  <c r="R330" i="4" s="1"/>
  <c r="E553" i="4" l="1"/>
  <c r="D554" i="4"/>
  <c r="H330" i="4"/>
  <c r="S330" i="4" s="1"/>
  <c r="I330" i="4"/>
  <c r="G330" i="4"/>
  <c r="E554" i="4" l="1"/>
  <c r="D555" i="4"/>
  <c r="F331" i="4"/>
  <c r="R331" i="4" s="1"/>
  <c r="D556" i="4" l="1"/>
  <c r="E555" i="4"/>
  <c r="H331" i="4"/>
  <c r="S331" i="4" s="1"/>
  <c r="I331" i="4"/>
  <c r="G331" i="4"/>
  <c r="E556" i="4" l="1"/>
  <c r="D557" i="4"/>
  <c r="F332" i="4"/>
  <c r="R332" i="4" s="1"/>
  <c r="E557" i="4" l="1"/>
  <c r="D558" i="4"/>
  <c r="H332" i="4"/>
  <c r="S332" i="4" s="1"/>
  <c r="I332" i="4"/>
  <c r="G332" i="4"/>
  <c r="E558" i="4" l="1"/>
  <c r="D559" i="4"/>
  <c r="F333" i="4"/>
  <c r="R333" i="4" s="1"/>
  <c r="D560" i="4" l="1"/>
  <c r="E559" i="4"/>
  <c r="H333" i="4"/>
  <c r="S333" i="4" s="1"/>
  <c r="I333" i="4"/>
  <c r="G333" i="4"/>
  <c r="E560" i="4" l="1"/>
  <c r="D561" i="4"/>
  <c r="F334" i="4"/>
  <c r="R334" i="4" s="1"/>
  <c r="E561" i="4" l="1"/>
  <c r="D562" i="4"/>
  <c r="H334" i="4"/>
  <c r="S334" i="4" s="1"/>
  <c r="I334" i="4"/>
  <c r="G334" i="4"/>
  <c r="E562" i="4" l="1"/>
  <c r="D563" i="4"/>
  <c r="F335" i="4"/>
  <c r="R335" i="4" s="1"/>
  <c r="D564" i="4" l="1"/>
  <c r="E563" i="4"/>
  <c r="H335" i="4"/>
  <c r="S335" i="4" s="1"/>
  <c r="I335" i="4"/>
  <c r="G335" i="4"/>
  <c r="E564" i="4" l="1"/>
  <c r="D565" i="4"/>
  <c r="F336" i="4"/>
  <c r="R336" i="4" s="1"/>
  <c r="E565" i="4" l="1"/>
  <c r="D566" i="4"/>
  <c r="H336" i="4"/>
  <c r="S336" i="4" s="1"/>
  <c r="I336" i="4"/>
  <c r="G336" i="4"/>
  <c r="E566" i="4" l="1"/>
  <c r="D567" i="4"/>
  <c r="F337" i="4"/>
  <c r="R337" i="4" s="1"/>
  <c r="D568" i="4" l="1"/>
  <c r="E567" i="4"/>
  <c r="H337" i="4"/>
  <c r="S337" i="4" s="1"/>
  <c r="I337" i="4"/>
  <c r="G337" i="4"/>
  <c r="E568" i="4" l="1"/>
  <c r="D569" i="4"/>
  <c r="F338" i="4"/>
  <c r="R338" i="4" s="1"/>
  <c r="E569" i="4" l="1"/>
  <c r="D570" i="4"/>
  <c r="H338" i="4"/>
  <c r="S338" i="4" s="1"/>
  <c r="I338" i="4"/>
  <c r="G338" i="4"/>
  <c r="E570" i="4" l="1"/>
  <c r="D571" i="4"/>
  <c r="F339" i="4"/>
  <c r="R339" i="4" s="1"/>
  <c r="D572" i="4" l="1"/>
  <c r="E571" i="4"/>
  <c r="H339" i="4"/>
  <c r="S339" i="4" s="1"/>
  <c r="I339" i="4"/>
  <c r="G339" i="4"/>
  <c r="E572" i="4" l="1"/>
  <c r="D573" i="4"/>
  <c r="F340" i="4"/>
  <c r="R340" i="4" s="1"/>
  <c r="E573" i="4" l="1"/>
  <c r="D574" i="4"/>
  <c r="H340" i="4"/>
  <c r="S340" i="4" s="1"/>
  <c r="I340" i="4"/>
  <c r="G340" i="4"/>
  <c r="E574" i="4" l="1"/>
  <c r="D575" i="4"/>
  <c r="F341" i="4"/>
  <c r="R341" i="4" s="1"/>
  <c r="D576" i="4" l="1"/>
  <c r="E575" i="4"/>
  <c r="H341" i="4"/>
  <c r="S341" i="4" s="1"/>
  <c r="I341" i="4"/>
  <c r="G341" i="4"/>
  <c r="E576" i="4" l="1"/>
  <c r="D577" i="4"/>
  <c r="F342" i="4"/>
  <c r="R342" i="4" s="1"/>
  <c r="E577" i="4" l="1"/>
  <c r="D578" i="4"/>
  <c r="H342" i="4"/>
  <c r="S342" i="4" s="1"/>
  <c r="I342" i="4"/>
  <c r="G342" i="4"/>
  <c r="E578" i="4" l="1"/>
  <c r="D579" i="4"/>
  <c r="F343" i="4"/>
  <c r="R343" i="4" s="1"/>
  <c r="D580" i="4" l="1"/>
  <c r="E579" i="4"/>
  <c r="H343" i="4"/>
  <c r="S343" i="4" s="1"/>
  <c r="I343" i="4"/>
  <c r="G343" i="4"/>
  <c r="E580" i="4" l="1"/>
  <c r="D581" i="4"/>
  <c r="F344" i="4"/>
  <c r="R344" i="4" s="1"/>
  <c r="E581" i="4" l="1"/>
  <c r="D582" i="4"/>
  <c r="H344" i="4"/>
  <c r="S344" i="4" s="1"/>
  <c r="I344" i="4"/>
  <c r="G344" i="4"/>
  <c r="E582" i="4" l="1"/>
  <c r="D583" i="4"/>
  <c r="F345" i="4"/>
  <c r="R345" i="4" s="1"/>
  <c r="D584" i="4" l="1"/>
  <c r="E583" i="4"/>
  <c r="H345" i="4"/>
  <c r="S345" i="4" s="1"/>
  <c r="I345" i="4"/>
  <c r="G345" i="4"/>
  <c r="E584" i="4" l="1"/>
  <c r="D585" i="4"/>
  <c r="F346" i="4"/>
  <c r="R346" i="4" s="1"/>
  <c r="E585" i="4" l="1"/>
  <c r="D586" i="4"/>
  <c r="H346" i="4"/>
  <c r="S346" i="4" s="1"/>
  <c r="I346" i="4"/>
  <c r="G346" i="4"/>
  <c r="E586" i="4" l="1"/>
  <c r="D587" i="4"/>
  <c r="F347" i="4"/>
  <c r="R347" i="4" s="1"/>
  <c r="D588" i="4" l="1"/>
  <c r="E587" i="4"/>
  <c r="H347" i="4"/>
  <c r="S347" i="4" s="1"/>
  <c r="I347" i="4"/>
  <c r="G347" i="4"/>
  <c r="E588" i="4" l="1"/>
  <c r="D589" i="4"/>
  <c r="F348" i="4"/>
  <c r="R348" i="4" s="1"/>
  <c r="D590" i="4" l="1"/>
  <c r="E589" i="4"/>
  <c r="H348" i="4"/>
  <c r="S348" i="4" s="1"/>
  <c r="I348" i="4"/>
  <c r="G348" i="4"/>
  <c r="D591" i="4" l="1"/>
  <c r="E590" i="4"/>
  <c r="F349" i="4"/>
  <c r="R349" i="4" s="1"/>
  <c r="D592" i="4" l="1"/>
  <c r="E591" i="4"/>
  <c r="H349" i="4"/>
  <c r="S349" i="4" s="1"/>
  <c r="I349" i="4"/>
  <c r="G349" i="4"/>
  <c r="E592" i="4" l="1"/>
  <c r="D593" i="4"/>
  <c r="F350" i="4"/>
  <c r="R350" i="4" s="1"/>
  <c r="E593" i="4" l="1"/>
  <c r="D594" i="4"/>
  <c r="H350" i="4"/>
  <c r="S350" i="4" s="1"/>
  <c r="I350" i="4"/>
  <c r="G350" i="4"/>
  <c r="E594" i="4" l="1"/>
  <c r="D595" i="4"/>
  <c r="F351" i="4"/>
  <c r="R351" i="4" s="1"/>
  <c r="E595" i="4" l="1"/>
  <c r="D596" i="4"/>
  <c r="H351" i="4"/>
  <c r="S351" i="4" s="1"/>
  <c r="I351" i="4"/>
  <c r="G351" i="4"/>
  <c r="E596" i="4" l="1"/>
  <c r="D597" i="4"/>
  <c r="F352" i="4"/>
  <c r="R352" i="4" s="1"/>
  <c r="E597" i="4" l="1"/>
  <c r="D598" i="4"/>
  <c r="H352" i="4"/>
  <c r="S352" i="4" s="1"/>
  <c r="I352" i="4"/>
  <c r="G352" i="4"/>
  <c r="E598" i="4" l="1"/>
  <c r="D599" i="4"/>
  <c r="F353" i="4"/>
  <c r="R353" i="4" s="1"/>
  <c r="D600" i="4" l="1"/>
  <c r="E599" i="4"/>
  <c r="H353" i="4"/>
  <c r="S353" i="4" s="1"/>
  <c r="I353" i="4"/>
  <c r="G353" i="4"/>
  <c r="E600" i="4" l="1"/>
  <c r="D601" i="4"/>
  <c r="F354" i="4"/>
  <c r="R354" i="4" s="1"/>
  <c r="D602" i="4" l="1"/>
  <c r="E601" i="4"/>
  <c r="H354" i="4"/>
  <c r="S354" i="4" s="1"/>
  <c r="I354" i="4"/>
  <c r="G354" i="4"/>
  <c r="E602" i="4" l="1"/>
  <c r="D603" i="4"/>
  <c r="F355" i="4"/>
  <c r="R355" i="4" s="1"/>
  <c r="D604" i="4" l="1"/>
  <c r="E603" i="4"/>
  <c r="H355" i="4"/>
  <c r="S355" i="4" s="1"/>
  <c r="I355" i="4"/>
  <c r="G355" i="4"/>
  <c r="E604" i="4" l="1"/>
  <c r="D605" i="4"/>
  <c r="F356" i="4"/>
  <c r="R356" i="4" s="1"/>
  <c r="E605" i="4" l="1"/>
  <c r="D606" i="4"/>
  <c r="H356" i="4"/>
  <c r="S356" i="4" s="1"/>
  <c r="I356" i="4"/>
  <c r="G356" i="4"/>
  <c r="E606" i="4" l="1"/>
  <c r="D607" i="4"/>
  <c r="F357" i="4"/>
  <c r="R357" i="4" s="1"/>
  <c r="D608" i="4" l="1"/>
  <c r="E607" i="4"/>
  <c r="H357" i="4"/>
  <c r="S357" i="4" s="1"/>
  <c r="I357" i="4"/>
  <c r="G357" i="4"/>
  <c r="E608" i="4" l="1"/>
  <c r="D609" i="4"/>
  <c r="F358" i="4"/>
  <c r="R358" i="4" s="1"/>
  <c r="E609" i="4" l="1"/>
  <c r="D610" i="4"/>
  <c r="H358" i="4"/>
  <c r="S358" i="4" s="1"/>
  <c r="I358" i="4"/>
  <c r="G358" i="4"/>
  <c r="D611" i="4" l="1"/>
  <c r="E610" i="4"/>
  <c r="F359" i="4"/>
  <c r="R359" i="4" s="1"/>
  <c r="D612" i="4" l="1"/>
  <c r="E611" i="4"/>
  <c r="H359" i="4"/>
  <c r="S359" i="4" s="1"/>
  <c r="I359" i="4"/>
  <c r="G359" i="4"/>
  <c r="E612" i="4" l="1"/>
  <c r="D613" i="4"/>
  <c r="F360" i="4"/>
  <c r="R360" i="4" s="1"/>
  <c r="E613" i="4" l="1"/>
  <c r="D614" i="4"/>
  <c r="H360" i="4"/>
  <c r="S360" i="4" s="1"/>
  <c r="I360" i="4"/>
  <c r="G360" i="4"/>
  <c r="E614" i="4" l="1"/>
  <c r="D615" i="4"/>
  <c r="F361" i="4"/>
  <c r="R361" i="4" s="1"/>
  <c r="D616" i="4" l="1"/>
  <c r="E615" i="4"/>
  <c r="H361" i="4"/>
  <c r="S361" i="4" s="1"/>
  <c r="I361" i="4"/>
  <c r="G361" i="4"/>
  <c r="E616" i="4" l="1"/>
  <c r="D617" i="4"/>
  <c r="F362" i="4"/>
  <c r="R362" i="4" s="1"/>
  <c r="E617" i="4" l="1"/>
  <c r="D618" i="4"/>
  <c r="H362" i="4"/>
  <c r="S362" i="4" s="1"/>
  <c r="I362" i="4"/>
  <c r="G362" i="4"/>
  <c r="E618" i="4" l="1"/>
  <c r="D619" i="4"/>
  <c r="F363" i="4"/>
  <c r="R363" i="4" s="1"/>
  <c r="D620" i="4" l="1"/>
  <c r="E619" i="4"/>
  <c r="H363" i="4"/>
  <c r="S363" i="4" s="1"/>
  <c r="I363" i="4"/>
  <c r="G363" i="4"/>
  <c r="E620" i="4" l="1"/>
  <c r="D621" i="4"/>
  <c r="F364" i="4"/>
  <c r="R364" i="4" s="1"/>
  <c r="E621" i="4" l="1"/>
  <c r="D622" i="4"/>
  <c r="H364" i="4"/>
  <c r="S364" i="4" s="1"/>
  <c r="I364" i="4"/>
  <c r="G364" i="4"/>
  <c r="E622" i="4" l="1"/>
  <c r="D623" i="4"/>
  <c r="F365" i="4"/>
  <c r="R365" i="4" s="1"/>
  <c r="E623" i="4" l="1"/>
  <c r="D624" i="4"/>
  <c r="H365" i="4"/>
  <c r="S365" i="4" s="1"/>
  <c r="I365" i="4"/>
  <c r="G365" i="4"/>
  <c r="E624" i="4" l="1"/>
  <c r="D625" i="4"/>
  <c r="F366" i="4"/>
  <c r="R366" i="4" s="1"/>
  <c r="E625" i="4" l="1"/>
  <c r="D626" i="4"/>
  <c r="H366" i="4"/>
  <c r="S366" i="4" s="1"/>
  <c r="I366" i="4"/>
  <c r="G366" i="4"/>
  <c r="E626" i="4" l="1"/>
  <c r="D627" i="4"/>
  <c r="F367" i="4"/>
  <c r="R367" i="4" s="1"/>
  <c r="D628" i="4" l="1"/>
  <c r="E627" i="4"/>
  <c r="H367" i="4"/>
  <c r="S367" i="4" s="1"/>
  <c r="I367" i="4"/>
  <c r="G367" i="4"/>
  <c r="E628" i="4" l="1"/>
  <c r="D629" i="4"/>
  <c r="F368" i="4"/>
  <c r="R368" i="4" s="1"/>
  <c r="D630" i="4" l="1"/>
  <c r="E629" i="4"/>
  <c r="H368" i="4"/>
  <c r="S368" i="4" s="1"/>
  <c r="I368" i="4"/>
  <c r="G368" i="4"/>
  <c r="D631" i="4" l="1"/>
  <c r="E630" i="4"/>
  <c r="F369" i="4"/>
  <c r="R369" i="4" s="1"/>
  <c r="D632" i="4" l="1"/>
  <c r="E631" i="4"/>
  <c r="H369" i="4"/>
  <c r="S369" i="4" s="1"/>
  <c r="I369" i="4"/>
  <c r="G369" i="4"/>
  <c r="E632" i="4" l="1"/>
  <c r="D633" i="4"/>
  <c r="F370" i="4"/>
  <c r="R370" i="4" s="1"/>
  <c r="E633" i="4" l="1"/>
  <c r="D634" i="4"/>
  <c r="H370" i="4"/>
  <c r="S370" i="4" s="1"/>
  <c r="I370" i="4"/>
  <c r="G370" i="4"/>
  <c r="D635" i="4" l="1"/>
  <c r="E634" i="4"/>
  <c r="F371" i="4"/>
  <c r="R371" i="4" s="1"/>
  <c r="D636" i="4" l="1"/>
  <c r="E635" i="4"/>
  <c r="H371" i="4"/>
  <c r="S371" i="4" s="1"/>
  <c r="I371" i="4"/>
  <c r="G371" i="4"/>
  <c r="E636" i="4" l="1"/>
  <c r="D637" i="4"/>
  <c r="F372" i="4"/>
  <c r="R372" i="4" s="1"/>
  <c r="E637" i="4" l="1"/>
  <c r="D638" i="4"/>
  <c r="H372" i="4"/>
  <c r="S372" i="4" s="1"/>
  <c r="I372" i="4"/>
  <c r="G372" i="4"/>
  <c r="E638" i="4" l="1"/>
  <c r="D639" i="4"/>
  <c r="F373" i="4"/>
  <c r="R373" i="4" s="1"/>
  <c r="D640" i="4" l="1"/>
  <c r="E639" i="4"/>
  <c r="H373" i="4"/>
  <c r="S373" i="4" s="1"/>
  <c r="I373" i="4"/>
  <c r="G373" i="4"/>
  <c r="D641" i="4" l="1"/>
  <c r="E640" i="4"/>
  <c r="F374" i="4"/>
  <c r="R374" i="4" s="1"/>
  <c r="E641" i="4" l="1"/>
  <c r="D642" i="4"/>
  <c r="H374" i="4"/>
  <c r="S374" i="4" s="1"/>
  <c r="I374" i="4"/>
  <c r="G374" i="4"/>
  <c r="E642" i="4" l="1"/>
  <c r="D643" i="4"/>
  <c r="F375" i="4"/>
  <c r="R375" i="4" s="1"/>
  <c r="D644" i="4" l="1"/>
  <c r="E643" i="4"/>
  <c r="H375" i="4"/>
  <c r="S375" i="4" s="1"/>
  <c r="I375" i="4"/>
  <c r="G375" i="4"/>
  <c r="D645" i="4" l="1"/>
  <c r="E644" i="4"/>
  <c r="F376" i="4"/>
  <c r="R376" i="4" s="1"/>
  <c r="E645" i="4" l="1"/>
  <c r="D646" i="4"/>
  <c r="H376" i="4"/>
  <c r="S376" i="4" s="1"/>
  <c r="I376" i="4"/>
  <c r="G376" i="4"/>
  <c r="E646" i="4" l="1"/>
  <c r="D647" i="4"/>
  <c r="F377" i="4"/>
  <c r="R377" i="4" s="1"/>
  <c r="D648" i="4" l="1"/>
  <c r="E647" i="4"/>
  <c r="H377" i="4"/>
  <c r="S377" i="4" s="1"/>
  <c r="I377" i="4"/>
  <c r="G377" i="4"/>
  <c r="D649" i="4" l="1"/>
  <c r="E648" i="4"/>
  <c r="F378" i="4"/>
  <c r="R378" i="4" s="1"/>
  <c r="D650" i="4" l="1"/>
  <c r="E649" i="4"/>
  <c r="H378" i="4"/>
  <c r="S378" i="4" s="1"/>
  <c r="I378" i="4"/>
  <c r="G378" i="4"/>
  <c r="E650" i="4" l="1"/>
  <c r="D651" i="4"/>
  <c r="F379" i="4"/>
  <c r="R379" i="4" s="1"/>
  <c r="D652" i="4" l="1"/>
  <c r="E651" i="4"/>
  <c r="H379" i="4"/>
  <c r="S379" i="4" s="1"/>
  <c r="I379" i="4"/>
  <c r="G379" i="4"/>
  <c r="E652" i="4" l="1"/>
  <c r="D653" i="4"/>
  <c r="F380" i="4"/>
  <c r="R380" i="4" s="1"/>
  <c r="D654" i="4" l="1"/>
  <c r="E653" i="4"/>
  <c r="H380" i="4"/>
  <c r="S380" i="4" s="1"/>
  <c r="I380" i="4"/>
  <c r="G380" i="4"/>
  <c r="E654" i="4" l="1"/>
  <c r="D655" i="4"/>
  <c r="F381" i="4"/>
  <c r="R381" i="4" s="1"/>
  <c r="D656" i="4" l="1"/>
  <c r="E655" i="4"/>
  <c r="H381" i="4"/>
  <c r="S381" i="4" s="1"/>
  <c r="I381" i="4"/>
  <c r="G381" i="4"/>
  <c r="E656" i="4" l="1"/>
  <c r="D657" i="4"/>
  <c r="F382" i="4"/>
  <c r="R382" i="4" s="1"/>
  <c r="D658" i="4" l="1"/>
  <c r="E657" i="4"/>
  <c r="H382" i="4"/>
  <c r="S382" i="4" s="1"/>
  <c r="I382" i="4"/>
  <c r="G382" i="4"/>
  <c r="E658" i="4" l="1"/>
  <c r="D659" i="4"/>
  <c r="F383" i="4"/>
  <c r="R383" i="4" s="1"/>
  <c r="D660" i="4" l="1"/>
  <c r="E659" i="4"/>
  <c r="H383" i="4"/>
  <c r="S383" i="4" s="1"/>
  <c r="I383" i="4"/>
  <c r="G383" i="4"/>
  <c r="E660" i="4" l="1"/>
  <c r="D661" i="4"/>
  <c r="F384" i="4"/>
  <c r="R384" i="4" s="1"/>
  <c r="D662" i="4" l="1"/>
  <c r="E661" i="4"/>
  <c r="H384" i="4"/>
  <c r="S384" i="4" s="1"/>
  <c r="I384" i="4"/>
  <c r="G384" i="4"/>
  <c r="D663" i="4" l="1"/>
  <c r="E662" i="4"/>
  <c r="F385" i="4"/>
  <c r="R385" i="4" s="1"/>
  <c r="D664" i="4" l="1"/>
  <c r="E663" i="4"/>
  <c r="H385" i="4"/>
  <c r="S385" i="4" s="1"/>
  <c r="I385" i="4"/>
  <c r="G385" i="4"/>
  <c r="E664" i="4" l="1"/>
  <c r="D665" i="4"/>
  <c r="G386" i="4"/>
  <c r="F386" i="4"/>
  <c r="R386" i="4" s="1"/>
  <c r="E665" i="4" l="1"/>
  <c r="D666" i="4"/>
  <c r="F387" i="4"/>
  <c r="R387" i="4" s="1"/>
  <c r="H386" i="4"/>
  <c r="S386" i="4" s="1"/>
  <c r="I386" i="4"/>
  <c r="D667" i="4" l="1"/>
  <c r="E666" i="4"/>
  <c r="H387" i="4"/>
  <c r="S387" i="4" s="1"/>
  <c r="I387" i="4"/>
  <c r="G387" i="4"/>
  <c r="D668" i="4" l="1"/>
  <c r="E667" i="4"/>
  <c r="F388" i="4"/>
  <c r="R388" i="4" s="1"/>
  <c r="E668" i="4" l="1"/>
  <c r="D669" i="4"/>
  <c r="H388" i="4"/>
  <c r="S388" i="4" s="1"/>
  <c r="I388" i="4"/>
  <c r="G388" i="4"/>
  <c r="E669" i="4" l="1"/>
  <c r="D670" i="4"/>
  <c r="F389" i="4"/>
  <c r="R389" i="4" s="1"/>
  <c r="D671" i="4" l="1"/>
  <c r="E670" i="4"/>
  <c r="H389" i="4"/>
  <c r="S389" i="4" s="1"/>
  <c r="I389" i="4"/>
  <c r="G389" i="4"/>
  <c r="D672" i="4" l="1"/>
  <c r="E671" i="4"/>
  <c r="F390" i="4"/>
  <c r="R390" i="4" s="1"/>
  <c r="E672" i="4" l="1"/>
  <c r="D673" i="4"/>
  <c r="H390" i="4"/>
  <c r="S390" i="4" s="1"/>
  <c r="I390" i="4"/>
  <c r="G390" i="4"/>
  <c r="E673" i="4" l="1"/>
  <c r="D674" i="4"/>
  <c r="F391" i="4"/>
  <c r="R391" i="4" s="1"/>
  <c r="D675" i="4" l="1"/>
  <c r="E674" i="4"/>
  <c r="H391" i="4"/>
  <c r="S391" i="4" s="1"/>
  <c r="I391" i="4"/>
  <c r="G391" i="4"/>
  <c r="D676" i="4" l="1"/>
  <c r="E675" i="4"/>
  <c r="F392" i="4"/>
  <c r="R392" i="4" s="1"/>
  <c r="E676" i="4" l="1"/>
  <c r="D677" i="4"/>
  <c r="H392" i="4"/>
  <c r="S392" i="4" s="1"/>
  <c r="I392" i="4"/>
  <c r="G392" i="4"/>
  <c r="E677" i="4" l="1"/>
  <c r="D678" i="4"/>
  <c r="F393" i="4"/>
  <c r="R393" i="4" s="1"/>
  <c r="E678" i="4" l="1"/>
  <c r="D679" i="4"/>
  <c r="H393" i="4"/>
  <c r="S393" i="4" s="1"/>
  <c r="I393" i="4"/>
  <c r="G393" i="4"/>
  <c r="D680" i="4" l="1"/>
  <c r="E679" i="4"/>
  <c r="F394" i="4"/>
  <c r="R394" i="4" s="1"/>
  <c r="E680" i="4" l="1"/>
  <c r="D681" i="4"/>
  <c r="H394" i="4"/>
  <c r="S394" i="4" s="1"/>
  <c r="I394" i="4"/>
  <c r="G394" i="4"/>
  <c r="E681" i="4" l="1"/>
  <c r="D682" i="4"/>
  <c r="F395" i="4"/>
  <c r="R395" i="4" s="1"/>
  <c r="E682" i="4" l="1"/>
  <c r="D683" i="4"/>
  <c r="H395" i="4"/>
  <c r="S395" i="4" s="1"/>
  <c r="I395" i="4"/>
  <c r="G395" i="4"/>
  <c r="D684" i="4" l="1"/>
  <c r="E683" i="4"/>
  <c r="F396" i="4"/>
  <c r="R396" i="4" s="1"/>
  <c r="E684" i="4" l="1"/>
  <c r="D685" i="4"/>
  <c r="H396" i="4"/>
  <c r="S396" i="4" s="1"/>
  <c r="I396" i="4"/>
  <c r="G396" i="4"/>
  <c r="E685" i="4" l="1"/>
  <c r="D686" i="4"/>
  <c r="F397" i="4"/>
  <c r="R397" i="4" s="1"/>
  <c r="E686" i="4" l="1"/>
  <c r="D687" i="4"/>
  <c r="H397" i="4"/>
  <c r="S397" i="4" s="1"/>
  <c r="I397" i="4"/>
  <c r="G397" i="4"/>
  <c r="D688" i="4" l="1"/>
  <c r="E687" i="4"/>
  <c r="F398" i="4"/>
  <c r="R398" i="4" s="1"/>
  <c r="E688" i="4" l="1"/>
  <c r="D689" i="4"/>
  <c r="H398" i="4"/>
  <c r="S398" i="4" s="1"/>
  <c r="I398" i="4"/>
  <c r="G398" i="4"/>
  <c r="E689" i="4" l="1"/>
  <c r="D690" i="4"/>
  <c r="F399" i="4"/>
  <c r="R399" i="4" s="1"/>
  <c r="E690" i="4" l="1"/>
  <c r="D691" i="4"/>
  <c r="H399" i="4"/>
  <c r="S399" i="4" s="1"/>
  <c r="I399" i="4"/>
  <c r="G399" i="4"/>
  <c r="D692" i="4" l="1"/>
  <c r="E691" i="4"/>
  <c r="F400" i="4"/>
  <c r="R400" i="4" s="1"/>
  <c r="E692" i="4" l="1"/>
  <c r="D693" i="4"/>
  <c r="H400" i="4"/>
  <c r="S400" i="4" s="1"/>
  <c r="I400" i="4"/>
  <c r="G400" i="4"/>
  <c r="E693" i="4" l="1"/>
  <c r="D694" i="4"/>
  <c r="F401" i="4"/>
  <c r="R401" i="4" s="1"/>
  <c r="E694" i="4" l="1"/>
  <c r="D695" i="4"/>
  <c r="H401" i="4"/>
  <c r="S401" i="4" s="1"/>
  <c r="I401" i="4"/>
  <c r="G401" i="4"/>
  <c r="D696" i="4" l="1"/>
  <c r="E695" i="4"/>
  <c r="F402" i="4"/>
  <c r="R402" i="4" s="1"/>
  <c r="E696" i="4" l="1"/>
  <c r="D697" i="4"/>
  <c r="H402" i="4"/>
  <c r="S402" i="4" s="1"/>
  <c r="I402" i="4"/>
  <c r="G402" i="4"/>
  <c r="E697" i="4" l="1"/>
  <c r="D698" i="4"/>
  <c r="F403" i="4"/>
  <c r="R403" i="4" s="1"/>
  <c r="E698" i="4" l="1"/>
  <c r="D699" i="4"/>
  <c r="H403" i="4"/>
  <c r="S403" i="4" s="1"/>
  <c r="I403" i="4"/>
  <c r="G403" i="4"/>
  <c r="D700" i="4" l="1"/>
  <c r="E699" i="4"/>
  <c r="F404" i="4"/>
  <c r="R404" i="4" s="1"/>
  <c r="E700" i="4" l="1"/>
  <c r="D701" i="4"/>
  <c r="H404" i="4"/>
  <c r="S404" i="4" s="1"/>
  <c r="I404" i="4"/>
  <c r="G404" i="4"/>
  <c r="E701" i="4" l="1"/>
  <c r="D702" i="4"/>
  <c r="F405" i="4"/>
  <c r="R405" i="4" s="1"/>
  <c r="D703" i="4" l="1"/>
  <c r="E702" i="4"/>
  <c r="H405" i="4"/>
  <c r="S405" i="4" s="1"/>
  <c r="I405" i="4"/>
  <c r="G405" i="4"/>
  <c r="D704" i="4" l="1"/>
  <c r="E703" i="4"/>
  <c r="F406" i="4"/>
  <c r="R406" i="4" s="1"/>
  <c r="E704" i="4" l="1"/>
  <c r="D705" i="4"/>
  <c r="H406" i="4"/>
  <c r="S406" i="4" s="1"/>
  <c r="I406" i="4"/>
  <c r="G406" i="4"/>
  <c r="E705" i="4" l="1"/>
  <c r="D706" i="4"/>
  <c r="F407" i="4"/>
  <c r="R407" i="4" s="1"/>
  <c r="E706" i="4" l="1"/>
  <c r="D707" i="4"/>
  <c r="H407" i="4"/>
  <c r="S407" i="4" s="1"/>
  <c r="I407" i="4"/>
  <c r="G407" i="4"/>
  <c r="E707" i="4" l="1"/>
  <c r="D708" i="4"/>
  <c r="F408" i="4"/>
  <c r="R408" i="4" s="1"/>
  <c r="E708" i="4" l="1"/>
  <c r="D709" i="4"/>
  <c r="H408" i="4"/>
  <c r="S408" i="4" s="1"/>
  <c r="I408" i="4"/>
  <c r="G408" i="4"/>
  <c r="E709" i="4" l="1"/>
  <c r="D710" i="4"/>
  <c r="F409" i="4"/>
  <c r="R409" i="4" s="1"/>
  <c r="E710" i="4" l="1"/>
  <c r="D711" i="4"/>
  <c r="H409" i="4"/>
  <c r="S409" i="4" s="1"/>
  <c r="I409" i="4"/>
  <c r="G409" i="4"/>
  <c r="D712" i="4" l="1"/>
  <c r="E711" i="4"/>
  <c r="F410" i="4"/>
  <c r="R410" i="4" s="1"/>
  <c r="E712" i="4" l="1"/>
  <c r="D713" i="4"/>
  <c r="H410" i="4"/>
  <c r="S410" i="4" s="1"/>
  <c r="I410" i="4"/>
  <c r="G410" i="4"/>
  <c r="E713" i="4" l="1"/>
  <c r="D714" i="4"/>
  <c r="F411" i="4"/>
  <c r="R411" i="4" s="1"/>
  <c r="D715" i="4" l="1"/>
  <c r="E714" i="4"/>
  <c r="H411" i="4"/>
  <c r="S411" i="4" s="1"/>
  <c r="I411" i="4"/>
  <c r="G411" i="4"/>
  <c r="D716" i="4" l="1"/>
  <c r="E715" i="4"/>
  <c r="F412" i="4"/>
  <c r="R412" i="4" s="1"/>
  <c r="D717" i="4" l="1"/>
  <c r="E716" i="4"/>
  <c r="H412" i="4"/>
  <c r="S412" i="4" s="1"/>
  <c r="I412" i="4"/>
  <c r="G412" i="4"/>
  <c r="E717" i="4" l="1"/>
  <c r="D718" i="4"/>
  <c r="F413" i="4"/>
  <c r="R413" i="4" s="1"/>
  <c r="E718" i="4" l="1"/>
  <c r="D719" i="4"/>
  <c r="H413" i="4"/>
  <c r="S413" i="4" s="1"/>
  <c r="I413" i="4"/>
  <c r="G413" i="4"/>
  <c r="D720" i="4" l="1"/>
  <c r="E719" i="4"/>
  <c r="F414" i="4"/>
  <c r="R414" i="4" s="1"/>
  <c r="E720" i="4" l="1"/>
  <c r="D721" i="4"/>
  <c r="H414" i="4"/>
  <c r="S414" i="4" s="1"/>
  <c r="I414" i="4"/>
  <c r="G414" i="4"/>
  <c r="E721" i="4" l="1"/>
  <c r="D722" i="4"/>
  <c r="F415" i="4"/>
  <c r="R415" i="4" s="1"/>
  <c r="E722" i="4" l="1"/>
  <c r="D723" i="4"/>
  <c r="H415" i="4"/>
  <c r="S415" i="4" s="1"/>
  <c r="I415" i="4"/>
  <c r="G415" i="4"/>
  <c r="E723" i="4" l="1"/>
  <c r="D724" i="4"/>
  <c r="F416" i="4"/>
  <c r="R416" i="4" s="1"/>
  <c r="E724" i="4" l="1"/>
  <c r="D725" i="4"/>
  <c r="H416" i="4"/>
  <c r="S416" i="4" s="1"/>
  <c r="I416" i="4"/>
  <c r="G416" i="4"/>
  <c r="E725" i="4" l="1"/>
  <c r="D726" i="4"/>
  <c r="F417" i="4"/>
  <c r="R417" i="4" s="1"/>
  <c r="E726" i="4" l="1"/>
  <c r="D727" i="4"/>
  <c r="H417" i="4"/>
  <c r="S417" i="4" s="1"/>
  <c r="I417" i="4"/>
  <c r="G417" i="4"/>
  <c r="D728" i="4" l="1"/>
  <c r="E727" i="4"/>
  <c r="F418" i="4"/>
  <c r="R418" i="4" s="1"/>
  <c r="E728" i="4" l="1"/>
  <c r="D729" i="4"/>
  <c r="H418" i="4"/>
  <c r="S418" i="4" s="1"/>
  <c r="I418" i="4"/>
  <c r="G418" i="4"/>
  <c r="E729" i="4" l="1"/>
  <c r="D730" i="4"/>
  <c r="F419" i="4"/>
  <c r="R419" i="4" s="1"/>
  <c r="E730" i="4" l="1"/>
  <c r="D731" i="4"/>
  <c r="H419" i="4"/>
  <c r="S419" i="4" s="1"/>
  <c r="I419" i="4"/>
  <c r="G419" i="4"/>
  <c r="D732" i="4" l="1"/>
  <c r="E731" i="4"/>
  <c r="F420" i="4"/>
  <c r="R420" i="4" s="1"/>
  <c r="E732" i="4" l="1"/>
  <c r="D733" i="4"/>
  <c r="H420" i="4"/>
  <c r="S420" i="4" s="1"/>
  <c r="I420" i="4"/>
  <c r="G420" i="4"/>
  <c r="E733" i="4" l="1"/>
  <c r="D734" i="4"/>
  <c r="F421" i="4"/>
  <c r="R421" i="4" s="1"/>
  <c r="E734" i="4" l="1"/>
  <c r="D735" i="4"/>
  <c r="H421" i="4"/>
  <c r="S421" i="4" s="1"/>
  <c r="I421" i="4"/>
  <c r="G421" i="4"/>
  <c r="D736" i="4" l="1"/>
  <c r="E735" i="4"/>
  <c r="F422" i="4"/>
  <c r="R422" i="4" s="1"/>
  <c r="E736" i="4" l="1"/>
  <c r="D737" i="4"/>
  <c r="H422" i="4"/>
  <c r="S422" i="4" s="1"/>
  <c r="I422" i="4"/>
  <c r="G422" i="4"/>
  <c r="E737" i="4" l="1"/>
  <c r="D738" i="4"/>
  <c r="F423" i="4"/>
  <c r="R423" i="4" s="1"/>
  <c r="E738" i="4" l="1"/>
  <c r="D739" i="4"/>
  <c r="H423" i="4"/>
  <c r="S423" i="4" s="1"/>
  <c r="I423" i="4"/>
  <c r="G423" i="4"/>
  <c r="D740" i="4" l="1"/>
  <c r="E739" i="4"/>
  <c r="F424" i="4"/>
  <c r="R424" i="4" s="1"/>
  <c r="E740" i="4" l="1"/>
  <c r="D741" i="4"/>
  <c r="H424" i="4"/>
  <c r="S424" i="4" s="1"/>
  <c r="I424" i="4"/>
  <c r="G424" i="4"/>
  <c r="E741" i="4" l="1"/>
  <c r="D742" i="4"/>
  <c r="F425" i="4"/>
  <c r="R425" i="4" s="1"/>
  <c r="E742" i="4" l="1"/>
  <c r="D743" i="4"/>
  <c r="H425" i="4"/>
  <c r="S425" i="4" s="1"/>
  <c r="I425" i="4"/>
  <c r="G425" i="4"/>
  <c r="D744" i="4" l="1"/>
  <c r="E743" i="4"/>
  <c r="F426" i="4"/>
  <c r="R426" i="4" s="1"/>
  <c r="E744" i="4" l="1"/>
  <c r="D745" i="4"/>
  <c r="H426" i="4"/>
  <c r="S426" i="4" s="1"/>
  <c r="I426" i="4"/>
  <c r="G426" i="4"/>
  <c r="E745" i="4" l="1"/>
  <c r="D746" i="4"/>
  <c r="F427" i="4"/>
  <c r="R427" i="4" s="1"/>
  <c r="E746" i="4" l="1"/>
  <c r="D747" i="4"/>
  <c r="H427" i="4"/>
  <c r="S427" i="4" s="1"/>
  <c r="I427" i="4"/>
  <c r="G427" i="4"/>
  <c r="D748" i="4" l="1"/>
  <c r="E747" i="4"/>
  <c r="F428" i="4"/>
  <c r="R428" i="4" s="1"/>
  <c r="E748" i="4" l="1"/>
  <c r="D749" i="4"/>
  <c r="H428" i="4"/>
  <c r="S428" i="4" s="1"/>
  <c r="I428" i="4"/>
  <c r="G428" i="4"/>
  <c r="E749" i="4" l="1"/>
  <c r="D750" i="4"/>
  <c r="F429" i="4"/>
  <c r="R429" i="4" s="1"/>
  <c r="E750" i="4" l="1"/>
  <c r="D751" i="4"/>
  <c r="H429" i="4"/>
  <c r="S429" i="4" s="1"/>
  <c r="I429" i="4"/>
  <c r="G429" i="4"/>
  <c r="D752" i="4" l="1"/>
  <c r="E751" i="4"/>
  <c r="F430" i="4"/>
  <c r="R430" i="4" s="1"/>
  <c r="E752" i="4" l="1"/>
  <c r="D753" i="4"/>
  <c r="H430" i="4"/>
  <c r="S430" i="4" s="1"/>
  <c r="I430" i="4"/>
  <c r="G430" i="4"/>
  <c r="E753" i="4" l="1"/>
  <c r="D754" i="4"/>
  <c r="F431" i="4"/>
  <c r="R431" i="4" s="1"/>
  <c r="E754" i="4" l="1"/>
  <c r="D755" i="4"/>
  <c r="H431" i="4"/>
  <c r="S431" i="4" s="1"/>
  <c r="I431" i="4"/>
  <c r="G431" i="4"/>
  <c r="D756" i="4" l="1"/>
  <c r="E755" i="4"/>
  <c r="F432" i="4"/>
  <c r="R432" i="4" s="1"/>
  <c r="E756" i="4" l="1"/>
  <c r="D757" i="4"/>
  <c r="H432" i="4"/>
  <c r="S432" i="4" s="1"/>
  <c r="I432" i="4"/>
  <c r="G432" i="4"/>
  <c r="E757" i="4" l="1"/>
  <c r="D758" i="4"/>
  <c r="F433" i="4"/>
  <c r="R433" i="4" s="1"/>
  <c r="E758" i="4" l="1"/>
  <c r="D759" i="4"/>
  <c r="H433" i="4"/>
  <c r="S433" i="4" s="1"/>
  <c r="I433" i="4"/>
  <c r="G433" i="4"/>
  <c r="E759" i="4" l="1"/>
  <c r="D760" i="4"/>
  <c r="F434" i="4"/>
  <c r="R434" i="4" s="1"/>
  <c r="D761" i="4" l="1"/>
  <c r="E760" i="4"/>
  <c r="H434" i="4"/>
  <c r="S434" i="4" s="1"/>
  <c r="I434" i="4"/>
  <c r="G434" i="4"/>
  <c r="E761" i="4" l="1"/>
  <c r="D762" i="4"/>
  <c r="F435" i="4"/>
  <c r="R435" i="4" s="1"/>
  <c r="E762" i="4" l="1"/>
  <c r="D763" i="4"/>
  <c r="H435" i="4"/>
  <c r="S435" i="4" s="1"/>
  <c r="I435" i="4"/>
  <c r="G435" i="4"/>
  <c r="D764" i="4" l="1"/>
  <c r="E763" i="4"/>
  <c r="F436" i="4"/>
  <c r="R436" i="4" s="1"/>
  <c r="E764" i="4" l="1"/>
  <c r="D765" i="4"/>
  <c r="H436" i="4"/>
  <c r="S436" i="4" s="1"/>
  <c r="I436" i="4"/>
  <c r="G436" i="4"/>
  <c r="E765" i="4" l="1"/>
  <c r="D766" i="4"/>
  <c r="F437" i="4"/>
  <c r="R437" i="4" s="1"/>
  <c r="E766" i="4" l="1"/>
  <c r="D767" i="4"/>
  <c r="H437" i="4"/>
  <c r="S437" i="4" s="1"/>
  <c r="I437" i="4"/>
  <c r="G437" i="4"/>
  <c r="E767" i="4" l="1"/>
  <c r="D768" i="4"/>
  <c r="F438" i="4"/>
  <c r="R438" i="4" s="1"/>
  <c r="E768" i="4" l="1"/>
  <c r="D769" i="4"/>
  <c r="H438" i="4"/>
  <c r="S438" i="4" s="1"/>
  <c r="I438" i="4"/>
  <c r="G438" i="4"/>
  <c r="E769" i="4" l="1"/>
  <c r="D770" i="4"/>
  <c r="F439" i="4"/>
  <c r="R439" i="4" s="1"/>
  <c r="E770" i="4" l="1"/>
  <c r="D771" i="4"/>
  <c r="H439" i="4"/>
  <c r="S439" i="4" s="1"/>
  <c r="I439" i="4"/>
  <c r="G439" i="4"/>
  <c r="D772" i="4" l="1"/>
  <c r="E771" i="4"/>
  <c r="F440" i="4"/>
  <c r="R440" i="4" s="1"/>
  <c r="E772" i="4" l="1"/>
  <c r="D773" i="4"/>
  <c r="H440" i="4"/>
  <c r="S440" i="4" s="1"/>
  <c r="I440" i="4"/>
  <c r="G440" i="4"/>
  <c r="E773" i="4" l="1"/>
  <c r="D774" i="4"/>
  <c r="F441" i="4"/>
  <c r="R441" i="4" s="1"/>
  <c r="E774" i="4" l="1"/>
  <c r="D775" i="4"/>
  <c r="H441" i="4"/>
  <c r="S441" i="4" s="1"/>
  <c r="I441" i="4"/>
  <c r="G441" i="4"/>
  <c r="D776" i="4" l="1"/>
  <c r="E775" i="4"/>
  <c r="F442" i="4"/>
  <c r="R442" i="4" s="1"/>
  <c r="E776" i="4" l="1"/>
  <c r="D777" i="4"/>
  <c r="H442" i="4"/>
  <c r="S442" i="4" s="1"/>
  <c r="I442" i="4"/>
  <c r="G442" i="4"/>
  <c r="E777" i="4" l="1"/>
  <c r="D778" i="4"/>
  <c r="F443" i="4"/>
  <c r="R443" i="4" s="1"/>
  <c r="E778" i="4" l="1"/>
  <c r="D779" i="4"/>
  <c r="H443" i="4"/>
  <c r="S443" i="4" s="1"/>
  <c r="I443" i="4"/>
  <c r="G443" i="4"/>
  <c r="D780" i="4" l="1"/>
  <c r="E779" i="4"/>
  <c r="F444" i="4"/>
  <c r="R444" i="4" s="1"/>
  <c r="E780" i="4" l="1"/>
  <c r="D781" i="4"/>
  <c r="H444" i="4"/>
  <c r="S444" i="4" s="1"/>
  <c r="I444" i="4"/>
  <c r="G444" i="4"/>
  <c r="E781" i="4" l="1"/>
  <c r="D782" i="4"/>
  <c r="F445" i="4"/>
  <c r="R445" i="4" s="1"/>
  <c r="E782" i="4" l="1"/>
  <c r="D783" i="4"/>
  <c r="E783" i="4" s="1"/>
  <c r="H445" i="4"/>
  <c r="S445" i="4" s="1"/>
  <c r="I445" i="4"/>
  <c r="G445" i="4"/>
  <c r="F446" i="4" l="1"/>
  <c r="R446" i="4" s="1"/>
  <c r="H446" i="4" l="1"/>
  <c r="S446" i="4" s="1"/>
  <c r="I446" i="4"/>
  <c r="G446" i="4"/>
  <c r="F447" i="4" l="1"/>
  <c r="R447" i="4" s="1"/>
  <c r="H447" i="4" l="1"/>
  <c r="S447" i="4" s="1"/>
  <c r="I447" i="4"/>
  <c r="G447" i="4"/>
  <c r="F448" i="4" l="1"/>
  <c r="R448" i="4" s="1"/>
  <c r="H448" i="4" l="1"/>
  <c r="S448" i="4" s="1"/>
  <c r="I448" i="4"/>
  <c r="G448" i="4"/>
  <c r="F449" i="4" l="1"/>
  <c r="R449" i="4" s="1"/>
  <c r="H449" i="4" l="1"/>
  <c r="S449" i="4" s="1"/>
  <c r="I449" i="4"/>
  <c r="G449" i="4"/>
  <c r="F450" i="4" l="1"/>
  <c r="R450" i="4" s="1"/>
  <c r="H450" i="4" l="1"/>
  <c r="S450" i="4" s="1"/>
  <c r="I450" i="4"/>
  <c r="G450" i="4"/>
  <c r="F451" i="4" l="1"/>
  <c r="R451" i="4" s="1"/>
  <c r="H451" i="4" l="1"/>
  <c r="S451" i="4" s="1"/>
  <c r="I451" i="4"/>
  <c r="G451" i="4"/>
  <c r="F452" i="4" l="1"/>
  <c r="R452" i="4" s="1"/>
  <c r="H452" i="4" l="1"/>
  <c r="S452" i="4" s="1"/>
  <c r="I452" i="4"/>
  <c r="G452" i="4"/>
  <c r="F453" i="4" l="1"/>
  <c r="R453" i="4" s="1"/>
  <c r="H453" i="4" l="1"/>
  <c r="S453" i="4" s="1"/>
  <c r="I453" i="4"/>
  <c r="G453" i="4"/>
  <c r="F454" i="4" l="1"/>
  <c r="R454" i="4" s="1"/>
  <c r="H454" i="4" l="1"/>
  <c r="S454" i="4" s="1"/>
  <c r="I454" i="4"/>
  <c r="G454" i="4"/>
  <c r="F455" i="4" l="1"/>
  <c r="R455" i="4" s="1"/>
  <c r="H455" i="4" l="1"/>
  <c r="S455" i="4" s="1"/>
  <c r="I455" i="4"/>
  <c r="G455" i="4"/>
  <c r="F456" i="4" l="1"/>
  <c r="R456" i="4" s="1"/>
  <c r="H456" i="4" l="1"/>
  <c r="S456" i="4" s="1"/>
  <c r="I456" i="4"/>
  <c r="G456" i="4"/>
  <c r="F457" i="4" l="1"/>
  <c r="R457" i="4" s="1"/>
  <c r="H457" i="4" l="1"/>
  <c r="S457" i="4" s="1"/>
  <c r="I457" i="4"/>
  <c r="G457" i="4"/>
  <c r="F458" i="4" l="1"/>
  <c r="R458" i="4" s="1"/>
  <c r="H458" i="4" l="1"/>
  <c r="S458" i="4" s="1"/>
  <c r="I458" i="4"/>
  <c r="G458" i="4"/>
  <c r="F459" i="4" l="1"/>
  <c r="R459" i="4" s="1"/>
  <c r="H459" i="4" l="1"/>
  <c r="S459" i="4" s="1"/>
  <c r="I459" i="4"/>
  <c r="G459" i="4"/>
  <c r="F460" i="4" l="1"/>
  <c r="R460" i="4" s="1"/>
  <c r="H460" i="4" l="1"/>
  <c r="S460" i="4" s="1"/>
  <c r="I460" i="4"/>
  <c r="G460" i="4"/>
  <c r="F461" i="4" l="1"/>
  <c r="R461" i="4" s="1"/>
  <c r="H461" i="4" l="1"/>
  <c r="S461" i="4" s="1"/>
  <c r="I461" i="4"/>
  <c r="G461" i="4"/>
  <c r="F462" i="4" l="1"/>
  <c r="R462" i="4" s="1"/>
  <c r="H462" i="4" l="1"/>
  <c r="S462" i="4" s="1"/>
  <c r="I462" i="4"/>
  <c r="G462" i="4"/>
  <c r="F463" i="4" l="1"/>
  <c r="R463" i="4" s="1"/>
  <c r="H463" i="4" l="1"/>
  <c r="S463" i="4" s="1"/>
  <c r="I463" i="4"/>
  <c r="G463" i="4"/>
  <c r="F464" i="4" l="1"/>
  <c r="R464" i="4" s="1"/>
  <c r="H464" i="4" l="1"/>
  <c r="S464" i="4" s="1"/>
  <c r="I464" i="4"/>
  <c r="G464" i="4"/>
  <c r="F465" i="4" l="1"/>
  <c r="R465" i="4" s="1"/>
  <c r="H465" i="4" l="1"/>
  <c r="S465" i="4" s="1"/>
  <c r="I465" i="4"/>
  <c r="G465" i="4"/>
  <c r="F466" i="4" l="1"/>
  <c r="R466" i="4" s="1"/>
  <c r="H466" i="4" l="1"/>
  <c r="S466" i="4" s="1"/>
  <c r="I466" i="4"/>
  <c r="G466" i="4"/>
  <c r="F467" i="4" l="1"/>
  <c r="R467" i="4" s="1"/>
  <c r="H467" i="4" l="1"/>
  <c r="S467" i="4" s="1"/>
  <c r="I467" i="4"/>
  <c r="G467" i="4"/>
  <c r="F468" i="4" l="1"/>
  <c r="R468" i="4" s="1"/>
  <c r="H468" i="4" l="1"/>
  <c r="S468" i="4" s="1"/>
  <c r="I468" i="4"/>
  <c r="G468" i="4"/>
  <c r="F469" i="4" l="1"/>
  <c r="R469" i="4" s="1"/>
  <c r="H469" i="4" l="1"/>
  <c r="S469" i="4" s="1"/>
  <c r="I469" i="4"/>
  <c r="G469" i="4"/>
  <c r="F470" i="4" l="1"/>
  <c r="R470" i="4" s="1"/>
  <c r="H470" i="4" l="1"/>
  <c r="S470" i="4" s="1"/>
  <c r="I470" i="4"/>
  <c r="G470" i="4"/>
  <c r="F471" i="4" l="1"/>
  <c r="R471" i="4" s="1"/>
  <c r="H471" i="4" l="1"/>
  <c r="S471" i="4" s="1"/>
  <c r="I471" i="4"/>
  <c r="G471" i="4"/>
  <c r="F472" i="4" l="1"/>
  <c r="R472" i="4" s="1"/>
  <c r="H472" i="4" l="1"/>
  <c r="S472" i="4" s="1"/>
  <c r="I472" i="4"/>
  <c r="G472" i="4"/>
  <c r="F473" i="4" l="1"/>
  <c r="R473" i="4" s="1"/>
  <c r="H473" i="4" l="1"/>
  <c r="S473" i="4" s="1"/>
  <c r="I473" i="4"/>
  <c r="G473" i="4"/>
  <c r="F474" i="4" l="1"/>
  <c r="R474" i="4" s="1"/>
  <c r="H474" i="4" l="1"/>
  <c r="S474" i="4" s="1"/>
  <c r="I474" i="4"/>
  <c r="G474" i="4"/>
  <c r="F475" i="4" l="1"/>
  <c r="R475" i="4" s="1"/>
  <c r="H475" i="4" l="1"/>
  <c r="S475" i="4" s="1"/>
  <c r="I475" i="4"/>
  <c r="G475" i="4"/>
  <c r="F476" i="4" l="1"/>
  <c r="R476" i="4" s="1"/>
  <c r="H476" i="4" l="1"/>
  <c r="S476" i="4" s="1"/>
  <c r="I476" i="4"/>
  <c r="G476" i="4"/>
  <c r="F477" i="4" l="1"/>
  <c r="R477" i="4" s="1"/>
  <c r="H477" i="4" l="1"/>
  <c r="S477" i="4" s="1"/>
  <c r="I477" i="4"/>
  <c r="G477" i="4"/>
  <c r="F478" i="4" l="1"/>
  <c r="R478" i="4" s="1"/>
  <c r="H478" i="4" l="1"/>
  <c r="S478" i="4" s="1"/>
  <c r="I478" i="4"/>
  <c r="G478" i="4"/>
  <c r="F479" i="4" l="1"/>
  <c r="R479" i="4" s="1"/>
  <c r="H479" i="4" l="1"/>
  <c r="S479" i="4" s="1"/>
  <c r="I479" i="4"/>
  <c r="G479" i="4"/>
  <c r="F480" i="4" l="1"/>
  <c r="R480" i="4" s="1"/>
  <c r="H480" i="4" l="1"/>
  <c r="S480" i="4" s="1"/>
  <c r="I480" i="4"/>
  <c r="G480" i="4"/>
  <c r="F481" i="4" l="1"/>
  <c r="R481" i="4" s="1"/>
  <c r="H481" i="4" l="1"/>
  <c r="S481" i="4" s="1"/>
  <c r="I481" i="4"/>
  <c r="G481" i="4"/>
  <c r="F482" i="4" l="1"/>
  <c r="R482" i="4" s="1"/>
  <c r="H482" i="4" l="1"/>
  <c r="S482" i="4" s="1"/>
  <c r="I482" i="4"/>
  <c r="G482" i="4"/>
  <c r="F483" i="4" l="1"/>
  <c r="R483" i="4" s="1"/>
  <c r="H483" i="4" l="1"/>
  <c r="S483" i="4" s="1"/>
  <c r="I483" i="4"/>
  <c r="G483" i="4"/>
  <c r="F484" i="4" l="1"/>
  <c r="R484" i="4" s="1"/>
  <c r="H484" i="4" l="1"/>
  <c r="S484" i="4" s="1"/>
  <c r="I484" i="4"/>
  <c r="G484" i="4"/>
  <c r="F485" i="4" l="1"/>
  <c r="R485" i="4" s="1"/>
  <c r="H485" i="4" l="1"/>
  <c r="S485" i="4" s="1"/>
  <c r="I485" i="4"/>
  <c r="G485" i="4"/>
  <c r="F486" i="4" l="1"/>
  <c r="R486" i="4" s="1"/>
  <c r="H486" i="4" l="1"/>
  <c r="S486" i="4" s="1"/>
  <c r="I486" i="4"/>
  <c r="G486" i="4"/>
  <c r="F487" i="4" l="1"/>
  <c r="R487" i="4" s="1"/>
  <c r="H487" i="4" l="1"/>
  <c r="S487" i="4" s="1"/>
  <c r="I487" i="4"/>
  <c r="G487" i="4"/>
  <c r="F488" i="4" l="1"/>
  <c r="R488" i="4" s="1"/>
  <c r="H488" i="4" l="1"/>
  <c r="S488" i="4" s="1"/>
  <c r="I488" i="4"/>
  <c r="G488" i="4"/>
  <c r="F489" i="4" l="1"/>
  <c r="R489" i="4" s="1"/>
  <c r="H489" i="4" l="1"/>
  <c r="S489" i="4" s="1"/>
  <c r="I489" i="4"/>
  <c r="G489" i="4"/>
  <c r="F490" i="4" l="1"/>
  <c r="R490" i="4" s="1"/>
  <c r="H490" i="4" l="1"/>
  <c r="S490" i="4" s="1"/>
  <c r="I490" i="4"/>
  <c r="G490" i="4"/>
  <c r="F491" i="4" l="1"/>
  <c r="R491" i="4" s="1"/>
  <c r="H491" i="4" l="1"/>
  <c r="S491" i="4" s="1"/>
  <c r="I491" i="4"/>
  <c r="G491" i="4"/>
  <c r="F492" i="4" l="1"/>
  <c r="R492" i="4" s="1"/>
  <c r="H492" i="4" l="1"/>
  <c r="S492" i="4" s="1"/>
  <c r="I492" i="4"/>
  <c r="G492" i="4"/>
  <c r="F493" i="4" l="1"/>
  <c r="R493" i="4" s="1"/>
  <c r="H493" i="4" l="1"/>
  <c r="S493" i="4" s="1"/>
  <c r="I493" i="4"/>
  <c r="G493" i="4"/>
  <c r="F494" i="4" l="1"/>
  <c r="R494" i="4" s="1"/>
  <c r="H494" i="4" l="1"/>
  <c r="S494" i="4" s="1"/>
  <c r="I494" i="4"/>
  <c r="G494" i="4"/>
  <c r="F495" i="4" l="1"/>
  <c r="R495" i="4" s="1"/>
  <c r="H495" i="4" l="1"/>
  <c r="S495" i="4" s="1"/>
  <c r="I495" i="4"/>
  <c r="G495" i="4"/>
  <c r="F496" i="4" l="1"/>
  <c r="R496" i="4" s="1"/>
  <c r="H496" i="4" l="1"/>
  <c r="S496" i="4" s="1"/>
  <c r="I496" i="4"/>
  <c r="G496" i="4"/>
  <c r="F497" i="4" l="1"/>
  <c r="R497" i="4" s="1"/>
  <c r="H497" i="4" l="1"/>
  <c r="S497" i="4" s="1"/>
  <c r="I497" i="4"/>
  <c r="G497" i="4"/>
  <c r="F498" i="4" l="1"/>
  <c r="R498" i="4" s="1"/>
  <c r="H498" i="4" l="1"/>
  <c r="S498" i="4" s="1"/>
  <c r="I498" i="4"/>
  <c r="G498" i="4"/>
  <c r="F499" i="4" l="1"/>
  <c r="R499" i="4" s="1"/>
  <c r="H499" i="4" l="1"/>
  <c r="S499" i="4" s="1"/>
  <c r="I499" i="4"/>
  <c r="G499" i="4"/>
  <c r="F500" i="4" l="1"/>
  <c r="R500" i="4" s="1"/>
  <c r="H500" i="4" l="1"/>
  <c r="S500" i="4" s="1"/>
  <c r="I500" i="4"/>
  <c r="G500" i="4"/>
  <c r="F501" i="4" l="1"/>
  <c r="R501" i="4" s="1"/>
  <c r="H501" i="4" l="1"/>
  <c r="S501" i="4" s="1"/>
  <c r="I501" i="4"/>
  <c r="G501" i="4"/>
  <c r="F502" i="4" l="1"/>
  <c r="R502" i="4" s="1"/>
  <c r="H502" i="4" l="1"/>
  <c r="S502" i="4" s="1"/>
  <c r="I502" i="4"/>
  <c r="G502" i="4"/>
  <c r="F503" i="4" l="1"/>
  <c r="R503" i="4" s="1"/>
  <c r="H503" i="4" l="1"/>
  <c r="S503" i="4" s="1"/>
  <c r="I503" i="4"/>
  <c r="G503" i="4"/>
  <c r="F504" i="4" l="1"/>
  <c r="R504" i="4" s="1"/>
  <c r="H504" i="4" l="1"/>
  <c r="S504" i="4" s="1"/>
  <c r="I504" i="4"/>
  <c r="G504" i="4"/>
  <c r="F505" i="4" l="1"/>
  <c r="R505" i="4" s="1"/>
  <c r="H505" i="4" l="1"/>
  <c r="S505" i="4" s="1"/>
  <c r="I505" i="4"/>
  <c r="G505" i="4"/>
  <c r="F506" i="4" l="1"/>
  <c r="R506" i="4" s="1"/>
  <c r="H506" i="4" l="1"/>
  <c r="S506" i="4" s="1"/>
  <c r="I506" i="4"/>
  <c r="G506" i="4"/>
  <c r="F507" i="4" l="1"/>
  <c r="R507" i="4" s="1"/>
  <c r="H507" i="4" l="1"/>
  <c r="S507" i="4" s="1"/>
  <c r="I507" i="4"/>
  <c r="G507" i="4"/>
  <c r="F508" i="4" l="1"/>
  <c r="R508" i="4" s="1"/>
  <c r="H508" i="4" l="1"/>
  <c r="S508" i="4" s="1"/>
  <c r="I508" i="4"/>
  <c r="G508" i="4"/>
  <c r="F509" i="4" l="1"/>
  <c r="R509" i="4" s="1"/>
  <c r="H509" i="4" l="1"/>
  <c r="S509" i="4" s="1"/>
  <c r="I509" i="4"/>
  <c r="G509" i="4"/>
  <c r="F510" i="4" l="1"/>
  <c r="R510" i="4" s="1"/>
  <c r="H510" i="4" l="1"/>
  <c r="S510" i="4" s="1"/>
  <c r="I510" i="4"/>
  <c r="G510" i="4"/>
  <c r="F511" i="4" l="1"/>
  <c r="R511" i="4" s="1"/>
  <c r="H511" i="4" l="1"/>
  <c r="S511" i="4" s="1"/>
  <c r="I511" i="4"/>
  <c r="G511" i="4"/>
  <c r="F512" i="4" l="1"/>
  <c r="R512" i="4" s="1"/>
  <c r="H512" i="4" l="1"/>
  <c r="S512" i="4" s="1"/>
  <c r="I512" i="4"/>
  <c r="G512" i="4"/>
  <c r="F513" i="4" l="1"/>
  <c r="R513" i="4" s="1"/>
  <c r="H513" i="4" l="1"/>
  <c r="S513" i="4" s="1"/>
  <c r="I513" i="4"/>
  <c r="G513" i="4"/>
  <c r="F514" i="4" l="1"/>
  <c r="R514" i="4" s="1"/>
  <c r="H514" i="4" l="1"/>
  <c r="S514" i="4" s="1"/>
  <c r="I514" i="4"/>
  <c r="G514" i="4"/>
  <c r="F515" i="4" l="1"/>
  <c r="R515" i="4" s="1"/>
  <c r="H515" i="4" l="1"/>
  <c r="S515" i="4" s="1"/>
  <c r="I515" i="4"/>
  <c r="G515" i="4"/>
  <c r="F516" i="4" l="1"/>
  <c r="R516" i="4" s="1"/>
  <c r="H516" i="4" l="1"/>
  <c r="S516" i="4" s="1"/>
  <c r="I516" i="4"/>
  <c r="G516" i="4"/>
  <c r="F517" i="4" l="1"/>
  <c r="R517" i="4" s="1"/>
  <c r="H517" i="4" l="1"/>
  <c r="S517" i="4" s="1"/>
  <c r="I517" i="4"/>
  <c r="G517" i="4"/>
  <c r="F518" i="4" l="1"/>
  <c r="R518" i="4" s="1"/>
  <c r="H518" i="4" l="1"/>
  <c r="S518" i="4" s="1"/>
  <c r="I518" i="4"/>
  <c r="G518" i="4"/>
  <c r="F519" i="4" l="1"/>
  <c r="R519" i="4" s="1"/>
  <c r="H519" i="4" l="1"/>
  <c r="S519" i="4" s="1"/>
  <c r="I519" i="4"/>
  <c r="G519" i="4"/>
  <c r="F520" i="4" l="1"/>
  <c r="R520" i="4" s="1"/>
  <c r="H520" i="4" l="1"/>
  <c r="S520" i="4" s="1"/>
  <c r="I520" i="4"/>
  <c r="G520" i="4"/>
  <c r="F521" i="4" l="1"/>
  <c r="R521" i="4" s="1"/>
  <c r="H521" i="4" l="1"/>
  <c r="S521" i="4" s="1"/>
  <c r="I521" i="4"/>
  <c r="G521" i="4"/>
  <c r="F522" i="4" l="1"/>
  <c r="R522" i="4" s="1"/>
  <c r="H522" i="4" l="1"/>
  <c r="S522" i="4" s="1"/>
  <c r="I522" i="4"/>
  <c r="G522" i="4"/>
  <c r="F523" i="4" l="1"/>
  <c r="R523" i="4" s="1"/>
  <c r="H523" i="4" l="1"/>
  <c r="S523" i="4" s="1"/>
  <c r="I523" i="4"/>
  <c r="G523" i="4"/>
  <c r="F524" i="4" l="1"/>
  <c r="R524" i="4" s="1"/>
  <c r="H524" i="4" l="1"/>
  <c r="S524" i="4" s="1"/>
  <c r="I524" i="4"/>
  <c r="G524" i="4"/>
  <c r="F525" i="4" l="1"/>
  <c r="R525" i="4" s="1"/>
  <c r="H525" i="4" l="1"/>
  <c r="S525" i="4" s="1"/>
  <c r="I525" i="4"/>
  <c r="G525" i="4"/>
  <c r="F526" i="4" l="1"/>
  <c r="R526" i="4" s="1"/>
  <c r="H526" i="4" l="1"/>
  <c r="S526" i="4" s="1"/>
  <c r="I526" i="4"/>
  <c r="G526" i="4"/>
  <c r="F527" i="4" l="1"/>
  <c r="R527" i="4" s="1"/>
  <c r="H527" i="4" l="1"/>
  <c r="S527" i="4" s="1"/>
  <c r="I527" i="4"/>
  <c r="G527" i="4"/>
  <c r="F528" i="4" l="1"/>
  <c r="R528" i="4" s="1"/>
  <c r="H528" i="4" l="1"/>
  <c r="S528" i="4" s="1"/>
  <c r="I528" i="4"/>
  <c r="G528" i="4"/>
  <c r="F529" i="4" l="1"/>
  <c r="R529" i="4" s="1"/>
  <c r="H529" i="4" l="1"/>
  <c r="S529" i="4" s="1"/>
  <c r="I529" i="4"/>
  <c r="G529" i="4"/>
  <c r="F530" i="4" l="1"/>
  <c r="R530" i="4" s="1"/>
  <c r="H530" i="4" l="1"/>
  <c r="S530" i="4" s="1"/>
  <c r="I530" i="4"/>
  <c r="G530" i="4"/>
  <c r="F531" i="4" l="1"/>
  <c r="R531" i="4" s="1"/>
  <c r="H531" i="4" l="1"/>
  <c r="S531" i="4" s="1"/>
  <c r="I531" i="4"/>
  <c r="G531" i="4"/>
  <c r="F532" i="4" l="1"/>
  <c r="R532" i="4" s="1"/>
  <c r="H532" i="4" l="1"/>
  <c r="S532" i="4" s="1"/>
  <c r="I532" i="4"/>
  <c r="G532" i="4"/>
  <c r="F533" i="4" l="1"/>
  <c r="R533" i="4" s="1"/>
  <c r="H533" i="4" l="1"/>
  <c r="S533" i="4" s="1"/>
  <c r="I533" i="4"/>
  <c r="G533" i="4"/>
  <c r="F534" i="4" l="1"/>
  <c r="R534" i="4" s="1"/>
  <c r="H534" i="4" l="1"/>
  <c r="S534" i="4" s="1"/>
  <c r="I534" i="4"/>
  <c r="G534" i="4"/>
  <c r="F535" i="4" l="1"/>
  <c r="R535" i="4" s="1"/>
  <c r="H535" i="4" l="1"/>
  <c r="S535" i="4" s="1"/>
  <c r="I535" i="4"/>
  <c r="G535" i="4"/>
  <c r="F536" i="4" l="1"/>
  <c r="R536" i="4" s="1"/>
  <c r="H536" i="4" l="1"/>
  <c r="S536" i="4" s="1"/>
  <c r="I536" i="4"/>
  <c r="G536" i="4"/>
  <c r="F537" i="4" l="1"/>
  <c r="R537" i="4" s="1"/>
  <c r="H537" i="4" l="1"/>
  <c r="S537" i="4" s="1"/>
  <c r="I537" i="4"/>
  <c r="G537" i="4"/>
  <c r="F538" i="4" l="1"/>
  <c r="R538" i="4" s="1"/>
  <c r="H538" i="4" l="1"/>
  <c r="S538" i="4" s="1"/>
  <c r="I538" i="4"/>
  <c r="G538" i="4"/>
  <c r="F539" i="4" l="1"/>
  <c r="R539" i="4" s="1"/>
  <c r="H539" i="4" l="1"/>
  <c r="S539" i="4" s="1"/>
  <c r="I539" i="4"/>
  <c r="G539" i="4"/>
  <c r="F540" i="4" l="1"/>
  <c r="R540" i="4" s="1"/>
  <c r="H540" i="4" l="1"/>
  <c r="S540" i="4" s="1"/>
  <c r="I540" i="4"/>
  <c r="G540" i="4"/>
  <c r="F541" i="4" l="1"/>
  <c r="R541" i="4" s="1"/>
  <c r="H541" i="4" l="1"/>
  <c r="S541" i="4" s="1"/>
  <c r="I541" i="4"/>
  <c r="G541" i="4"/>
  <c r="F542" i="4" l="1"/>
  <c r="R542" i="4" s="1"/>
  <c r="H542" i="4" l="1"/>
  <c r="S542" i="4" s="1"/>
  <c r="I542" i="4"/>
  <c r="G542" i="4"/>
  <c r="F543" i="4" l="1"/>
  <c r="R543" i="4" s="1"/>
  <c r="H543" i="4" l="1"/>
  <c r="S543" i="4" s="1"/>
  <c r="I543" i="4"/>
  <c r="G543" i="4"/>
  <c r="F544" i="4" l="1"/>
  <c r="R544" i="4" s="1"/>
  <c r="H544" i="4" l="1"/>
  <c r="S544" i="4" s="1"/>
  <c r="I544" i="4"/>
  <c r="G544" i="4"/>
  <c r="F545" i="4" l="1"/>
  <c r="R545" i="4" s="1"/>
  <c r="H545" i="4" l="1"/>
  <c r="S545" i="4" s="1"/>
  <c r="I545" i="4"/>
  <c r="G545" i="4"/>
  <c r="F546" i="4" l="1"/>
  <c r="R546" i="4" s="1"/>
  <c r="H546" i="4" l="1"/>
  <c r="S546" i="4" s="1"/>
  <c r="I546" i="4"/>
  <c r="G546" i="4"/>
  <c r="F547" i="4" l="1"/>
  <c r="R547" i="4" s="1"/>
  <c r="H547" i="4" l="1"/>
  <c r="S547" i="4" s="1"/>
  <c r="I547" i="4"/>
  <c r="G547" i="4"/>
  <c r="F548" i="4" l="1"/>
  <c r="R548" i="4" s="1"/>
  <c r="H548" i="4" l="1"/>
  <c r="S548" i="4" s="1"/>
  <c r="I548" i="4"/>
  <c r="G548" i="4"/>
  <c r="F549" i="4" l="1"/>
  <c r="R549" i="4" s="1"/>
  <c r="H549" i="4" l="1"/>
  <c r="S549" i="4" s="1"/>
  <c r="I549" i="4"/>
  <c r="G549" i="4"/>
  <c r="F550" i="4" l="1"/>
  <c r="R550" i="4" s="1"/>
  <c r="H550" i="4" l="1"/>
  <c r="S550" i="4" s="1"/>
  <c r="I550" i="4"/>
  <c r="G550" i="4"/>
  <c r="F551" i="4" l="1"/>
  <c r="R551" i="4" s="1"/>
  <c r="H551" i="4" l="1"/>
  <c r="S551" i="4" s="1"/>
  <c r="I551" i="4"/>
  <c r="G551" i="4"/>
  <c r="F552" i="4" l="1"/>
  <c r="R552" i="4" s="1"/>
  <c r="H552" i="4" l="1"/>
  <c r="S552" i="4" s="1"/>
  <c r="I552" i="4"/>
  <c r="G552" i="4"/>
  <c r="F553" i="4" l="1"/>
  <c r="R553" i="4" s="1"/>
  <c r="H553" i="4" l="1"/>
  <c r="S553" i="4" s="1"/>
  <c r="I553" i="4"/>
  <c r="G553" i="4"/>
  <c r="F554" i="4" l="1"/>
  <c r="R554" i="4" s="1"/>
  <c r="H554" i="4" l="1"/>
  <c r="S554" i="4" s="1"/>
  <c r="I554" i="4"/>
  <c r="G554" i="4"/>
  <c r="F555" i="4" l="1"/>
  <c r="R555" i="4" s="1"/>
  <c r="H555" i="4" l="1"/>
  <c r="S555" i="4" s="1"/>
  <c r="I555" i="4"/>
  <c r="G555" i="4"/>
  <c r="F556" i="4" l="1"/>
  <c r="R556" i="4" s="1"/>
  <c r="H556" i="4" l="1"/>
  <c r="S556" i="4" s="1"/>
  <c r="I556" i="4"/>
  <c r="G556" i="4"/>
  <c r="F557" i="4" l="1"/>
  <c r="R557" i="4" s="1"/>
  <c r="H557" i="4" l="1"/>
  <c r="S557" i="4" s="1"/>
  <c r="I557" i="4"/>
  <c r="G557" i="4"/>
  <c r="F558" i="4" l="1"/>
  <c r="R558" i="4" s="1"/>
  <c r="H558" i="4" l="1"/>
  <c r="S558" i="4" s="1"/>
  <c r="I558" i="4"/>
  <c r="G558" i="4"/>
  <c r="F559" i="4" l="1"/>
  <c r="R559" i="4" s="1"/>
  <c r="H559" i="4" l="1"/>
  <c r="S559" i="4" s="1"/>
  <c r="I559" i="4"/>
  <c r="G559" i="4"/>
  <c r="F560" i="4" l="1"/>
  <c r="R560" i="4" s="1"/>
  <c r="H560" i="4" l="1"/>
  <c r="S560" i="4" s="1"/>
  <c r="I560" i="4"/>
  <c r="G560" i="4"/>
  <c r="F561" i="4" l="1"/>
  <c r="R561" i="4" s="1"/>
  <c r="H561" i="4" l="1"/>
  <c r="S561" i="4" s="1"/>
  <c r="I561" i="4"/>
  <c r="G561" i="4"/>
  <c r="F562" i="4" l="1"/>
  <c r="R562" i="4" s="1"/>
  <c r="H562" i="4" l="1"/>
  <c r="S562" i="4" s="1"/>
  <c r="I562" i="4"/>
  <c r="G562" i="4"/>
  <c r="F563" i="4" l="1"/>
  <c r="R563" i="4" s="1"/>
  <c r="H563" i="4" l="1"/>
  <c r="S563" i="4" s="1"/>
  <c r="I563" i="4"/>
  <c r="G563" i="4"/>
  <c r="F564" i="4" l="1"/>
  <c r="R564" i="4" s="1"/>
  <c r="H564" i="4" l="1"/>
  <c r="S564" i="4" s="1"/>
  <c r="I564" i="4"/>
  <c r="G564" i="4"/>
  <c r="F565" i="4" l="1"/>
  <c r="R565" i="4" s="1"/>
  <c r="H565" i="4" l="1"/>
  <c r="S565" i="4" s="1"/>
  <c r="I565" i="4"/>
  <c r="G565" i="4"/>
  <c r="F566" i="4" l="1"/>
  <c r="R566" i="4" s="1"/>
  <c r="H566" i="4" l="1"/>
  <c r="S566" i="4" s="1"/>
  <c r="I566" i="4"/>
  <c r="G566" i="4"/>
  <c r="F567" i="4" l="1"/>
  <c r="R567" i="4" s="1"/>
  <c r="H567" i="4" l="1"/>
  <c r="S567" i="4" s="1"/>
  <c r="I567" i="4"/>
  <c r="G567" i="4"/>
  <c r="F568" i="4" l="1"/>
  <c r="R568" i="4" s="1"/>
  <c r="H568" i="4" l="1"/>
  <c r="S568" i="4" s="1"/>
  <c r="I568" i="4"/>
  <c r="G568" i="4"/>
  <c r="F569" i="4" l="1"/>
  <c r="R569" i="4" s="1"/>
  <c r="H569" i="4" l="1"/>
  <c r="S569" i="4" s="1"/>
  <c r="I569" i="4"/>
  <c r="G569" i="4"/>
  <c r="F570" i="4" l="1"/>
  <c r="R570" i="4" s="1"/>
  <c r="H570" i="4" l="1"/>
  <c r="S570" i="4" s="1"/>
  <c r="I570" i="4"/>
  <c r="G570" i="4"/>
  <c r="F571" i="4" l="1"/>
  <c r="R571" i="4" s="1"/>
  <c r="H571" i="4" l="1"/>
  <c r="S571" i="4" s="1"/>
  <c r="I571" i="4"/>
  <c r="G571" i="4"/>
  <c r="F572" i="4" l="1"/>
  <c r="R572" i="4" s="1"/>
  <c r="H572" i="4" l="1"/>
  <c r="S572" i="4" s="1"/>
  <c r="I572" i="4"/>
  <c r="G572" i="4"/>
  <c r="F573" i="4" l="1"/>
  <c r="R573" i="4" s="1"/>
  <c r="H573" i="4" l="1"/>
  <c r="S573" i="4" s="1"/>
  <c r="I573" i="4"/>
  <c r="G573" i="4"/>
  <c r="F574" i="4" l="1"/>
  <c r="R574" i="4" s="1"/>
  <c r="H574" i="4" l="1"/>
  <c r="S574" i="4" s="1"/>
  <c r="I574" i="4"/>
  <c r="G574" i="4"/>
  <c r="F575" i="4" l="1"/>
  <c r="R575" i="4" s="1"/>
  <c r="H575" i="4" l="1"/>
  <c r="S575" i="4" s="1"/>
  <c r="I575" i="4"/>
  <c r="G575" i="4"/>
  <c r="F576" i="4" l="1"/>
  <c r="R576" i="4" s="1"/>
  <c r="H576" i="4" l="1"/>
  <c r="S576" i="4" s="1"/>
  <c r="I576" i="4"/>
  <c r="G576" i="4"/>
  <c r="F577" i="4" l="1"/>
  <c r="R577" i="4" s="1"/>
  <c r="H577" i="4" l="1"/>
  <c r="S577" i="4" s="1"/>
  <c r="I577" i="4"/>
  <c r="G577" i="4"/>
  <c r="F578" i="4" l="1"/>
  <c r="R578" i="4" s="1"/>
  <c r="H578" i="4" l="1"/>
  <c r="S578" i="4" s="1"/>
  <c r="I578" i="4"/>
  <c r="G578" i="4"/>
  <c r="F579" i="4" l="1"/>
  <c r="R579" i="4" s="1"/>
  <c r="H579" i="4" l="1"/>
  <c r="S579" i="4" s="1"/>
  <c r="I579" i="4"/>
  <c r="G579" i="4"/>
  <c r="F580" i="4" l="1"/>
  <c r="R580" i="4" s="1"/>
  <c r="H580" i="4" l="1"/>
  <c r="S580" i="4" s="1"/>
  <c r="I580" i="4"/>
  <c r="G580" i="4"/>
  <c r="F581" i="4" l="1"/>
  <c r="R581" i="4" s="1"/>
  <c r="H581" i="4" l="1"/>
  <c r="S581" i="4" s="1"/>
  <c r="I581" i="4"/>
  <c r="G581" i="4"/>
  <c r="F582" i="4" l="1"/>
  <c r="R582" i="4" s="1"/>
  <c r="H582" i="4" l="1"/>
  <c r="S582" i="4" s="1"/>
  <c r="I582" i="4"/>
  <c r="G582" i="4"/>
  <c r="F583" i="4" l="1"/>
  <c r="R583" i="4" s="1"/>
  <c r="H583" i="4" l="1"/>
  <c r="S583" i="4" s="1"/>
  <c r="I583" i="4"/>
  <c r="G583" i="4"/>
  <c r="F584" i="4" l="1"/>
  <c r="R584" i="4" s="1"/>
  <c r="H584" i="4" l="1"/>
  <c r="S584" i="4" s="1"/>
  <c r="I584" i="4"/>
  <c r="G584" i="4"/>
  <c r="F585" i="4" l="1"/>
  <c r="R585" i="4" s="1"/>
  <c r="H585" i="4" l="1"/>
  <c r="S585" i="4" s="1"/>
  <c r="I585" i="4"/>
  <c r="G585" i="4"/>
  <c r="F586" i="4" l="1"/>
  <c r="R586" i="4" s="1"/>
  <c r="H586" i="4" l="1"/>
  <c r="S586" i="4" s="1"/>
  <c r="I586" i="4"/>
  <c r="G586" i="4"/>
  <c r="F587" i="4" l="1"/>
  <c r="R587" i="4" s="1"/>
  <c r="H587" i="4" l="1"/>
  <c r="S587" i="4" s="1"/>
  <c r="I587" i="4"/>
  <c r="G587" i="4"/>
  <c r="F588" i="4" l="1"/>
  <c r="R588" i="4" s="1"/>
  <c r="H588" i="4" l="1"/>
  <c r="S588" i="4" s="1"/>
  <c r="I588" i="4"/>
  <c r="G588" i="4"/>
  <c r="F589" i="4" l="1"/>
  <c r="R589" i="4" s="1"/>
  <c r="H589" i="4" l="1"/>
  <c r="S589" i="4" s="1"/>
  <c r="I589" i="4"/>
  <c r="G589" i="4"/>
  <c r="F590" i="4" l="1"/>
  <c r="R590" i="4" s="1"/>
  <c r="H590" i="4" l="1"/>
  <c r="S590" i="4" s="1"/>
  <c r="I590" i="4"/>
  <c r="G590" i="4"/>
  <c r="F591" i="4" l="1"/>
  <c r="R591" i="4" s="1"/>
  <c r="H591" i="4" l="1"/>
  <c r="S591" i="4" s="1"/>
  <c r="I591" i="4"/>
  <c r="G591" i="4"/>
  <c r="F592" i="4" l="1"/>
  <c r="R592" i="4" s="1"/>
  <c r="H592" i="4" l="1"/>
  <c r="S592" i="4" s="1"/>
  <c r="I592" i="4"/>
  <c r="G592" i="4"/>
  <c r="F593" i="4" l="1"/>
  <c r="R593" i="4" s="1"/>
  <c r="H593" i="4" l="1"/>
  <c r="S593" i="4" s="1"/>
  <c r="I593" i="4"/>
  <c r="G593" i="4"/>
  <c r="F594" i="4" l="1"/>
  <c r="R594" i="4" s="1"/>
  <c r="H594" i="4" l="1"/>
  <c r="S594" i="4" s="1"/>
  <c r="I594" i="4"/>
  <c r="G594" i="4"/>
  <c r="F595" i="4" l="1"/>
  <c r="R595" i="4" s="1"/>
  <c r="H595" i="4" l="1"/>
  <c r="S595" i="4" s="1"/>
  <c r="I595" i="4"/>
  <c r="G595" i="4"/>
  <c r="F596" i="4" l="1"/>
  <c r="R596" i="4" s="1"/>
  <c r="H596" i="4" l="1"/>
  <c r="S596" i="4" s="1"/>
  <c r="I596" i="4"/>
  <c r="G596" i="4"/>
  <c r="F597" i="4" l="1"/>
  <c r="R597" i="4" s="1"/>
  <c r="H597" i="4" l="1"/>
  <c r="S597" i="4" s="1"/>
  <c r="I597" i="4"/>
  <c r="G597" i="4"/>
  <c r="F598" i="4" l="1"/>
  <c r="R598" i="4" s="1"/>
  <c r="H598" i="4" l="1"/>
  <c r="S598" i="4" s="1"/>
  <c r="I598" i="4"/>
  <c r="G598" i="4"/>
  <c r="F599" i="4" l="1"/>
  <c r="R599" i="4" s="1"/>
  <c r="H599" i="4" l="1"/>
  <c r="S599" i="4" s="1"/>
  <c r="I599" i="4"/>
  <c r="G599" i="4"/>
  <c r="F600" i="4" l="1"/>
  <c r="R600" i="4" s="1"/>
  <c r="H600" i="4" l="1"/>
  <c r="S600" i="4" s="1"/>
  <c r="I600" i="4"/>
  <c r="G600" i="4"/>
  <c r="F601" i="4" l="1"/>
  <c r="R601" i="4" s="1"/>
  <c r="H601" i="4" l="1"/>
  <c r="S601" i="4" s="1"/>
  <c r="I601" i="4"/>
  <c r="G601" i="4"/>
  <c r="F602" i="4" l="1"/>
  <c r="R602" i="4" s="1"/>
  <c r="H602" i="4" l="1"/>
  <c r="S602" i="4" s="1"/>
  <c r="I602" i="4"/>
  <c r="G602" i="4"/>
  <c r="F603" i="4" l="1"/>
  <c r="R603" i="4" s="1"/>
  <c r="H603" i="4" l="1"/>
  <c r="S603" i="4" s="1"/>
  <c r="I603" i="4"/>
  <c r="G603" i="4"/>
  <c r="F604" i="4" l="1"/>
  <c r="R604" i="4" s="1"/>
  <c r="H604" i="4" l="1"/>
  <c r="S604" i="4" s="1"/>
  <c r="I604" i="4"/>
  <c r="G604" i="4"/>
  <c r="F605" i="4" l="1"/>
  <c r="R605" i="4" s="1"/>
  <c r="H605" i="4" l="1"/>
  <c r="S605" i="4" s="1"/>
  <c r="I605" i="4"/>
  <c r="G605" i="4"/>
  <c r="F606" i="4" l="1"/>
  <c r="R606" i="4" s="1"/>
  <c r="H606" i="4" l="1"/>
  <c r="S606" i="4" s="1"/>
  <c r="I606" i="4"/>
  <c r="G606" i="4"/>
  <c r="F607" i="4" l="1"/>
  <c r="R607" i="4" s="1"/>
  <c r="H607" i="4" l="1"/>
  <c r="S607" i="4" s="1"/>
  <c r="I607" i="4"/>
  <c r="G607" i="4"/>
  <c r="F608" i="4" l="1"/>
  <c r="R608" i="4" s="1"/>
  <c r="H608" i="4" l="1"/>
  <c r="S608" i="4" s="1"/>
  <c r="I608" i="4"/>
  <c r="G608" i="4"/>
  <c r="F609" i="4" l="1"/>
  <c r="R609" i="4" s="1"/>
  <c r="H609" i="4" l="1"/>
  <c r="S609" i="4" s="1"/>
  <c r="I609" i="4"/>
  <c r="G609" i="4"/>
  <c r="F610" i="4" l="1"/>
  <c r="R610" i="4" s="1"/>
  <c r="H610" i="4" l="1"/>
  <c r="S610" i="4" s="1"/>
  <c r="I610" i="4"/>
  <c r="G610" i="4"/>
  <c r="F611" i="4" l="1"/>
  <c r="R611" i="4" s="1"/>
  <c r="H611" i="4" l="1"/>
  <c r="S611" i="4" s="1"/>
  <c r="I611" i="4"/>
  <c r="G611" i="4"/>
  <c r="F612" i="4" l="1"/>
  <c r="R612" i="4" s="1"/>
  <c r="H612" i="4" l="1"/>
  <c r="S612" i="4" s="1"/>
  <c r="I612" i="4"/>
  <c r="G612" i="4"/>
  <c r="F613" i="4" l="1"/>
  <c r="R613" i="4" s="1"/>
  <c r="H613" i="4" l="1"/>
  <c r="S613" i="4" s="1"/>
  <c r="I613" i="4"/>
  <c r="G613" i="4"/>
  <c r="F614" i="4" l="1"/>
  <c r="R614" i="4" s="1"/>
  <c r="H614" i="4" l="1"/>
  <c r="S614" i="4" s="1"/>
  <c r="I614" i="4"/>
  <c r="G614" i="4"/>
  <c r="F615" i="4" l="1"/>
  <c r="R615" i="4" s="1"/>
  <c r="H615" i="4" l="1"/>
  <c r="S615" i="4" s="1"/>
  <c r="I615" i="4"/>
  <c r="G615" i="4"/>
  <c r="F616" i="4" l="1"/>
  <c r="R616" i="4" s="1"/>
  <c r="H616" i="4" l="1"/>
  <c r="S616" i="4" s="1"/>
  <c r="I616" i="4"/>
  <c r="G616" i="4"/>
  <c r="F617" i="4" l="1"/>
  <c r="R617" i="4" s="1"/>
  <c r="H617" i="4" l="1"/>
  <c r="S617" i="4" s="1"/>
  <c r="I617" i="4"/>
  <c r="G617" i="4"/>
  <c r="F618" i="4" l="1"/>
  <c r="R618" i="4" s="1"/>
  <c r="H618" i="4" l="1"/>
  <c r="S618" i="4" s="1"/>
  <c r="I618" i="4"/>
  <c r="G618" i="4"/>
  <c r="F619" i="4" l="1"/>
  <c r="R619" i="4" s="1"/>
  <c r="H619" i="4" l="1"/>
  <c r="S619" i="4" s="1"/>
  <c r="I619" i="4"/>
  <c r="G619" i="4"/>
  <c r="F620" i="4" l="1"/>
  <c r="R620" i="4" s="1"/>
  <c r="H620" i="4" l="1"/>
  <c r="S620" i="4" s="1"/>
  <c r="I620" i="4"/>
  <c r="G620" i="4"/>
  <c r="F621" i="4" l="1"/>
  <c r="R621" i="4" s="1"/>
  <c r="H621" i="4" l="1"/>
  <c r="S621" i="4" s="1"/>
  <c r="I621" i="4"/>
  <c r="G621" i="4"/>
  <c r="F622" i="4" l="1"/>
  <c r="R622" i="4" s="1"/>
  <c r="H622" i="4" l="1"/>
  <c r="S622" i="4" s="1"/>
  <c r="I622" i="4"/>
  <c r="G622" i="4"/>
  <c r="F623" i="4" l="1"/>
  <c r="R623" i="4" s="1"/>
  <c r="H623" i="4" l="1"/>
  <c r="S623" i="4" s="1"/>
  <c r="I623" i="4"/>
  <c r="G623" i="4"/>
  <c r="F624" i="4" l="1"/>
  <c r="R624" i="4" s="1"/>
  <c r="H624" i="4" l="1"/>
  <c r="S624" i="4" s="1"/>
  <c r="I624" i="4"/>
  <c r="G624" i="4"/>
  <c r="F625" i="4" l="1"/>
  <c r="R625" i="4" s="1"/>
  <c r="H625" i="4" l="1"/>
  <c r="S625" i="4" s="1"/>
  <c r="I625" i="4"/>
  <c r="G625" i="4"/>
  <c r="F626" i="4" l="1"/>
  <c r="R626" i="4" s="1"/>
  <c r="H626" i="4" l="1"/>
  <c r="S626" i="4" s="1"/>
  <c r="I626" i="4"/>
  <c r="G626" i="4"/>
  <c r="F627" i="4" l="1"/>
  <c r="R627" i="4" s="1"/>
  <c r="H627" i="4" l="1"/>
  <c r="S627" i="4" s="1"/>
  <c r="I627" i="4"/>
  <c r="G627" i="4"/>
  <c r="F628" i="4" l="1"/>
  <c r="R628" i="4" s="1"/>
  <c r="H628" i="4" l="1"/>
  <c r="S628" i="4" s="1"/>
  <c r="I628" i="4"/>
  <c r="G628" i="4"/>
  <c r="F629" i="4" l="1"/>
  <c r="R629" i="4" s="1"/>
  <c r="H629" i="4" l="1"/>
  <c r="S629" i="4" s="1"/>
  <c r="I629" i="4"/>
  <c r="G629" i="4"/>
  <c r="F630" i="4" l="1"/>
  <c r="R630" i="4" s="1"/>
  <c r="H630" i="4" l="1"/>
  <c r="S630" i="4" s="1"/>
  <c r="I630" i="4"/>
  <c r="G630" i="4"/>
  <c r="F631" i="4" l="1"/>
  <c r="R631" i="4" s="1"/>
  <c r="H631" i="4" l="1"/>
  <c r="S631" i="4" s="1"/>
  <c r="I631" i="4"/>
  <c r="G631" i="4"/>
  <c r="F632" i="4" l="1"/>
  <c r="R632" i="4" s="1"/>
  <c r="H632" i="4" l="1"/>
  <c r="S632" i="4" s="1"/>
  <c r="I632" i="4"/>
  <c r="G632" i="4"/>
  <c r="F633" i="4" l="1"/>
  <c r="R633" i="4" s="1"/>
  <c r="H633" i="4" l="1"/>
  <c r="S633" i="4" s="1"/>
  <c r="I633" i="4"/>
  <c r="G633" i="4"/>
  <c r="F634" i="4" l="1"/>
  <c r="R634" i="4" s="1"/>
  <c r="H634" i="4" l="1"/>
  <c r="S634" i="4" s="1"/>
  <c r="I634" i="4"/>
  <c r="G634" i="4"/>
  <c r="F635" i="4" l="1"/>
  <c r="R635" i="4" s="1"/>
  <c r="H635" i="4" l="1"/>
  <c r="S635" i="4" s="1"/>
  <c r="I635" i="4"/>
  <c r="G635" i="4"/>
  <c r="F636" i="4" l="1"/>
  <c r="R636" i="4" s="1"/>
  <c r="H636" i="4" l="1"/>
  <c r="S636" i="4" s="1"/>
  <c r="I636" i="4"/>
  <c r="G636" i="4"/>
  <c r="F637" i="4" l="1"/>
  <c r="R637" i="4" s="1"/>
  <c r="H637" i="4" l="1"/>
  <c r="S637" i="4" s="1"/>
  <c r="I637" i="4"/>
  <c r="G637" i="4"/>
  <c r="F638" i="4" l="1"/>
  <c r="R638" i="4" s="1"/>
  <c r="H638" i="4" l="1"/>
  <c r="S638" i="4" s="1"/>
  <c r="I638" i="4"/>
  <c r="G638" i="4"/>
  <c r="F639" i="4" l="1"/>
  <c r="R639" i="4" s="1"/>
  <c r="H639" i="4" l="1"/>
  <c r="S639" i="4" s="1"/>
  <c r="I639" i="4"/>
  <c r="G639" i="4"/>
  <c r="F640" i="4" l="1"/>
  <c r="R640" i="4" s="1"/>
  <c r="H640" i="4" l="1"/>
  <c r="S640" i="4" s="1"/>
  <c r="I640" i="4"/>
  <c r="G640" i="4"/>
  <c r="F641" i="4" l="1"/>
  <c r="R641" i="4" s="1"/>
  <c r="H641" i="4" l="1"/>
  <c r="S641" i="4" s="1"/>
  <c r="I641" i="4"/>
  <c r="G641" i="4"/>
  <c r="F642" i="4" l="1"/>
  <c r="R642" i="4" s="1"/>
  <c r="H642" i="4" l="1"/>
  <c r="S642" i="4" s="1"/>
  <c r="I642" i="4"/>
  <c r="G642" i="4"/>
  <c r="F643" i="4" l="1"/>
  <c r="R643" i="4" s="1"/>
  <c r="H643" i="4" l="1"/>
  <c r="S643" i="4" s="1"/>
  <c r="I643" i="4"/>
  <c r="G643" i="4"/>
  <c r="F644" i="4" l="1"/>
  <c r="R644" i="4" s="1"/>
  <c r="H644" i="4" l="1"/>
  <c r="S644" i="4" s="1"/>
  <c r="I644" i="4"/>
  <c r="G644" i="4"/>
  <c r="F645" i="4" l="1"/>
  <c r="R645" i="4" s="1"/>
  <c r="H645" i="4" l="1"/>
  <c r="S645" i="4" s="1"/>
  <c r="I645" i="4"/>
  <c r="G645" i="4"/>
  <c r="F646" i="4" l="1"/>
  <c r="R646" i="4" s="1"/>
  <c r="H646" i="4" l="1"/>
  <c r="S646" i="4" s="1"/>
  <c r="I646" i="4"/>
  <c r="G646" i="4"/>
  <c r="F647" i="4" l="1"/>
  <c r="R647" i="4" s="1"/>
  <c r="H647" i="4" l="1"/>
  <c r="S647" i="4" s="1"/>
  <c r="I647" i="4"/>
  <c r="G647" i="4"/>
  <c r="F648" i="4" l="1"/>
  <c r="R648" i="4" s="1"/>
  <c r="H648" i="4" l="1"/>
  <c r="S648" i="4" s="1"/>
  <c r="I648" i="4"/>
  <c r="G648" i="4"/>
  <c r="F649" i="4" l="1"/>
  <c r="R649" i="4" s="1"/>
  <c r="H649" i="4" l="1"/>
  <c r="S649" i="4" s="1"/>
  <c r="I649" i="4"/>
  <c r="G649" i="4"/>
  <c r="F650" i="4" l="1"/>
  <c r="R650" i="4" s="1"/>
  <c r="H650" i="4" l="1"/>
  <c r="S650" i="4" s="1"/>
  <c r="I650" i="4"/>
  <c r="G650" i="4"/>
  <c r="F651" i="4" l="1"/>
  <c r="R651" i="4" s="1"/>
  <c r="H651" i="4" l="1"/>
  <c r="S651" i="4" s="1"/>
  <c r="I651" i="4"/>
  <c r="G651" i="4"/>
  <c r="F652" i="4" l="1"/>
  <c r="R652" i="4" s="1"/>
  <c r="H652" i="4" l="1"/>
  <c r="S652" i="4" s="1"/>
  <c r="I652" i="4"/>
  <c r="G652" i="4"/>
  <c r="F653" i="4" l="1"/>
  <c r="R653" i="4" s="1"/>
  <c r="H653" i="4" l="1"/>
  <c r="S653" i="4" s="1"/>
  <c r="I653" i="4"/>
  <c r="G653" i="4"/>
  <c r="F654" i="4" l="1"/>
  <c r="R654" i="4" s="1"/>
  <c r="H654" i="4" l="1"/>
  <c r="S654" i="4" s="1"/>
  <c r="I654" i="4"/>
  <c r="G654" i="4"/>
  <c r="F655" i="4" l="1"/>
  <c r="R655" i="4" s="1"/>
  <c r="H655" i="4" l="1"/>
  <c r="S655" i="4" s="1"/>
  <c r="I655" i="4"/>
  <c r="G655" i="4"/>
  <c r="F656" i="4" l="1"/>
  <c r="R656" i="4" s="1"/>
  <c r="H656" i="4" l="1"/>
  <c r="S656" i="4" s="1"/>
  <c r="I656" i="4"/>
  <c r="G656" i="4"/>
  <c r="F657" i="4" l="1"/>
  <c r="R657" i="4" s="1"/>
  <c r="H657" i="4" l="1"/>
  <c r="S657" i="4" s="1"/>
  <c r="I657" i="4"/>
  <c r="G657" i="4"/>
  <c r="F658" i="4" l="1"/>
  <c r="R658" i="4" s="1"/>
  <c r="H658" i="4" l="1"/>
  <c r="S658" i="4" s="1"/>
  <c r="I658" i="4"/>
  <c r="G658" i="4"/>
  <c r="F659" i="4" l="1"/>
  <c r="R659" i="4" s="1"/>
  <c r="H659" i="4" l="1"/>
  <c r="S659" i="4" s="1"/>
  <c r="I659" i="4"/>
  <c r="G659" i="4"/>
  <c r="F660" i="4" l="1"/>
  <c r="R660" i="4" s="1"/>
  <c r="H660" i="4" l="1"/>
  <c r="S660" i="4" s="1"/>
  <c r="I660" i="4"/>
  <c r="G660" i="4"/>
  <c r="F661" i="4" l="1"/>
  <c r="R661" i="4" s="1"/>
  <c r="H661" i="4" l="1"/>
  <c r="S661" i="4" s="1"/>
  <c r="I661" i="4"/>
  <c r="G661" i="4"/>
  <c r="F662" i="4" l="1"/>
  <c r="R662" i="4" s="1"/>
  <c r="H662" i="4" l="1"/>
  <c r="S662" i="4" s="1"/>
  <c r="I662" i="4"/>
  <c r="G662" i="4"/>
  <c r="F663" i="4" l="1"/>
  <c r="R663" i="4" s="1"/>
  <c r="H663" i="4" l="1"/>
  <c r="S663" i="4" s="1"/>
  <c r="I663" i="4"/>
  <c r="G663" i="4"/>
  <c r="F664" i="4" l="1"/>
  <c r="R664" i="4" s="1"/>
  <c r="H664" i="4" l="1"/>
  <c r="S664" i="4" s="1"/>
  <c r="I664" i="4"/>
  <c r="G664" i="4"/>
  <c r="F665" i="4" l="1"/>
  <c r="R665" i="4" s="1"/>
  <c r="H665" i="4" l="1"/>
  <c r="S665" i="4" s="1"/>
  <c r="I665" i="4"/>
  <c r="G665" i="4"/>
  <c r="F666" i="4" l="1"/>
  <c r="R666" i="4" s="1"/>
  <c r="H666" i="4" l="1"/>
  <c r="S666" i="4" s="1"/>
  <c r="I666" i="4"/>
  <c r="G666" i="4"/>
  <c r="F667" i="4" l="1"/>
  <c r="R667" i="4" s="1"/>
  <c r="H667" i="4" l="1"/>
  <c r="S667" i="4" s="1"/>
  <c r="I667" i="4"/>
  <c r="G667" i="4"/>
  <c r="F668" i="4" l="1"/>
  <c r="R668" i="4" s="1"/>
  <c r="H668" i="4" l="1"/>
  <c r="S668" i="4" s="1"/>
  <c r="I668" i="4"/>
  <c r="G668" i="4"/>
  <c r="F669" i="4" l="1"/>
  <c r="R669" i="4" s="1"/>
  <c r="H669" i="4" l="1"/>
  <c r="S669" i="4" s="1"/>
  <c r="I669" i="4"/>
  <c r="G669" i="4"/>
  <c r="F670" i="4" l="1"/>
  <c r="R670" i="4" s="1"/>
  <c r="H670" i="4" l="1"/>
  <c r="S670" i="4" s="1"/>
  <c r="I670" i="4"/>
  <c r="G670" i="4"/>
  <c r="F671" i="4" l="1"/>
  <c r="R671" i="4" s="1"/>
  <c r="H671" i="4" l="1"/>
  <c r="S671" i="4" s="1"/>
  <c r="I671" i="4"/>
  <c r="G671" i="4"/>
  <c r="F672" i="4" l="1"/>
  <c r="R672" i="4" s="1"/>
  <c r="H672" i="4" l="1"/>
  <c r="S672" i="4" s="1"/>
  <c r="I672" i="4"/>
  <c r="G672" i="4"/>
  <c r="F673" i="4" l="1"/>
  <c r="R673" i="4" s="1"/>
  <c r="H673" i="4" l="1"/>
  <c r="S673" i="4" s="1"/>
  <c r="I673" i="4"/>
  <c r="G673" i="4"/>
  <c r="F674" i="4" l="1"/>
  <c r="R674" i="4" s="1"/>
  <c r="H674" i="4" l="1"/>
  <c r="S674" i="4" s="1"/>
  <c r="I674" i="4"/>
  <c r="G674" i="4"/>
  <c r="F675" i="4" l="1"/>
  <c r="R675" i="4" s="1"/>
  <c r="H675" i="4" l="1"/>
  <c r="S675" i="4" s="1"/>
  <c r="I675" i="4"/>
  <c r="G675" i="4"/>
  <c r="F676" i="4" l="1"/>
  <c r="R676" i="4" s="1"/>
  <c r="H676" i="4" l="1"/>
  <c r="S676" i="4" s="1"/>
  <c r="I676" i="4"/>
  <c r="G676" i="4"/>
  <c r="F677" i="4" l="1"/>
  <c r="R677" i="4" s="1"/>
  <c r="H677" i="4" l="1"/>
  <c r="S677" i="4" s="1"/>
  <c r="I677" i="4"/>
  <c r="G677" i="4"/>
  <c r="F678" i="4" l="1"/>
  <c r="R678" i="4" s="1"/>
  <c r="G678" i="4" l="1"/>
  <c r="H678" i="4"/>
  <c r="S678" i="4" s="1"/>
  <c r="I678" i="4"/>
  <c r="F679" i="4"/>
  <c r="G679" i="4" l="1"/>
  <c r="R679" i="4"/>
  <c r="F680" i="4"/>
  <c r="R680" i="4" s="1"/>
  <c r="H679" i="4"/>
  <c r="S679" i="4" s="1"/>
  <c r="I679" i="4"/>
  <c r="H680" i="4" l="1"/>
  <c r="S680" i="4" s="1"/>
  <c r="I680" i="4"/>
  <c r="G680" i="4"/>
  <c r="F681" i="4" l="1"/>
  <c r="R681" i="4" s="1"/>
  <c r="H681" i="4" l="1"/>
  <c r="S681" i="4" s="1"/>
  <c r="I681" i="4"/>
  <c r="G681" i="4"/>
  <c r="F682" i="4" l="1"/>
  <c r="R682" i="4" s="1"/>
  <c r="H682" i="4" l="1"/>
  <c r="S682" i="4" s="1"/>
  <c r="I682" i="4"/>
  <c r="G682" i="4"/>
  <c r="F683" i="4" l="1"/>
  <c r="R683" i="4" s="1"/>
  <c r="H683" i="4" l="1"/>
  <c r="S683" i="4" s="1"/>
  <c r="I683" i="4"/>
  <c r="G683" i="4"/>
  <c r="F684" i="4" l="1"/>
  <c r="R684" i="4" s="1"/>
  <c r="H684" i="4" l="1"/>
  <c r="S684" i="4" s="1"/>
  <c r="I684" i="4"/>
  <c r="G684" i="4"/>
  <c r="F685" i="4" l="1"/>
  <c r="R685" i="4" s="1"/>
  <c r="H685" i="4" l="1"/>
  <c r="S685" i="4" s="1"/>
  <c r="I685" i="4"/>
  <c r="G685" i="4"/>
  <c r="F686" i="4" l="1"/>
  <c r="R686" i="4" s="1"/>
  <c r="H686" i="4" l="1"/>
  <c r="S686" i="4" s="1"/>
  <c r="I686" i="4"/>
  <c r="G686" i="4"/>
  <c r="F687" i="4" l="1"/>
  <c r="R687" i="4" s="1"/>
  <c r="H687" i="4" l="1"/>
  <c r="S687" i="4" s="1"/>
  <c r="I687" i="4"/>
  <c r="G687" i="4"/>
  <c r="F688" i="4" l="1"/>
  <c r="R688" i="4" s="1"/>
  <c r="H688" i="4" l="1"/>
  <c r="S688" i="4" s="1"/>
  <c r="I688" i="4"/>
  <c r="G688" i="4"/>
  <c r="F689" i="4" l="1"/>
  <c r="R689" i="4" s="1"/>
  <c r="H689" i="4" l="1"/>
  <c r="S689" i="4" s="1"/>
  <c r="I689" i="4"/>
  <c r="G689" i="4"/>
  <c r="F690" i="4" l="1"/>
  <c r="R690" i="4" s="1"/>
  <c r="H690" i="4" l="1"/>
  <c r="S690" i="4" s="1"/>
  <c r="I690" i="4"/>
  <c r="G690" i="4"/>
  <c r="F691" i="4" l="1"/>
  <c r="R691" i="4" s="1"/>
  <c r="H691" i="4" l="1"/>
  <c r="S691" i="4" s="1"/>
  <c r="I691" i="4"/>
  <c r="G691" i="4"/>
  <c r="F692" i="4" l="1"/>
  <c r="R692" i="4" s="1"/>
  <c r="H692" i="4" l="1"/>
  <c r="S692" i="4" s="1"/>
  <c r="I692" i="4"/>
  <c r="G692" i="4"/>
  <c r="F693" i="4" l="1"/>
  <c r="R693" i="4" s="1"/>
  <c r="H693" i="4" l="1"/>
  <c r="S693" i="4" s="1"/>
  <c r="I693" i="4"/>
  <c r="G693" i="4"/>
  <c r="F694" i="4" l="1"/>
  <c r="R694" i="4" s="1"/>
  <c r="H694" i="4" l="1"/>
  <c r="S694" i="4" s="1"/>
  <c r="I694" i="4"/>
  <c r="G694" i="4"/>
  <c r="F695" i="4" l="1"/>
  <c r="R695" i="4" s="1"/>
  <c r="H695" i="4" l="1"/>
  <c r="S695" i="4" s="1"/>
  <c r="I695" i="4"/>
  <c r="G695" i="4"/>
  <c r="F696" i="4" l="1"/>
  <c r="R696" i="4" s="1"/>
  <c r="H696" i="4" l="1"/>
  <c r="S696" i="4" s="1"/>
  <c r="I696" i="4"/>
  <c r="G696" i="4"/>
  <c r="F697" i="4" l="1"/>
  <c r="R697" i="4" s="1"/>
  <c r="H697" i="4" l="1"/>
  <c r="S697" i="4" s="1"/>
  <c r="I697" i="4"/>
  <c r="G697" i="4"/>
  <c r="F698" i="4" l="1"/>
  <c r="R698" i="4" s="1"/>
  <c r="H698" i="4" l="1"/>
  <c r="S698" i="4" s="1"/>
  <c r="I698" i="4"/>
  <c r="G698" i="4"/>
  <c r="F699" i="4" l="1"/>
  <c r="R699" i="4" s="1"/>
  <c r="H699" i="4" l="1"/>
  <c r="S699" i="4" s="1"/>
  <c r="I699" i="4"/>
  <c r="G699" i="4"/>
  <c r="F700" i="4" l="1"/>
  <c r="R700" i="4" s="1"/>
  <c r="H700" i="4" l="1"/>
  <c r="S700" i="4" s="1"/>
  <c r="I700" i="4"/>
  <c r="G700" i="4"/>
  <c r="F701" i="4" l="1"/>
  <c r="R701" i="4" s="1"/>
  <c r="H701" i="4" l="1"/>
  <c r="S701" i="4" s="1"/>
  <c r="I701" i="4"/>
  <c r="G701" i="4"/>
  <c r="F702" i="4" l="1"/>
  <c r="R702" i="4" s="1"/>
  <c r="H702" i="4" l="1"/>
  <c r="S702" i="4" s="1"/>
  <c r="I702" i="4"/>
  <c r="G702" i="4"/>
  <c r="F703" i="4" l="1"/>
  <c r="R703" i="4" s="1"/>
  <c r="H703" i="4" l="1"/>
  <c r="S703" i="4" s="1"/>
  <c r="I703" i="4"/>
  <c r="G703" i="4"/>
  <c r="F704" i="4" l="1"/>
  <c r="R704" i="4" s="1"/>
  <c r="H704" i="4" l="1"/>
  <c r="S704" i="4" s="1"/>
  <c r="I704" i="4"/>
  <c r="G704" i="4"/>
  <c r="F705" i="4" l="1"/>
  <c r="R705" i="4" s="1"/>
  <c r="H705" i="4" l="1"/>
  <c r="S705" i="4" s="1"/>
  <c r="I705" i="4"/>
  <c r="G705" i="4"/>
  <c r="F706" i="4" l="1"/>
  <c r="R706" i="4" s="1"/>
  <c r="H706" i="4" l="1"/>
  <c r="S706" i="4" s="1"/>
  <c r="I706" i="4"/>
  <c r="G706" i="4"/>
  <c r="F707" i="4" l="1"/>
  <c r="R707" i="4" s="1"/>
  <c r="H707" i="4" l="1"/>
  <c r="S707" i="4" s="1"/>
  <c r="I707" i="4"/>
  <c r="G707" i="4"/>
  <c r="F708" i="4" l="1"/>
  <c r="R708" i="4" s="1"/>
  <c r="H708" i="4" l="1"/>
  <c r="S708" i="4" s="1"/>
  <c r="I708" i="4"/>
  <c r="G708" i="4"/>
  <c r="F709" i="4" l="1"/>
  <c r="R709" i="4" s="1"/>
  <c r="H709" i="4" l="1"/>
  <c r="S709" i="4" s="1"/>
  <c r="I709" i="4"/>
  <c r="G709" i="4"/>
  <c r="F710" i="4" l="1"/>
  <c r="R710" i="4" s="1"/>
  <c r="H710" i="4" l="1"/>
  <c r="S710" i="4" s="1"/>
  <c r="I710" i="4"/>
  <c r="G710" i="4"/>
  <c r="F711" i="4" l="1"/>
  <c r="R711" i="4" s="1"/>
  <c r="H711" i="4" l="1"/>
  <c r="S711" i="4" s="1"/>
  <c r="I711" i="4"/>
  <c r="G711" i="4"/>
  <c r="F712" i="4" l="1"/>
  <c r="R712" i="4" s="1"/>
  <c r="H712" i="4" l="1"/>
  <c r="S712" i="4" s="1"/>
  <c r="I712" i="4"/>
  <c r="G712" i="4"/>
  <c r="F713" i="4" l="1"/>
  <c r="R713" i="4" s="1"/>
  <c r="H713" i="4" l="1"/>
  <c r="S713" i="4" s="1"/>
  <c r="I713" i="4"/>
  <c r="G713" i="4"/>
  <c r="F714" i="4" l="1"/>
  <c r="R714" i="4" s="1"/>
  <c r="H714" i="4" l="1"/>
  <c r="S714" i="4" s="1"/>
  <c r="I714" i="4"/>
  <c r="G714" i="4"/>
  <c r="F715" i="4" l="1"/>
  <c r="R715" i="4" s="1"/>
  <c r="H715" i="4" l="1"/>
  <c r="S715" i="4" s="1"/>
  <c r="I715" i="4"/>
  <c r="G715" i="4"/>
  <c r="F716" i="4" l="1"/>
  <c r="R716" i="4" s="1"/>
  <c r="H716" i="4" l="1"/>
  <c r="S716" i="4" s="1"/>
  <c r="I716" i="4"/>
  <c r="G716" i="4"/>
  <c r="F717" i="4" l="1"/>
  <c r="R717" i="4" s="1"/>
  <c r="H717" i="4" l="1"/>
  <c r="S717" i="4" s="1"/>
  <c r="I717" i="4"/>
  <c r="G717" i="4"/>
  <c r="F718" i="4" l="1"/>
  <c r="R718" i="4" s="1"/>
  <c r="H718" i="4" l="1"/>
  <c r="S718" i="4" s="1"/>
  <c r="I718" i="4"/>
  <c r="G718" i="4"/>
  <c r="F719" i="4" l="1"/>
  <c r="R719" i="4" s="1"/>
  <c r="H719" i="4" l="1"/>
  <c r="S719" i="4" s="1"/>
  <c r="I719" i="4"/>
  <c r="G719" i="4"/>
  <c r="F720" i="4" l="1"/>
  <c r="R720" i="4" s="1"/>
  <c r="H720" i="4" l="1"/>
  <c r="S720" i="4" s="1"/>
  <c r="I720" i="4"/>
  <c r="G720" i="4"/>
  <c r="F721" i="4" l="1"/>
  <c r="R721" i="4" s="1"/>
  <c r="H721" i="4" l="1"/>
  <c r="S721" i="4" s="1"/>
  <c r="I721" i="4"/>
  <c r="G721" i="4"/>
  <c r="F722" i="4" l="1"/>
  <c r="R722" i="4" s="1"/>
  <c r="H722" i="4" l="1"/>
  <c r="S722" i="4" s="1"/>
  <c r="I722" i="4"/>
  <c r="G722" i="4"/>
  <c r="F723" i="4" l="1"/>
  <c r="R723" i="4" s="1"/>
  <c r="H723" i="4" l="1"/>
  <c r="S723" i="4" s="1"/>
  <c r="I723" i="4"/>
  <c r="G723" i="4"/>
  <c r="F724" i="4" l="1"/>
  <c r="R724" i="4" s="1"/>
  <c r="H724" i="4" l="1"/>
  <c r="S724" i="4" s="1"/>
  <c r="I724" i="4"/>
  <c r="G724" i="4"/>
  <c r="F725" i="4" l="1"/>
  <c r="R725" i="4" s="1"/>
  <c r="H725" i="4" l="1"/>
  <c r="S725" i="4" s="1"/>
  <c r="I725" i="4"/>
  <c r="G725" i="4"/>
  <c r="F726" i="4" l="1"/>
  <c r="R726" i="4" s="1"/>
  <c r="H726" i="4" l="1"/>
  <c r="S726" i="4" s="1"/>
  <c r="I726" i="4"/>
  <c r="G726" i="4"/>
  <c r="F727" i="4" l="1"/>
  <c r="R727" i="4" s="1"/>
  <c r="H727" i="4" l="1"/>
  <c r="S727" i="4" s="1"/>
  <c r="I727" i="4"/>
  <c r="G727" i="4"/>
  <c r="F728" i="4" l="1"/>
  <c r="R728" i="4" s="1"/>
  <c r="H728" i="4" l="1"/>
  <c r="S728" i="4" s="1"/>
  <c r="I728" i="4"/>
  <c r="G728" i="4"/>
  <c r="F729" i="4" l="1"/>
  <c r="R729" i="4" s="1"/>
  <c r="H729" i="4" l="1"/>
  <c r="S729" i="4" s="1"/>
  <c r="I729" i="4"/>
  <c r="G729" i="4"/>
  <c r="F730" i="4" l="1"/>
  <c r="R730" i="4" s="1"/>
  <c r="H730" i="4" l="1"/>
  <c r="S730" i="4" s="1"/>
  <c r="I730" i="4"/>
  <c r="G730" i="4"/>
  <c r="F731" i="4" l="1"/>
  <c r="R731" i="4" s="1"/>
  <c r="H731" i="4" l="1"/>
  <c r="S731" i="4" s="1"/>
  <c r="I731" i="4"/>
  <c r="G731" i="4"/>
  <c r="F732" i="4" l="1"/>
  <c r="R732" i="4" s="1"/>
  <c r="H732" i="4" l="1"/>
  <c r="S732" i="4" s="1"/>
  <c r="I732" i="4"/>
  <c r="G732" i="4"/>
  <c r="F733" i="4" l="1"/>
  <c r="R733" i="4" s="1"/>
  <c r="H733" i="4" l="1"/>
  <c r="S733" i="4" s="1"/>
  <c r="I733" i="4"/>
  <c r="G733" i="4"/>
  <c r="F734" i="4" l="1"/>
  <c r="R734" i="4" s="1"/>
  <c r="H734" i="4" l="1"/>
  <c r="S734" i="4" s="1"/>
  <c r="I734" i="4"/>
  <c r="G734" i="4"/>
  <c r="F735" i="4" l="1"/>
  <c r="R735" i="4" s="1"/>
  <c r="H735" i="4" l="1"/>
  <c r="S735" i="4" s="1"/>
  <c r="I735" i="4"/>
  <c r="G735" i="4"/>
  <c r="F736" i="4" l="1"/>
  <c r="R736" i="4" s="1"/>
  <c r="H736" i="4" l="1"/>
  <c r="S736" i="4" s="1"/>
  <c r="I736" i="4"/>
  <c r="G736" i="4"/>
  <c r="F737" i="4" l="1"/>
  <c r="R737" i="4" s="1"/>
  <c r="H737" i="4" l="1"/>
  <c r="S737" i="4" s="1"/>
  <c r="I737" i="4"/>
  <c r="G737" i="4"/>
  <c r="F738" i="4" l="1"/>
  <c r="R738" i="4" s="1"/>
  <c r="H738" i="4" l="1"/>
  <c r="S738" i="4" s="1"/>
  <c r="I738" i="4"/>
  <c r="G738" i="4"/>
  <c r="F739" i="4" l="1"/>
  <c r="R739" i="4" s="1"/>
  <c r="H739" i="4" l="1"/>
  <c r="S739" i="4" s="1"/>
  <c r="I739" i="4"/>
  <c r="G739" i="4"/>
  <c r="F740" i="4" l="1"/>
  <c r="R740" i="4" s="1"/>
  <c r="H740" i="4" l="1"/>
  <c r="S740" i="4" s="1"/>
  <c r="I740" i="4"/>
  <c r="G740" i="4"/>
  <c r="F741" i="4" l="1"/>
  <c r="R741" i="4" s="1"/>
  <c r="H741" i="4" l="1"/>
  <c r="S741" i="4" s="1"/>
  <c r="I741" i="4"/>
  <c r="G741" i="4"/>
  <c r="F742" i="4" l="1"/>
  <c r="R742" i="4" s="1"/>
  <c r="H742" i="4" l="1"/>
  <c r="S742" i="4" s="1"/>
  <c r="I742" i="4"/>
  <c r="G742" i="4"/>
  <c r="F743" i="4" l="1"/>
  <c r="R743" i="4" s="1"/>
  <c r="H743" i="4" l="1"/>
  <c r="S743" i="4" s="1"/>
  <c r="I743" i="4"/>
  <c r="G743" i="4"/>
  <c r="F744" i="4" l="1"/>
  <c r="R744" i="4" s="1"/>
  <c r="H744" i="4" l="1"/>
  <c r="S744" i="4" s="1"/>
  <c r="I744" i="4"/>
  <c r="G744" i="4"/>
  <c r="F745" i="4" l="1"/>
  <c r="R745" i="4" s="1"/>
  <c r="H745" i="4" l="1"/>
  <c r="S745" i="4" s="1"/>
  <c r="I745" i="4"/>
  <c r="G745" i="4"/>
  <c r="F746" i="4" l="1"/>
  <c r="R746" i="4" s="1"/>
  <c r="H746" i="4" l="1"/>
  <c r="S746" i="4" s="1"/>
  <c r="I746" i="4"/>
  <c r="G746" i="4"/>
  <c r="F747" i="4" l="1"/>
  <c r="R747" i="4" s="1"/>
  <c r="H747" i="4" l="1"/>
  <c r="S747" i="4" s="1"/>
  <c r="I747" i="4"/>
  <c r="G747" i="4"/>
  <c r="F748" i="4" l="1"/>
  <c r="R748" i="4" s="1"/>
  <c r="H748" i="4" l="1"/>
  <c r="S748" i="4" s="1"/>
  <c r="I748" i="4"/>
  <c r="G748" i="4"/>
  <c r="F749" i="4" l="1"/>
  <c r="R749" i="4" s="1"/>
  <c r="H749" i="4" l="1"/>
  <c r="S749" i="4" s="1"/>
  <c r="I749" i="4"/>
  <c r="G749" i="4"/>
  <c r="F750" i="4" l="1"/>
  <c r="R750" i="4" s="1"/>
  <c r="H750" i="4" l="1"/>
  <c r="S750" i="4" s="1"/>
  <c r="I750" i="4"/>
  <c r="G750" i="4"/>
  <c r="F751" i="4" l="1"/>
  <c r="R751" i="4" s="1"/>
  <c r="H751" i="4" l="1"/>
  <c r="S751" i="4" s="1"/>
  <c r="I751" i="4"/>
  <c r="G751" i="4"/>
  <c r="F752" i="4" l="1"/>
  <c r="R752" i="4" s="1"/>
  <c r="H752" i="4" l="1"/>
  <c r="S752" i="4" s="1"/>
  <c r="I752" i="4"/>
  <c r="G752" i="4"/>
  <c r="F753" i="4" l="1"/>
  <c r="R753" i="4" s="1"/>
  <c r="H753" i="4" l="1"/>
  <c r="S753" i="4" s="1"/>
  <c r="I753" i="4"/>
  <c r="G753" i="4"/>
  <c r="F754" i="4" l="1"/>
  <c r="R754" i="4" s="1"/>
  <c r="H754" i="4" l="1"/>
  <c r="S754" i="4" s="1"/>
  <c r="I754" i="4"/>
  <c r="G754" i="4"/>
  <c r="F755" i="4" l="1"/>
  <c r="R755" i="4" s="1"/>
  <c r="H755" i="4" l="1"/>
  <c r="S755" i="4" s="1"/>
  <c r="I755" i="4"/>
  <c r="G755" i="4"/>
  <c r="F756" i="4" l="1"/>
  <c r="R756" i="4" s="1"/>
  <c r="H756" i="4" l="1"/>
  <c r="S756" i="4" s="1"/>
  <c r="I756" i="4"/>
  <c r="G756" i="4"/>
  <c r="F757" i="4" l="1"/>
  <c r="R757" i="4" s="1"/>
  <c r="H757" i="4" l="1"/>
  <c r="S757" i="4" s="1"/>
  <c r="I757" i="4"/>
  <c r="G757" i="4"/>
  <c r="F758" i="4" l="1"/>
  <c r="R758" i="4" s="1"/>
  <c r="H758" i="4" l="1"/>
  <c r="S758" i="4" s="1"/>
  <c r="I758" i="4"/>
  <c r="G758" i="4"/>
  <c r="F759" i="4" l="1"/>
  <c r="R759" i="4" s="1"/>
  <c r="H759" i="4" l="1"/>
  <c r="S759" i="4" s="1"/>
  <c r="I759" i="4"/>
  <c r="G759" i="4"/>
  <c r="F760" i="4" l="1"/>
  <c r="R760" i="4" s="1"/>
  <c r="H760" i="4" l="1"/>
  <c r="S760" i="4" s="1"/>
  <c r="I760" i="4"/>
  <c r="G760" i="4"/>
  <c r="F761" i="4" l="1"/>
  <c r="R761" i="4" s="1"/>
  <c r="H761" i="4" l="1"/>
  <c r="S761" i="4" s="1"/>
  <c r="I761" i="4"/>
  <c r="G761" i="4"/>
  <c r="F762" i="4" l="1"/>
  <c r="R762" i="4" s="1"/>
  <c r="H762" i="4" l="1"/>
  <c r="S762" i="4" s="1"/>
  <c r="I762" i="4"/>
  <c r="G762" i="4"/>
  <c r="F763" i="4" l="1"/>
  <c r="R763" i="4" s="1"/>
  <c r="H763" i="4" l="1"/>
  <c r="S763" i="4" s="1"/>
  <c r="I763" i="4"/>
  <c r="G763" i="4"/>
  <c r="F764" i="4" l="1"/>
  <c r="R764" i="4" s="1"/>
  <c r="H764" i="4" l="1"/>
  <c r="S764" i="4" s="1"/>
  <c r="I764" i="4"/>
  <c r="G764" i="4"/>
  <c r="F765" i="4" l="1"/>
  <c r="R765" i="4" s="1"/>
  <c r="H765" i="4" l="1"/>
  <c r="S765" i="4" s="1"/>
  <c r="I765" i="4"/>
  <c r="G765" i="4"/>
  <c r="F766" i="4" l="1"/>
  <c r="R766" i="4" s="1"/>
  <c r="H766" i="4" l="1"/>
  <c r="S766" i="4" s="1"/>
  <c r="I766" i="4"/>
  <c r="G766" i="4"/>
  <c r="F767" i="4" l="1"/>
  <c r="R767" i="4" s="1"/>
  <c r="H767" i="4" l="1"/>
  <c r="S767" i="4" s="1"/>
  <c r="I767" i="4"/>
  <c r="G767" i="4"/>
  <c r="F768" i="4" l="1"/>
  <c r="R768" i="4" s="1"/>
  <c r="H768" i="4" l="1"/>
  <c r="S768" i="4" s="1"/>
  <c r="I768" i="4"/>
  <c r="G768" i="4"/>
  <c r="F769" i="4" l="1"/>
  <c r="R769" i="4" s="1"/>
  <c r="H769" i="4" l="1"/>
  <c r="S769" i="4" s="1"/>
  <c r="I769" i="4"/>
  <c r="G769" i="4"/>
  <c r="F770" i="4" l="1"/>
  <c r="R770" i="4" s="1"/>
  <c r="H770" i="4" l="1"/>
  <c r="S770" i="4" s="1"/>
  <c r="I770" i="4"/>
  <c r="G770" i="4"/>
  <c r="F771" i="4" l="1"/>
  <c r="R771" i="4" s="1"/>
  <c r="H771" i="4" l="1"/>
  <c r="S771" i="4" s="1"/>
  <c r="I771" i="4"/>
  <c r="G771" i="4"/>
  <c r="F772" i="4" l="1"/>
  <c r="R772" i="4" s="1"/>
  <c r="H772" i="4" l="1"/>
  <c r="S772" i="4" s="1"/>
  <c r="I772" i="4"/>
  <c r="G772" i="4"/>
  <c r="F773" i="4" l="1"/>
  <c r="R773" i="4" s="1"/>
  <c r="H773" i="4" l="1"/>
  <c r="S773" i="4" s="1"/>
  <c r="I773" i="4"/>
  <c r="G773" i="4"/>
  <c r="F774" i="4" l="1"/>
  <c r="R774" i="4" s="1"/>
  <c r="H774" i="4" l="1"/>
  <c r="S774" i="4" s="1"/>
  <c r="I774" i="4"/>
  <c r="G774" i="4"/>
  <c r="F775" i="4" l="1"/>
  <c r="R775" i="4" s="1"/>
  <c r="H775" i="4" l="1"/>
  <c r="S775" i="4" s="1"/>
  <c r="I775" i="4"/>
  <c r="G775" i="4"/>
  <c r="F776" i="4" l="1"/>
  <c r="R776" i="4" s="1"/>
  <c r="H776" i="4" l="1"/>
  <c r="S776" i="4" s="1"/>
  <c r="I776" i="4"/>
  <c r="G776" i="4"/>
  <c r="F777" i="4" l="1"/>
  <c r="R777" i="4" s="1"/>
  <c r="H777" i="4" l="1"/>
  <c r="S777" i="4" s="1"/>
  <c r="I777" i="4"/>
  <c r="G777" i="4"/>
  <c r="F778" i="4" l="1"/>
  <c r="R778" i="4" s="1"/>
  <c r="H778" i="4" l="1"/>
  <c r="S778" i="4" s="1"/>
  <c r="I778" i="4"/>
  <c r="G778" i="4"/>
  <c r="F779" i="4" l="1"/>
  <c r="R779" i="4" s="1"/>
  <c r="H779" i="4" l="1"/>
  <c r="S779" i="4" s="1"/>
  <c r="I779" i="4"/>
  <c r="G779" i="4"/>
  <c r="F780" i="4" l="1"/>
  <c r="R780" i="4" s="1"/>
  <c r="H780" i="4" l="1"/>
  <c r="S780" i="4" s="1"/>
  <c r="I780" i="4"/>
  <c r="G780" i="4"/>
  <c r="F781" i="4" l="1"/>
  <c r="R781" i="4" s="1"/>
  <c r="H781" i="4" l="1"/>
  <c r="S781" i="4" s="1"/>
  <c r="I781" i="4"/>
  <c r="G781" i="4"/>
  <c r="F782" i="4" l="1"/>
  <c r="R782" i="4" s="1"/>
  <c r="H782" i="4" l="1"/>
  <c r="S782" i="4" s="1"/>
  <c r="I782" i="4"/>
  <c r="G782" i="4"/>
  <c r="F783" i="4" l="1"/>
  <c r="R783" i="4" s="1"/>
  <c r="H783" i="4" l="1"/>
  <c r="S783" i="4" s="1"/>
  <c r="I783" i="4"/>
  <c r="G783" i="4"/>
</calcChain>
</file>

<file path=xl/sharedStrings.xml><?xml version="1.0" encoding="utf-8"?>
<sst xmlns="http://schemas.openxmlformats.org/spreadsheetml/2006/main" count="86" uniqueCount="44">
  <si>
    <t>p</t>
  </si>
  <si>
    <t>m</t>
  </si>
  <si>
    <t>y</t>
  </si>
  <si>
    <t>γ</t>
  </si>
  <si>
    <t>M2SL</t>
  </si>
  <si>
    <t>lin</t>
  </si>
  <si>
    <t>Billions of Dollars, Seasonally Adjusted</t>
  </si>
  <si>
    <t>Monthly</t>
  </si>
  <si>
    <t>M2</t>
  </si>
  <si>
    <t>U.S. Bureau of Economic Analysis</t>
  </si>
  <si>
    <t>Board of Governors of the Federal Reserve System (US)</t>
  </si>
  <si>
    <t>date</t>
  </si>
  <si>
    <t>value</t>
  </si>
  <si>
    <t>CPIAUCSL</t>
  </si>
  <si>
    <t>Index 1982-1984=100, Seasonally Adjusted</t>
  </si>
  <si>
    <t>1947-01-01 to 2024-07-01</t>
  </si>
  <si>
    <t>Consumer Price Index for All Urban Consumers: All Items in U.S. City Average</t>
  </si>
  <si>
    <t>U.S. Bureau of Labor Statistics</t>
  </si>
  <si>
    <t>GDPC1</t>
  </si>
  <si>
    <t>Billions of Chained 2017 Dollars, Seasonally Adjusted Annual Rate</t>
  </si>
  <si>
    <t>q</t>
  </si>
  <si>
    <t>Quarterly</t>
  </si>
  <si>
    <t>1947-01-01 to 2024-04-01</t>
  </si>
  <si>
    <t>Real Gross Domestic Product</t>
  </si>
  <si>
    <t>GDPPOT</t>
  </si>
  <si>
    <t>Billions of Chained 2017 Dollars, Not Seasonally Adjusted</t>
  </si>
  <si>
    <t>1949-01-01 to 2034-10-01</t>
  </si>
  <si>
    <t>Real Potential Gross Domestic Product</t>
  </si>
  <si>
    <t>U.S. Congressional Budget Office</t>
  </si>
  <si>
    <t>Δm</t>
  </si>
  <si>
    <t>p* = m</t>
  </si>
  <si>
    <t>Δp</t>
  </si>
  <si>
    <t>Δy</t>
  </si>
  <si>
    <t>This is a case of a change in the rate of growht of the money supply from 0 to 1 percent.</t>
  </si>
  <si>
    <t>We see that there are temporary effects on the rate of economic growth</t>
  </si>
  <si>
    <t xml:space="preserve">Once inflation catches up to the growth rate of economic growth,  the expansionary effects recede.  </t>
  </si>
  <si>
    <t>Now lets put in the annual rate of growth of the money supply from 1959, so actual growth rates.  What does it predict about inflation and even output growth?</t>
  </si>
  <si>
    <t>π</t>
  </si>
  <si>
    <t>1959-01-01 to 2024-07-01</t>
  </si>
  <si>
    <t>Date</t>
  </si>
  <si>
    <t>Inflation</t>
  </si>
  <si>
    <t>1947-01-01 to 2025-04-01</t>
  </si>
  <si>
    <t>Mgrowth</t>
  </si>
  <si>
    <t>Infl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</si>
</sst>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'QT1'!$Q$1</c:f>
              <c:strCache>
                <c:ptCount val="1"/>
                <c:pt idx="0">
                  <c:v>Δm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'QT1'!$Q$2:$Q$11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A-4E70-B348-82666D12FD03}"/>
            </c:ext>
          </c:extLst>
        </c:ser>
        <c:ser>
          <c:idx val="1"/>
          <c:order val="1"/>
          <c:tx>
            <c:strRef>
              <c:f>'QT1'!$R$1</c:f>
              <c:strCache>
                <c:ptCount val="1"/>
                <c:pt idx="0">
                  <c:v>Δp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'QT1'!$R$2:$R$11</c:f>
              <c:numCache>
                <c:formatCode>General</c:formatCode>
                <c:ptCount val="10"/>
                <c:pt idx="0">
                  <c:v>0</c:v>
                </c:pt>
                <c:pt idx="1">
                  <c:v>0.03</c:v>
                </c:pt>
                <c:pt idx="2">
                  <c:v>4.2000000000000003E-2</c:v>
                </c:pt>
                <c:pt idx="3">
                  <c:v>4.6800000000000008E-2</c:v>
                </c:pt>
                <c:pt idx="4">
                  <c:v>4.8719999999999992E-2</c:v>
                </c:pt>
                <c:pt idx="5">
                  <c:v>4.9487999999999997E-2</c:v>
                </c:pt>
                <c:pt idx="6">
                  <c:v>4.9795199999999991E-2</c:v>
                </c:pt>
                <c:pt idx="7">
                  <c:v>4.9918079999999976E-2</c:v>
                </c:pt>
                <c:pt idx="8">
                  <c:v>4.9967231999999979E-2</c:v>
                </c:pt>
                <c:pt idx="9">
                  <c:v>4.9986892799999995E-2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A-4E70-B348-82666D12FD03}"/>
            </c:ext>
          </c:extLst>
        </c:ser>
        <c:ser>
          <c:idx val="2"/>
          <c:order val="2"/>
          <c:tx>
            <c:strRef>
              <c:f>'QT1'!$S$1</c:f>
              <c:strCache>
                <c:ptCount val="1"/>
                <c:pt idx="0">
                  <c:v>Δy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'QT1'!$S$2:$S$11</c:f>
              <c:numCache>
                <c:formatCode>General</c:formatCode>
                <c:ptCount val="10"/>
                <c:pt idx="0">
                  <c:v>0</c:v>
                </c:pt>
                <c:pt idx="1">
                  <c:v>2.0000000000000004E-2</c:v>
                </c:pt>
                <c:pt idx="2">
                  <c:v>8.0000000000000002E-3</c:v>
                </c:pt>
                <c:pt idx="3">
                  <c:v>3.1999999999999945E-3</c:v>
                </c:pt>
                <c:pt idx="4">
                  <c:v>1.2800000000000103E-3</c:v>
                </c:pt>
                <c:pt idx="5">
                  <c:v>5.1200000000000551E-4</c:v>
                </c:pt>
                <c:pt idx="6">
                  <c:v>2.0480000000001192E-4</c:v>
                </c:pt>
                <c:pt idx="7">
                  <c:v>8.1920000000026971E-5</c:v>
                </c:pt>
                <c:pt idx="8">
                  <c:v>3.2768000000023279E-5</c:v>
                </c:pt>
                <c:pt idx="9">
                  <c:v>1.3107200000007924E-5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A-4E70-B348-82666D12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080415"/>
        <c:axId val="1073972943"/>
      </c:lineChart>
      <c:catAx>
        <c:axId val="135808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72943"/>
        <c:crosses val="autoZero"/>
        <c:auto val="1"/>
        <c:lblAlgn val="ctr"/>
        <c:lblOffset val="100"/>
        <c:noMultiLvlLbl val="0"/>
      </c:catAx>
      <c:valAx>
        <c:axId val="10739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8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15264990142423E-2"/>
          <c:y val="9.9608672659968284E-2"/>
          <c:w val="0.95452914510112552"/>
          <c:h val="0.8498886978101825"/>
        </c:manualLayout>
      </c:layout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Δm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Sheet1!$Q$2:$Q$920</c:f>
              <c:numCache>
                <c:formatCode>General</c:formatCode>
                <c:ptCount val="919"/>
                <c:pt idx="0">
                  <c:v>3.9676886936566902E-2</c:v>
                </c:pt>
                <c:pt idx="1">
                  <c:v>3.6516597772102699E-2</c:v>
                </c:pt>
                <c:pt idx="2">
                  <c:v>3.4327924574043323E-2</c:v>
                </c:pt>
                <c:pt idx="3">
                  <c:v>3.3890061318962772E-2</c:v>
                </c:pt>
                <c:pt idx="4">
                  <c:v>2.9339484319399922E-2</c:v>
                </c:pt>
                <c:pt idx="5">
                  <c:v>2.7500056225463254E-2</c:v>
                </c:pt>
                <c:pt idx="6">
                  <c:v>2.9703501957001777E-2</c:v>
                </c:pt>
                <c:pt idx="7">
                  <c:v>3.4812068203758706E-2</c:v>
                </c:pt>
                <c:pt idx="8">
                  <c:v>3.8676114392398375E-2</c:v>
                </c:pt>
                <c:pt idx="9">
                  <c:v>4.291087368687041E-2</c:v>
                </c:pt>
                <c:pt idx="10">
                  <c:v>4.5402534596146182E-2</c:v>
                </c:pt>
                <c:pt idx="11">
                  <c:v>4.7862297715622226E-2</c:v>
                </c:pt>
                <c:pt idx="12">
                  <c:v>5.19470042139627E-2</c:v>
                </c:pt>
                <c:pt idx="13">
                  <c:v>5.8888373254625925E-2</c:v>
                </c:pt>
                <c:pt idx="14">
                  <c:v>6.1547919429393971E-2</c:v>
                </c:pt>
                <c:pt idx="15">
                  <c:v>6.3892694509151582E-2</c:v>
                </c:pt>
                <c:pt idx="16">
                  <c:v>6.8394487106874458E-2</c:v>
                </c:pt>
                <c:pt idx="17">
                  <c:v>7.0249111527859398E-2</c:v>
                </c:pt>
                <c:pt idx="18">
                  <c:v>6.8313039445065726E-2</c:v>
                </c:pt>
                <c:pt idx="19">
                  <c:v>6.527139035322449E-2</c:v>
                </c:pt>
                <c:pt idx="20">
                  <c:v>6.6178712253387673E-2</c:v>
                </c:pt>
                <c:pt idx="21">
                  <c:v>6.7462352428550254E-2</c:v>
                </c:pt>
                <c:pt idx="22">
                  <c:v>6.9871653251985855E-2</c:v>
                </c:pt>
                <c:pt idx="23">
                  <c:v>7.1337538446205606E-2</c:v>
                </c:pt>
                <c:pt idx="24">
                  <c:v>7.1854103767983624E-2</c:v>
                </c:pt>
                <c:pt idx="25">
                  <c:v>7.1916450428918921E-2</c:v>
                </c:pt>
                <c:pt idx="26">
                  <c:v>7.5027615576357398E-2</c:v>
                </c:pt>
                <c:pt idx="27">
                  <c:v>7.6984196252252168E-2</c:v>
                </c:pt>
                <c:pt idx="28">
                  <c:v>7.5592194261973056E-2</c:v>
                </c:pt>
                <c:pt idx="29">
                  <c:v>7.426213849951413E-2</c:v>
                </c:pt>
                <c:pt idx="30">
                  <c:v>7.4546626369643043E-2</c:v>
                </c:pt>
                <c:pt idx="31">
                  <c:v>7.4107972153721668E-2</c:v>
                </c:pt>
                <c:pt idx="32">
                  <c:v>7.4259705709889268E-2</c:v>
                </c:pt>
                <c:pt idx="33">
                  <c:v>7.5875404449142536E-2</c:v>
                </c:pt>
                <c:pt idx="34">
                  <c:v>7.6205351199739368E-2</c:v>
                </c:pt>
                <c:pt idx="35">
                  <c:v>7.7954089877120047E-2</c:v>
                </c:pt>
                <c:pt idx="36">
                  <c:v>7.8879638408228203E-2</c:v>
                </c:pt>
                <c:pt idx="37">
                  <c:v>7.8571470097578811E-2</c:v>
                </c:pt>
                <c:pt idx="38">
                  <c:v>7.7371160292281971E-2</c:v>
                </c:pt>
                <c:pt idx="39">
                  <c:v>7.7389742712813181E-2</c:v>
                </c:pt>
                <c:pt idx="40">
                  <c:v>7.9090400471444333E-2</c:v>
                </c:pt>
                <c:pt idx="41">
                  <c:v>8.0020685364936561E-2</c:v>
                </c:pt>
                <c:pt idx="42">
                  <c:v>8.2845547381786844E-2</c:v>
                </c:pt>
                <c:pt idx="43">
                  <c:v>8.3699018876647102E-2</c:v>
                </c:pt>
                <c:pt idx="44">
                  <c:v>8.4001309812379965E-2</c:v>
                </c:pt>
                <c:pt idx="45">
                  <c:v>8.3482387735277719E-2</c:v>
                </c:pt>
                <c:pt idx="46">
                  <c:v>8.4437193914424391E-2</c:v>
                </c:pt>
                <c:pt idx="47">
                  <c:v>8.0742341984154642E-2</c:v>
                </c:pt>
                <c:pt idx="48">
                  <c:v>7.8946817152900195E-2</c:v>
                </c:pt>
                <c:pt idx="49">
                  <c:v>7.7635312671690215E-2</c:v>
                </c:pt>
                <c:pt idx="50">
                  <c:v>7.5571311909613748E-2</c:v>
                </c:pt>
                <c:pt idx="51">
                  <c:v>7.3323155444698251E-2</c:v>
                </c:pt>
                <c:pt idx="52">
                  <c:v>7.2054739493229825E-2</c:v>
                </c:pt>
                <c:pt idx="53">
                  <c:v>7.3107018331210583E-2</c:v>
                </c:pt>
                <c:pt idx="54">
                  <c:v>7.333922451819852E-2</c:v>
                </c:pt>
                <c:pt idx="55">
                  <c:v>7.4815304238384783E-2</c:v>
                </c:pt>
                <c:pt idx="56">
                  <c:v>7.7009015421920068E-2</c:v>
                </c:pt>
                <c:pt idx="57">
                  <c:v>7.6331318193404663E-2</c:v>
                </c:pt>
                <c:pt idx="58">
                  <c:v>7.501979860515462E-2</c:v>
                </c:pt>
                <c:pt idx="59">
                  <c:v>7.7064649046214129E-2</c:v>
                </c:pt>
                <c:pt idx="60">
                  <c:v>7.8562322503101356E-2</c:v>
                </c:pt>
                <c:pt idx="61">
                  <c:v>7.9268534065155549E-2</c:v>
                </c:pt>
                <c:pt idx="62">
                  <c:v>8.0235093060535334E-2</c:v>
                </c:pt>
                <c:pt idx="63">
                  <c:v>8.0559607435210623E-2</c:v>
                </c:pt>
                <c:pt idx="64">
                  <c:v>7.825219689974805E-2</c:v>
                </c:pt>
                <c:pt idx="65">
                  <c:v>7.7943118308112069E-2</c:v>
                </c:pt>
                <c:pt idx="66">
                  <c:v>7.6942978531139516E-2</c:v>
                </c:pt>
                <c:pt idx="67">
                  <c:v>7.5454773704100475E-2</c:v>
                </c:pt>
                <c:pt idx="68">
                  <c:v>7.5289469024923505E-2</c:v>
                </c:pt>
                <c:pt idx="69">
                  <c:v>7.6899178268410751E-2</c:v>
                </c:pt>
                <c:pt idx="70">
                  <c:v>7.6829384233824349E-2</c:v>
                </c:pt>
                <c:pt idx="71">
                  <c:v>7.810280768613076E-2</c:v>
                </c:pt>
                <c:pt idx="72">
                  <c:v>7.7610602704924148E-2</c:v>
                </c:pt>
                <c:pt idx="73">
                  <c:v>7.6461811488734099E-2</c:v>
                </c:pt>
                <c:pt idx="74">
                  <c:v>7.5557916387182011E-2</c:v>
                </c:pt>
                <c:pt idx="75">
                  <c:v>7.4977073999924926E-2</c:v>
                </c:pt>
                <c:pt idx="76">
                  <c:v>7.2783436160816173E-2</c:v>
                </c:pt>
                <c:pt idx="77">
                  <c:v>6.8280658520331272E-2</c:v>
                </c:pt>
                <c:pt idx="78">
                  <c:v>6.130174632035601E-2</c:v>
                </c:pt>
                <c:pt idx="79">
                  <c:v>5.8378943801038474E-2</c:v>
                </c:pt>
                <c:pt idx="80">
                  <c:v>5.6020701014419139E-2</c:v>
                </c:pt>
                <c:pt idx="81">
                  <c:v>4.977867023879945E-2</c:v>
                </c:pt>
                <c:pt idx="82">
                  <c:v>4.6310525742014441E-2</c:v>
                </c:pt>
                <c:pt idx="83">
                  <c:v>4.471683878179622E-2</c:v>
                </c:pt>
                <c:pt idx="84">
                  <c:v>4.1549002912872446E-2</c:v>
                </c:pt>
                <c:pt idx="85">
                  <c:v>4.3178234914861946E-2</c:v>
                </c:pt>
                <c:pt idx="86">
                  <c:v>4.7035527194254634E-2</c:v>
                </c:pt>
                <c:pt idx="87">
                  <c:v>4.7439725071560801E-2</c:v>
                </c:pt>
                <c:pt idx="88">
                  <c:v>5.60469216064714E-2</c:v>
                </c:pt>
                <c:pt idx="89">
                  <c:v>6.3317487354352053E-2</c:v>
                </c:pt>
                <c:pt idx="90">
                  <c:v>7.2483621726354919E-2</c:v>
                </c:pt>
                <c:pt idx="91">
                  <c:v>7.7728759405577108E-2</c:v>
                </c:pt>
                <c:pt idx="92">
                  <c:v>7.9427651732615345E-2</c:v>
                </c:pt>
                <c:pt idx="93">
                  <c:v>8.5573864689773238E-2</c:v>
                </c:pt>
                <c:pt idx="94">
                  <c:v>8.7988621238839215E-2</c:v>
                </c:pt>
                <c:pt idx="95">
                  <c:v>8.8814553842726518E-2</c:v>
                </c:pt>
                <c:pt idx="96">
                  <c:v>9.0845379924575198E-2</c:v>
                </c:pt>
                <c:pt idx="97">
                  <c:v>8.9276383620481958E-2</c:v>
                </c:pt>
                <c:pt idx="98">
                  <c:v>8.5103629596281927E-2</c:v>
                </c:pt>
                <c:pt idx="99">
                  <c:v>8.4892355014981824E-2</c:v>
                </c:pt>
                <c:pt idx="100">
                  <c:v>8.053766530289419E-2</c:v>
                </c:pt>
                <c:pt idx="101">
                  <c:v>7.7772280533102922E-2</c:v>
                </c:pt>
                <c:pt idx="102">
                  <c:v>7.4756727553388913E-2</c:v>
                </c:pt>
                <c:pt idx="103">
                  <c:v>7.2848649502788909E-2</c:v>
                </c:pt>
                <c:pt idx="104">
                  <c:v>7.2858197644750433E-2</c:v>
                </c:pt>
                <c:pt idx="105">
                  <c:v>7.3280591318305E-2</c:v>
                </c:pt>
                <c:pt idx="106">
                  <c:v>7.6079495245765294E-2</c:v>
                </c:pt>
                <c:pt idx="107">
                  <c:v>7.6989270186646586E-2</c:v>
                </c:pt>
                <c:pt idx="108">
                  <c:v>7.6448262037850157E-2</c:v>
                </c:pt>
                <c:pt idx="109">
                  <c:v>7.5332712049617889E-2</c:v>
                </c:pt>
                <c:pt idx="110">
                  <c:v>7.4429429429460292E-2</c:v>
                </c:pt>
                <c:pt idx="111">
                  <c:v>7.2012388794849613E-2</c:v>
                </c:pt>
                <c:pt idx="112">
                  <c:v>6.7445314769662978E-2</c:v>
                </c:pt>
                <c:pt idx="113">
                  <c:v>6.4066146408899627E-2</c:v>
                </c:pt>
                <c:pt idx="114">
                  <c:v>6.027955625055359E-2</c:v>
                </c:pt>
                <c:pt idx="115">
                  <c:v>5.4373728810845456E-2</c:v>
                </c:pt>
                <c:pt idx="116">
                  <c:v>5.0199849974230659E-2</c:v>
                </c:pt>
                <c:pt idx="117">
                  <c:v>4.5231197987306793E-2</c:v>
                </c:pt>
                <c:pt idx="118">
                  <c:v>4.0082033761329683E-2</c:v>
                </c:pt>
                <c:pt idx="119">
                  <c:v>3.6550357591683458E-2</c:v>
                </c:pt>
                <c:pt idx="120">
                  <c:v>3.5036804918090247E-2</c:v>
                </c:pt>
                <c:pt idx="121">
                  <c:v>2.4867453048898369E-2</c:v>
                </c:pt>
                <c:pt idx="122">
                  <c:v>2.2209744794459141E-2</c:v>
                </c:pt>
                <c:pt idx="123">
                  <c:v>2.1820297045518799E-2</c:v>
                </c:pt>
                <c:pt idx="124">
                  <c:v>2.5686343709327986E-2</c:v>
                </c:pt>
                <c:pt idx="125">
                  <c:v>2.8458936885150443E-2</c:v>
                </c:pt>
                <c:pt idx="126">
                  <c:v>3.3262866310073136E-2</c:v>
                </c:pt>
                <c:pt idx="127">
                  <c:v>4.1862652640849873E-2</c:v>
                </c:pt>
                <c:pt idx="128">
                  <c:v>4.8781983574620824E-2</c:v>
                </c:pt>
                <c:pt idx="129">
                  <c:v>5.5023046012339094E-2</c:v>
                </c:pt>
                <c:pt idx="130">
                  <c:v>5.9196725307471887E-2</c:v>
                </c:pt>
                <c:pt idx="131">
                  <c:v>6.3591908927913998E-2</c:v>
                </c:pt>
                <c:pt idx="132">
                  <c:v>7.0868090906133219E-2</c:v>
                </c:pt>
                <c:pt idx="133">
                  <c:v>8.9197852950500867E-2</c:v>
                </c:pt>
                <c:pt idx="134">
                  <c:v>0.1012827423718301</c:v>
                </c:pt>
                <c:pt idx="135">
                  <c:v>0.11240566063557722</c:v>
                </c:pt>
                <c:pt idx="136">
                  <c:v>0.11967848620557309</c:v>
                </c:pt>
                <c:pt idx="137">
                  <c:v>0.12284784612584598</c:v>
                </c:pt>
                <c:pt idx="138">
                  <c:v>0.126075860707898</c:v>
                </c:pt>
                <c:pt idx="139">
                  <c:v>0.12508534388950032</c:v>
                </c:pt>
                <c:pt idx="140">
                  <c:v>0.12488400020918267</c:v>
                </c:pt>
                <c:pt idx="141">
                  <c:v>0.12489590107943194</c:v>
                </c:pt>
                <c:pt idx="142">
                  <c:v>0.1261381663418808</c:v>
                </c:pt>
                <c:pt idx="143">
                  <c:v>0.12553864166764139</c:v>
                </c:pt>
                <c:pt idx="144">
                  <c:v>0.125739222654766</c:v>
                </c:pt>
                <c:pt idx="145">
                  <c:v>0.12410724936342188</c:v>
                </c:pt>
                <c:pt idx="146">
                  <c:v>0.12100909268273252</c:v>
                </c:pt>
                <c:pt idx="147">
                  <c:v>0.11467303382578198</c:v>
                </c:pt>
                <c:pt idx="148">
                  <c:v>0.10875956210723281</c:v>
                </c:pt>
                <c:pt idx="149">
                  <c:v>0.10792779686428844</c:v>
                </c:pt>
                <c:pt idx="150">
                  <c:v>0.11115593223805043</c:v>
                </c:pt>
                <c:pt idx="151">
                  <c:v>0.11455227735271745</c:v>
                </c:pt>
                <c:pt idx="152">
                  <c:v>0.11680381590384847</c:v>
                </c:pt>
                <c:pt idx="153">
                  <c:v>0.11930917101554517</c:v>
                </c:pt>
                <c:pt idx="154">
                  <c:v>0.11932724282393004</c:v>
                </c:pt>
                <c:pt idx="155">
                  <c:v>0.121795186755846</c:v>
                </c:pt>
                <c:pt idx="156">
                  <c:v>0.12135289503065394</c:v>
                </c:pt>
                <c:pt idx="157">
                  <c:v>0.11494650229584025</c:v>
                </c:pt>
                <c:pt idx="158">
                  <c:v>0.10572854608582904</c:v>
                </c:pt>
                <c:pt idx="159">
                  <c:v>0.1044527364703427</c:v>
                </c:pt>
                <c:pt idx="160">
                  <c:v>0.10646309607636528</c:v>
                </c:pt>
                <c:pt idx="161">
                  <c:v>0.10572059487914487</c:v>
                </c:pt>
                <c:pt idx="162">
                  <c:v>9.6566198391051294E-2</c:v>
                </c:pt>
                <c:pt idx="163">
                  <c:v>8.7271522672678792E-2</c:v>
                </c:pt>
                <c:pt idx="164">
                  <c:v>7.545615712343956E-2</c:v>
                </c:pt>
                <c:pt idx="165">
                  <c:v>6.8391174003978428E-2</c:v>
                </c:pt>
                <c:pt idx="166">
                  <c:v>6.6983885012854572E-2</c:v>
                </c:pt>
                <c:pt idx="167">
                  <c:v>6.4203490572637634E-2</c:v>
                </c:pt>
                <c:pt idx="168">
                  <c:v>5.9178941713718736E-2</c:v>
                </c:pt>
                <c:pt idx="169">
                  <c:v>5.9721014917901272E-2</c:v>
                </c:pt>
                <c:pt idx="170">
                  <c:v>6.5052003903113942E-2</c:v>
                </c:pt>
                <c:pt idx="171">
                  <c:v>6.2882582082319338E-2</c:v>
                </c:pt>
                <c:pt idx="172">
                  <c:v>5.6203811171207541E-2</c:v>
                </c:pt>
                <c:pt idx="173">
                  <c:v>5.2025055865972725E-2</c:v>
                </c:pt>
                <c:pt idx="174">
                  <c:v>5.2285031981007535E-2</c:v>
                </c:pt>
                <c:pt idx="175">
                  <c:v>5.2597879383993629E-2</c:v>
                </c:pt>
                <c:pt idx="176">
                  <c:v>5.6290912949499727E-2</c:v>
                </c:pt>
                <c:pt idx="177">
                  <c:v>5.8430121162877491E-2</c:v>
                </c:pt>
                <c:pt idx="178">
                  <c:v>5.689660289213716E-2</c:v>
                </c:pt>
                <c:pt idx="179">
                  <c:v>5.3039285330345187E-2</c:v>
                </c:pt>
                <c:pt idx="180">
                  <c:v>5.2786885880337309E-2</c:v>
                </c:pt>
                <c:pt idx="181">
                  <c:v>5.6135751161940028E-2</c:v>
                </c:pt>
                <c:pt idx="182">
                  <c:v>6.1185589940445873E-2</c:v>
                </c:pt>
                <c:pt idx="183">
                  <c:v>6.8832473700097374E-2</c:v>
                </c:pt>
                <c:pt idx="184">
                  <c:v>8.0482372480175535E-2</c:v>
                </c:pt>
                <c:pt idx="185">
                  <c:v>9.2634634543991901E-2</c:v>
                </c:pt>
                <c:pt idx="186">
                  <c:v>0.10102847743318666</c:v>
                </c:pt>
                <c:pt idx="187">
                  <c:v>0.10614066596111993</c:v>
                </c:pt>
                <c:pt idx="188">
                  <c:v>0.11035982392156907</c:v>
                </c:pt>
                <c:pt idx="189">
                  <c:v>0.11063038471914322</c:v>
                </c:pt>
                <c:pt idx="190">
                  <c:v>0.11379358628550929</c:v>
                </c:pt>
                <c:pt idx="191">
                  <c:v>0.1191000804970388</c:v>
                </c:pt>
                <c:pt idx="192">
                  <c:v>0.12463727306546701</c:v>
                </c:pt>
                <c:pt idx="193">
                  <c:v>0.12932443741707633</c:v>
                </c:pt>
                <c:pt idx="194">
                  <c:v>0.12675170563914406</c:v>
                </c:pt>
                <c:pt idx="195">
                  <c:v>0.1261251439901967</c:v>
                </c:pt>
                <c:pt idx="196">
                  <c:v>0.12312560940319806</c:v>
                </c:pt>
                <c:pt idx="197">
                  <c:v>0.11243821329802817</c:v>
                </c:pt>
                <c:pt idx="198">
                  <c:v>0.10799267559863157</c:v>
                </c:pt>
                <c:pt idx="199">
                  <c:v>0.11117209733395672</c:v>
                </c:pt>
                <c:pt idx="200">
                  <c:v>0.1136168074727939</c:v>
                </c:pt>
                <c:pt idx="201">
                  <c:v>0.1199854592115841</c:v>
                </c:pt>
                <c:pt idx="202">
                  <c:v>0.12257176324745522</c:v>
                </c:pt>
                <c:pt idx="203">
                  <c:v>0.12542938209620491</c:v>
                </c:pt>
                <c:pt idx="204">
                  <c:v>0.12664037495907632</c:v>
                </c:pt>
                <c:pt idx="205">
                  <c:v>0.12396933589776182</c:v>
                </c:pt>
                <c:pt idx="206">
                  <c:v>0.12390184364867984</c:v>
                </c:pt>
                <c:pt idx="207">
                  <c:v>0.12296482744325576</c:v>
                </c:pt>
                <c:pt idx="208">
                  <c:v>0.12017422975259873</c:v>
                </c:pt>
                <c:pt idx="209">
                  <c:v>0.12230960607831953</c:v>
                </c:pt>
                <c:pt idx="210">
                  <c:v>0.1215502105990014</c:v>
                </c:pt>
                <c:pt idx="211">
                  <c:v>0.11856143068565217</c:v>
                </c:pt>
                <c:pt idx="212">
                  <c:v>0.11501844467747713</c:v>
                </c:pt>
                <c:pt idx="213">
                  <c:v>0.1085554065543457</c:v>
                </c:pt>
                <c:pt idx="214">
                  <c:v>0.10356660392258554</c:v>
                </c:pt>
                <c:pt idx="215">
                  <c:v>9.7753530773577957E-2</c:v>
                </c:pt>
                <c:pt idx="216">
                  <c:v>9.3732929358271377E-2</c:v>
                </c:pt>
                <c:pt idx="217">
                  <c:v>8.7669278731333122E-2</c:v>
                </c:pt>
                <c:pt idx="218">
                  <c:v>8.3654184323815883E-2</c:v>
                </c:pt>
                <c:pt idx="219">
                  <c:v>8.0683741554896216E-2</c:v>
                </c:pt>
                <c:pt idx="220">
                  <c:v>8.0615172148668535E-2</c:v>
                </c:pt>
                <c:pt idx="221">
                  <c:v>7.9448774618867901E-2</c:v>
                </c:pt>
                <c:pt idx="222">
                  <c:v>7.6405346307004685E-2</c:v>
                </c:pt>
                <c:pt idx="223">
                  <c:v>7.5117971229581748E-2</c:v>
                </c:pt>
                <c:pt idx="224">
                  <c:v>7.629509192581807E-2</c:v>
                </c:pt>
                <c:pt idx="225">
                  <c:v>7.5468404286447743E-2</c:v>
                </c:pt>
                <c:pt idx="226">
                  <c:v>7.3808044869691614E-2</c:v>
                </c:pt>
                <c:pt idx="227">
                  <c:v>7.2633668101320659E-2</c:v>
                </c:pt>
                <c:pt idx="228">
                  <c:v>6.9352266145214614E-2</c:v>
                </c:pt>
                <c:pt idx="229">
                  <c:v>6.9340276453150551E-2</c:v>
                </c:pt>
                <c:pt idx="230">
                  <c:v>7.1373567341384003E-2</c:v>
                </c:pt>
                <c:pt idx="231">
                  <c:v>7.5299203297335637E-2</c:v>
                </c:pt>
                <c:pt idx="232">
                  <c:v>7.332279452147894E-2</c:v>
                </c:pt>
                <c:pt idx="233">
                  <c:v>7.6272592296510844E-2</c:v>
                </c:pt>
                <c:pt idx="234">
                  <c:v>8.0292483312416785E-2</c:v>
                </c:pt>
                <c:pt idx="235">
                  <c:v>8.1408910793110856E-2</c:v>
                </c:pt>
                <c:pt idx="236">
                  <c:v>7.7993139483500507E-2</c:v>
                </c:pt>
                <c:pt idx="237">
                  <c:v>7.6903524302167625E-2</c:v>
                </c:pt>
                <c:pt idx="238">
                  <c:v>7.5646672334684695E-2</c:v>
                </c:pt>
                <c:pt idx="239">
                  <c:v>7.5889484088481396E-2</c:v>
                </c:pt>
                <c:pt idx="240">
                  <c:v>7.7886808435215116E-2</c:v>
                </c:pt>
                <c:pt idx="241">
                  <c:v>8.1370588337094318E-2</c:v>
                </c:pt>
                <c:pt idx="242">
                  <c:v>7.7612006401840183E-2</c:v>
                </c:pt>
                <c:pt idx="243">
                  <c:v>6.8959587524825672E-2</c:v>
                </c:pt>
                <c:pt idx="244">
                  <c:v>6.9900132471754972E-2</c:v>
                </c:pt>
                <c:pt idx="245">
                  <c:v>7.1977403732405243E-2</c:v>
                </c:pt>
                <c:pt idx="246">
                  <c:v>7.4322015914042971E-2</c:v>
                </c:pt>
                <c:pt idx="247">
                  <c:v>7.6430922307952898E-2</c:v>
                </c:pt>
                <c:pt idx="248">
                  <c:v>7.9232997457908461E-2</c:v>
                </c:pt>
                <c:pt idx="249">
                  <c:v>8.1747845602859748E-2</c:v>
                </c:pt>
                <c:pt idx="250">
                  <c:v>8.4905789578194835E-2</c:v>
                </c:pt>
                <c:pt idx="251">
                  <c:v>8.2102376195504867E-2</c:v>
                </c:pt>
                <c:pt idx="252">
                  <c:v>8.0442107023727338E-2</c:v>
                </c:pt>
                <c:pt idx="253">
                  <c:v>7.976474544372536E-2</c:v>
                </c:pt>
                <c:pt idx="254">
                  <c:v>8.7289153225992067E-2</c:v>
                </c:pt>
                <c:pt idx="255">
                  <c:v>9.9404858223351766E-2</c:v>
                </c:pt>
                <c:pt idx="256">
                  <c:v>9.5712856709634586E-2</c:v>
                </c:pt>
                <c:pt idx="257">
                  <c:v>8.8258528173644102E-2</c:v>
                </c:pt>
                <c:pt idx="258">
                  <c:v>8.4576624161216252E-2</c:v>
                </c:pt>
                <c:pt idx="259">
                  <c:v>8.1622778440927135E-2</c:v>
                </c:pt>
                <c:pt idx="260">
                  <c:v>8.0531299074276141E-2</c:v>
                </c:pt>
                <c:pt idx="261">
                  <c:v>8.291203883951237E-2</c:v>
                </c:pt>
                <c:pt idx="262">
                  <c:v>8.4266040373721651E-2</c:v>
                </c:pt>
                <c:pt idx="263">
                  <c:v>9.2875095193765134E-2</c:v>
                </c:pt>
                <c:pt idx="264">
                  <c:v>9.6898652689132447E-2</c:v>
                </c:pt>
                <c:pt idx="265">
                  <c:v>9.1895335146636725E-2</c:v>
                </c:pt>
                <c:pt idx="266">
                  <c:v>8.7637479370183513E-2</c:v>
                </c:pt>
                <c:pt idx="267">
                  <c:v>8.3615429238369288E-2</c:v>
                </c:pt>
                <c:pt idx="268">
                  <c:v>8.6961301626197418E-2</c:v>
                </c:pt>
                <c:pt idx="269">
                  <c:v>8.9124531159011866E-2</c:v>
                </c:pt>
                <c:pt idx="270">
                  <c:v>8.5211196485482255E-2</c:v>
                </c:pt>
                <c:pt idx="271">
                  <c:v>8.5317996519605366E-2</c:v>
                </c:pt>
                <c:pt idx="272">
                  <c:v>8.5564453404574969E-2</c:v>
                </c:pt>
                <c:pt idx="273">
                  <c:v>8.2407734947374855E-2</c:v>
                </c:pt>
                <c:pt idx="274">
                  <c:v>8.1596709540271206E-2</c:v>
                </c:pt>
                <c:pt idx="275">
                  <c:v>8.2200621332110479E-2</c:v>
                </c:pt>
                <c:pt idx="276">
                  <c:v>0.10143279417370188</c:v>
                </c:pt>
                <c:pt idx="277">
                  <c:v>0.11802720608855655</c:v>
                </c:pt>
                <c:pt idx="278">
                  <c:v>0.12046004757493556</c:v>
                </c:pt>
                <c:pt idx="279">
                  <c:v>0.1173949122282627</c:v>
                </c:pt>
                <c:pt idx="280">
                  <c:v>0.11816243315323938</c:v>
                </c:pt>
                <c:pt idx="281">
                  <c:v>0.11741787224169986</c:v>
                </c:pt>
                <c:pt idx="282">
                  <c:v>0.11989806618553533</c:v>
                </c:pt>
                <c:pt idx="283">
                  <c:v>0.11689143710580741</c:v>
                </c:pt>
                <c:pt idx="284">
                  <c:v>0.11418927055805028</c:v>
                </c:pt>
                <c:pt idx="285">
                  <c:v>0.11577832957854106</c:v>
                </c:pt>
                <c:pt idx="286">
                  <c:v>0.11453947340502335</c:v>
                </c:pt>
                <c:pt idx="287">
                  <c:v>0.10811133281272856</c:v>
                </c:pt>
                <c:pt idx="288">
                  <c:v>8.7326049668857486E-2</c:v>
                </c:pt>
                <c:pt idx="289">
                  <c:v>7.7728641754524652E-2</c:v>
                </c:pt>
                <c:pt idx="290">
                  <c:v>7.6402168279861016E-2</c:v>
                </c:pt>
                <c:pt idx="291">
                  <c:v>7.7331598445778305E-2</c:v>
                </c:pt>
                <c:pt idx="292">
                  <c:v>7.5851000048574591E-2</c:v>
                </c:pt>
                <c:pt idx="293">
                  <c:v>7.5751894790402119E-2</c:v>
                </c:pt>
                <c:pt idx="294">
                  <c:v>7.4049161546346554E-2</c:v>
                </c:pt>
                <c:pt idx="295">
                  <c:v>7.2701831776732284E-2</c:v>
                </c:pt>
                <c:pt idx="296">
                  <c:v>7.4533051862567312E-2</c:v>
                </c:pt>
                <c:pt idx="297">
                  <c:v>7.3321649363459862E-2</c:v>
                </c:pt>
                <c:pt idx="298">
                  <c:v>7.7011888400600803E-2</c:v>
                </c:pt>
                <c:pt idx="299">
                  <c:v>8.262219657086689E-2</c:v>
                </c:pt>
                <c:pt idx="300">
                  <c:v>8.6933426768601052E-2</c:v>
                </c:pt>
                <c:pt idx="301">
                  <c:v>8.6883947871904788E-2</c:v>
                </c:pt>
                <c:pt idx="302">
                  <c:v>8.4164678501301715E-2</c:v>
                </c:pt>
                <c:pt idx="303">
                  <c:v>8.0488345952466567E-2</c:v>
                </c:pt>
                <c:pt idx="304">
                  <c:v>8.0764876723871559E-2</c:v>
                </c:pt>
                <c:pt idx="305">
                  <c:v>8.5407454944268046E-2</c:v>
                </c:pt>
                <c:pt idx="306">
                  <c:v>8.8602943895206288E-2</c:v>
                </c:pt>
                <c:pt idx="307">
                  <c:v>9.145509972528032E-2</c:v>
                </c:pt>
                <c:pt idx="308">
                  <c:v>9.0258638578426975E-2</c:v>
                </c:pt>
                <c:pt idx="309">
                  <c:v>8.8530136912049251E-2</c:v>
                </c:pt>
                <c:pt idx="310">
                  <c:v>8.2581780087840784E-2</c:v>
                </c:pt>
                <c:pt idx="311">
                  <c:v>7.7437861188943025E-2</c:v>
                </c:pt>
                <c:pt idx="312">
                  <c:v>7.0232598905735522E-2</c:v>
                </c:pt>
                <c:pt idx="313">
                  <c:v>6.5278975874284662E-2</c:v>
                </c:pt>
                <c:pt idx="314">
                  <c:v>6.815855628164158E-2</c:v>
                </c:pt>
                <c:pt idx="315">
                  <c:v>7.398166965908004E-2</c:v>
                </c:pt>
                <c:pt idx="316">
                  <c:v>7.8563996492076349E-2</c:v>
                </c:pt>
                <c:pt idx="317">
                  <c:v>7.6727671056183944E-2</c:v>
                </c:pt>
                <c:pt idx="318">
                  <c:v>7.8004759305102311E-2</c:v>
                </c:pt>
                <c:pt idx="319">
                  <c:v>7.9601971006556305E-2</c:v>
                </c:pt>
                <c:pt idx="320">
                  <c:v>8.2557299251699412E-2</c:v>
                </c:pt>
                <c:pt idx="321">
                  <c:v>8.5166077416030994E-2</c:v>
                </c:pt>
                <c:pt idx="322">
                  <c:v>8.636206891724818E-2</c:v>
                </c:pt>
                <c:pt idx="323">
                  <c:v>9.044301145021727E-2</c:v>
                </c:pt>
                <c:pt idx="324">
                  <c:v>9.2249886779284473E-2</c:v>
                </c:pt>
                <c:pt idx="325">
                  <c:v>8.9253942601954073E-2</c:v>
                </c:pt>
                <c:pt idx="326">
                  <c:v>8.3501612791950564E-2</c:v>
                </c:pt>
                <c:pt idx="327">
                  <c:v>7.8869136361750414E-2</c:v>
                </c:pt>
                <c:pt idx="328">
                  <c:v>7.0245568428553007E-2</c:v>
                </c:pt>
                <c:pt idx="329">
                  <c:v>6.3073917459157691E-2</c:v>
                </c:pt>
                <c:pt idx="330">
                  <c:v>5.6400916591443639E-2</c:v>
                </c:pt>
                <c:pt idx="331">
                  <c:v>5.2158214020945337E-2</c:v>
                </c:pt>
                <c:pt idx="332">
                  <c:v>4.8186667082004142E-2</c:v>
                </c:pt>
                <c:pt idx="333">
                  <c:v>4.6317027651084253E-2</c:v>
                </c:pt>
                <c:pt idx="334">
                  <c:v>4.2613599313835238E-2</c:v>
                </c:pt>
                <c:pt idx="335">
                  <c:v>3.5435077081582556E-2</c:v>
                </c:pt>
                <c:pt idx="336">
                  <c:v>3.7026031146624838E-2</c:v>
                </c:pt>
                <c:pt idx="337">
                  <c:v>4.37599855867008E-2</c:v>
                </c:pt>
                <c:pt idx="338">
                  <c:v>4.8553225416990919E-2</c:v>
                </c:pt>
                <c:pt idx="339">
                  <c:v>5.0376951705275452E-2</c:v>
                </c:pt>
                <c:pt idx="340">
                  <c:v>5.3742598641227879E-2</c:v>
                </c:pt>
                <c:pt idx="341">
                  <c:v>5.7358622858832753E-2</c:v>
                </c:pt>
                <c:pt idx="342">
                  <c:v>5.8764416318484614E-2</c:v>
                </c:pt>
                <c:pt idx="343">
                  <c:v>5.70866804013761E-2</c:v>
                </c:pt>
                <c:pt idx="344">
                  <c:v>5.4700592432842754E-2</c:v>
                </c:pt>
                <c:pt idx="345">
                  <c:v>5.2086996659484797E-2</c:v>
                </c:pt>
                <c:pt idx="346">
                  <c:v>5.5643674428638157E-2</c:v>
                </c:pt>
                <c:pt idx="347">
                  <c:v>5.566738237204838E-2</c:v>
                </c:pt>
                <c:pt idx="348">
                  <c:v>4.9435490507933721E-2</c:v>
                </c:pt>
                <c:pt idx="349">
                  <c:v>4.1557509915655544E-2</c:v>
                </c:pt>
                <c:pt idx="350">
                  <c:v>3.7013596339767751E-2</c:v>
                </c:pt>
                <c:pt idx="351">
                  <c:v>3.221668924667398E-2</c:v>
                </c:pt>
                <c:pt idx="352">
                  <c:v>2.8835196395897711E-2</c:v>
                </c:pt>
                <c:pt idx="353">
                  <c:v>3.0004094407464876E-2</c:v>
                </c:pt>
                <c:pt idx="354">
                  <c:v>3.5072599354490919E-2</c:v>
                </c:pt>
                <c:pt idx="355">
                  <c:v>4.0626853530270068E-2</c:v>
                </c:pt>
                <c:pt idx="356">
                  <c:v>4.4838403044852981E-2</c:v>
                </c:pt>
                <c:pt idx="357">
                  <c:v>4.8961978164345332E-2</c:v>
                </c:pt>
                <c:pt idx="358">
                  <c:v>5.0096349894166892E-2</c:v>
                </c:pt>
                <c:pt idx="359">
                  <c:v>5.352458942209104E-2</c:v>
                </c:pt>
                <c:pt idx="360">
                  <c:v>5.6879826609700146E-2</c:v>
                </c:pt>
                <c:pt idx="361">
                  <c:v>6.0620690017419321E-2</c:v>
                </c:pt>
                <c:pt idx="362">
                  <c:v>6.1539980600022304E-2</c:v>
                </c:pt>
                <c:pt idx="363">
                  <c:v>6.3040393516548221E-2</c:v>
                </c:pt>
                <c:pt idx="364">
                  <c:v>6.0866793235922145E-2</c:v>
                </c:pt>
                <c:pt idx="365">
                  <c:v>5.9553611397566542E-2</c:v>
                </c:pt>
                <c:pt idx="366">
                  <c:v>5.4849733034952664E-2</c:v>
                </c:pt>
                <c:pt idx="367">
                  <c:v>5.3080663044987375E-2</c:v>
                </c:pt>
                <c:pt idx="368">
                  <c:v>5.1089554959871109E-2</c:v>
                </c:pt>
                <c:pt idx="369">
                  <c:v>4.5572262461666568E-2</c:v>
                </c:pt>
                <c:pt idx="370">
                  <c:v>4.0437661266675917E-2</c:v>
                </c:pt>
                <c:pt idx="371">
                  <c:v>3.714450332099517E-2</c:v>
                </c:pt>
                <c:pt idx="372">
                  <c:v>3.7466617840177463E-2</c:v>
                </c:pt>
                <c:pt idx="373">
                  <c:v>3.8655583112955583E-2</c:v>
                </c:pt>
                <c:pt idx="374">
                  <c:v>4.0484644122235736E-2</c:v>
                </c:pt>
                <c:pt idx="375">
                  <c:v>4.0042080271286196E-2</c:v>
                </c:pt>
                <c:pt idx="376">
                  <c:v>4.3530315208208492E-2</c:v>
                </c:pt>
                <c:pt idx="377">
                  <c:v>4.2104427910912179E-2</c:v>
                </c:pt>
                <c:pt idx="378">
                  <c:v>4.0001686070562315E-2</c:v>
                </c:pt>
                <c:pt idx="379">
                  <c:v>3.4261347110161822E-2</c:v>
                </c:pt>
                <c:pt idx="380">
                  <c:v>3.035258347573766E-2</c:v>
                </c:pt>
                <c:pt idx="381">
                  <c:v>3.0458287041243537E-2</c:v>
                </c:pt>
                <c:pt idx="382">
                  <c:v>3.1052116948565356E-2</c:v>
                </c:pt>
                <c:pt idx="383">
                  <c:v>3.0225058183809494E-2</c:v>
                </c:pt>
                <c:pt idx="384">
                  <c:v>2.8042443917316362E-2</c:v>
                </c:pt>
                <c:pt idx="385">
                  <c:v>2.849025569374497E-2</c:v>
                </c:pt>
                <c:pt idx="386">
                  <c:v>2.4384924686284393E-2</c:v>
                </c:pt>
                <c:pt idx="387">
                  <c:v>1.9994427316417429E-2</c:v>
                </c:pt>
                <c:pt idx="388">
                  <c:v>1.6494974679906349E-2</c:v>
                </c:pt>
                <c:pt idx="389">
                  <c:v>1.2305019387437E-2</c:v>
                </c:pt>
                <c:pt idx="390">
                  <c:v>1.1200117079537719E-2</c:v>
                </c:pt>
                <c:pt idx="391">
                  <c:v>1.2970657723604617E-2</c:v>
                </c:pt>
                <c:pt idx="392">
                  <c:v>1.6378300245190047E-2</c:v>
                </c:pt>
                <c:pt idx="393">
                  <c:v>1.8780309921544003E-2</c:v>
                </c:pt>
                <c:pt idx="394">
                  <c:v>1.796279157511016E-2</c:v>
                </c:pt>
                <c:pt idx="395">
                  <c:v>1.544852627523241E-2</c:v>
                </c:pt>
                <c:pt idx="396">
                  <c:v>1.1146682475025926E-2</c:v>
                </c:pt>
                <c:pt idx="397">
                  <c:v>4.2556377968914205E-3</c:v>
                </c:pt>
                <c:pt idx="398">
                  <c:v>2.2888677167944849E-3</c:v>
                </c:pt>
                <c:pt idx="399">
                  <c:v>3.4062578816147493E-3</c:v>
                </c:pt>
                <c:pt idx="400">
                  <c:v>1.1206320185445762E-2</c:v>
                </c:pt>
                <c:pt idx="401">
                  <c:v>1.4336533915551897E-2</c:v>
                </c:pt>
                <c:pt idx="402">
                  <c:v>1.4072995170952396E-2</c:v>
                </c:pt>
                <c:pt idx="403">
                  <c:v>1.3704648710845646E-2</c:v>
                </c:pt>
                <c:pt idx="404">
                  <c:v>1.221144500514626E-2</c:v>
                </c:pt>
                <c:pt idx="405">
                  <c:v>9.5633313698328948E-3</c:v>
                </c:pt>
                <c:pt idx="406">
                  <c:v>1.2644079943587627E-2</c:v>
                </c:pt>
                <c:pt idx="407">
                  <c:v>1.4436707135269344E-2</c:v>
                </c:pt>
                <c:pt idx="408">
                  <c:v>1.6188343076610323E-2</c:v>
                </c:pt>
                <c:pt idx="409">
                  <c:v>1.7764828160588664E-2</c:v>
                </c:pt>
                <c:pt idx="410">
                  <c:v>1.9850328212593027E-2</c:v>
                </c:pt>
                <c:pt idx="411">
                  <c:v>2.0312336930757624E-2</c:v>
                </c:pt>
                <c:pt idx="412">
                  <c:v>1.5561034003706453E-2</c:v>
                </c:pt>
                <c:pt idx="413">
                  <c:v>1.0719702760514593E-2</c:v>
                </c:pt>
                <c:pt idx="414">
                  <c:v>1.3333146063084556E-2</c:v>
                </c:pt>
                <c:pt idx="415">
                  <c:v>1.1541808016692912E-2</c:v>
                </c:pt>
                <c:pt idx="416">
                  <c:v>9.7719238892022275E-3</c:v>
                </c:pt>
                <c:pt idx="417">
                  <c:v>7.9527864767374723E-3</c:v>
                </c:pt>
                <c:pt idx="418">
                  <c:v>4.9157099547159078E-3</c:v>
                </c:pt>
                <c:pt idx="419">
                  <c:v>3.4191014359734595E-3</c:v>
                </c:pt>
                <c:pt idx="420">
                  <c:v>5.0234773302424429E-3</c:v>
                </c:pt>
                <c:pt idx="421">
                  <c:v>4.0771849290983653E-3</c:v>
                </c:pt>
                <c:pt idx="422">
                  <c:v>3.1558437942980078E-3</c:v>
                </c:pt>
                <c:pt idx="423">
                  <c:v>5.128583692959765E-3</c:v>
                </c:pt>
                <c:pt idx="424">
                  <c:v>9.5225238454741401E-3</c:v>
                </c:pt>
                <c:pt idx="425">
                  <c:v>1.9749091013359532E-2</c:v>
                </c:pt>
                <c:pt idx="426">
                  <c:v>2.2451195289635351E-2</c:v>
                </c:pt>
                <c:pt idx="427">
                  <c:v>2.9204727290681021E-2</c:v>
                </c:pt>
                <c:pt idx="428">
                  <c:v>3.2733375862990854E-2</c:v>
                </c:pt>
                <c:pt idx="429">
                  <c:v>3.638199415257759E-2</c:v>
                </c:pt>
                <c:pt idx="430">
                  <c:v>3.7347279204684725E-2</c:v>
                </c:pt>
                <c:pt idx="431">
                  <c:v>4.0225212534540589E-2</c:v>
                </c:pt>
                <c:pt idx="432">
                  <c:v>4.3562480601144316E-2</c:v>
                </c:pt>
                <c:pt idx="433">
                  <c:v>4.8081747287673338E-2</c:v>
                </c:pt>
                <c:pt idx="434">
                  <c:v>5.4569123762515659E-2</c:v>
                </c:pt>
                <c:pt idx="435">
                  <c:v>5.5176633801364616E-2</c:v>
                </c:pt>
                <c:pt idx="436">
                  <c:v>5.1270593942620124E-2</c:v>
                </c:pt>
                <c:pt idx="437">
                  <c:v>4.7757789259899042E-2</c:v>
                </c:pt>
                <c:pt idx="438">
                  <c:v>4.6472870435952274E-2</c:v>
                </c:pt>
                <c:pt idx="439">
                  <c:v>4.2280946449876566E-2</c:v>
                </c:pt>
                <c:pt idx="440">
                  <c:v>4.1145087152390403E-2</c:v>
                </c:pt>
                <c:pt idx="441">
                  <c:v>4.3168274003225093E-2</c:v>
                </c:pt>
                <c:pt idx="442">
                  <c:v>4.7264359814828794E-2</c:v>
                </c:pt>
                <c:pt idx="443">
                  <c:v>5.0788965554469101E-2</c:v>
                </c:pt>
                <c:pt idx="444">
                  <c:v>4.9913467346495821E-2</c:v>
                </c:pt>
                <c:pt idx="445">
                  <c:v>4.9156817448260171E-2</c:v>
                </c:pt>
                <c:pt idx="446">
                  <c:v>4.6192019429803111E-2</c:v>
                </c:pt>
                <c:pt idx="447">
                  <c:v>4.735065394705984E-2</c:v>
                </c:pt>
                <c:pt idx="448">
                  <c:v>4.7279426858251483E-2</c:v>
                </c:pt>
                <c:pt idx="449">
                  <c:v>4.8118346878460727E-2</c:v>
                </c:pt>
                <c:pt idx="450">
                  <c:v>4.8776147600573694E-2</c:v>
                </c:pt>
                <c:pt idx="451">
                  <c:v>5.5432685360855771E-2</c:v>
                </c:pt>
                <c:pt idx="452">
                  <c:v>5.6884550537473544E-2</c:v>
                </c:pt>
                <c:pt idx="453">
                  <c:v>5.6550074565262065E-2</c:v>
                </c:pt>
                <c:pt idx="454">
                  <c:v>5.627677199595027E-2</c:v>
                </c:pt>
                <c:pt idx="455">
                  <c:v>5.4601856848952579E-2</c:v>
                </c:pt>
                <c:pt idx="456">
                  <c:v>5.6181447835740528E-2</c:v>
                </c:pt>
                <c:pt idx="457">
                  <c:v>6.1164337981651329E-2</c:v>
                </c:pt>
                <c:pt idx="458">
                  <c:v>6.349069431045784E-2</c:v>
                </c:pt>
                <c:pt idx="459">
                  <c:v>6.5682437160324625E-2</c:v>
                </c:pt>
                <c:pt idx="460">
                  <c:v>6.8368726665095636E-2</c:v>
                </c:pt>
                <c:pt idx="461">
                  <c:v>6.8777794596133646E-2</c:v>
                </c:pt>
                <c:pt idx="462">
                  <c:v>6.8902820965149658E-2</c:v>
                </c:pt>
                <c:pt idx="463">
                  <c:v>6.6307373241670575E-2</c:v>
                </c:pt>
                <c:pt idx="464">
                  <c:v>7.1504961922661536E-2</c:v>
                </c:pt>
                <c:pt idx="465">
                  <c:v>7.6036613060127323E-2</c:v>
                </c:pt>
                <c:pt idx="466">
                  <c:v>7.9360383297666814E-2</c:v>
                </c:pt>
                <c:pt idx="467">
                  <c:v>8.1466512904246002E-2</c:v>
                </c:pt>
                <c:pt idx="468">
                  <c:v>8.19487007591988E-2</c:v>
                </c:pt>
                <c:pt idx="469">
                  <c:v>7.9062087545697324E-2</c:v>
                </c:pt>
                <c:pt idx="470">
                  <c:v>7.4404802064552911E-2</c:v>
                </c:pt>
                <c:pt idx="471">
                  <c:v>7.4561608540033575E-2</c:v>
                </c:pt>
                <c:pt idx="472">
                  <c:v>7.4233175287393038E-2</c:v>
                </c:pt>
                <c:pt idx="473">
                  <c:v>7.4384491089350746E-2</c:v>
                </c:pt>
                <c:pt idx="474">
                  <c:v>7.5725945761742963E-2</c:v>
                </c:pt>
                <c:pt idx="475">
                  <c:v>7.3606172337660425E-2</c:v>
                </c:pt>
                <c:pt idx="476">
                  <c:v>6.7958187606198095E-2</c:v>
                </c:pt>
                <c:pt idx="477">
                  <c:v>6.3802649085136665E-2</c:v>
                </c:pt>
                <c:pt idx="478">
                  <c:v>5.8988394741882999E-2</c:v>
                </c:pt>
                <c:pt idx="479">
                  <c:v>5.8331005782914502E-2</c:v>
                </c:pt>
                <c:pt idx="480">
                  <c:v>5.81497604497212E-2</c:v>
                </c:pt>
                <c:pt idx="481">
                  <c:v>5.5831823810393644E-2</c:v>
                </c:pt>
                <c:pt idx="482">
                  <c:v>6.0856857604481007E-2</c:v>
                </c:pt>
                <c:pt idx="483">
                  <c:v>6.6222656022800308E-2</c:v>
                </c:pt>
                <c:pt idx="484">
                  <c:v>5.8159950892946455E-2</c:v>
                </c:pt>
                <c:pt idx="485">
                  <c:v>5.7047474069035431E-2</c:v>
                </c:pt>
                <c:pt idx="486">
                  <c:v>5.4690318711195118E-2</c:v>
                </c:pt>
                <c:pt idx="487">
                  <c:v>5.675433175085054E-2</c:v>
                </c:pt>
                <c:pt idx="488">
                  <c:v>6.062848525421316E-2</c:v>
                </c:pt>
                <c:pt idx="489">
                  <c:v>5.8722884481863247E-2</c:v>
                </c:pt>
                <c:pt idx="490">
                  <c:v>5.6870382388298779E-2</c:v>
                </c:pt>
                <c:pt idx="491">
                  <c:v>6.0041035790710851E-2</c:v>
                </c:pt>
                <c:pt idx="492">
                  <c:v>6.4221028283517612E-2</c:v>
                </c:pt>
                <c:pt idx="493">
                  <c:v>6.9084047111212854E-2</c:v>
                </c:pt>
                <c:pt idx="494">
                  <c:v>7.4004847163109844E-2</c:v>
                </c:pt>
                <c:pt idx="495">
                  <c:v>7.4726735381174691E-2</c:v>
                </c:pt>
                <c:pt idx="496">
                  <c:v>7.6724949779364948E-2</c:v>
                </c:pt>
                <c:pt idx="497">
                  <c:v>8.0825849853860987E-2</c:v>
                </c:pt>
                <c:pt idx="498">
                  <c:v>8.2907115460281844E-2</c:v>
                </c:pt>
                <c:pt idx="499">
                  <c:v>8.353188306507775E-2</c:v>
                </c:pt>
                <c:pt idx="500">
                  <c:v>9.7159169562791803E-2</c:v>
                </c:pt>
                <c:pt idx="501">
                  <c:v>9.1752781741197609E-2</c:v>
                </c:pt>
                <c:pt idx="502">
                  <c:v>9.7630368618510488E-2</c:v>
                </c:pt>
                <c:pt idx="503">
                  <c:v>9.8314430402808739E-2</c:v>
                </c:pt>
                <c:pt idx="504">
                  <c:v>9.1801555191826978E-2</c:v>
                </c:pt>
                <c:pt idx="505">
                  <c:v>8.9471402830492153E-2</c:v>
                </c:pt>
                <c:pt idx="506">
                  <c:v>8.0139766782609811E-2</c:v>
                </c:pt>
                <c:pt idx="507">
                  <c:v>6.7656282861735306E-2</c:v>
                </c:pt>
                <c:pt idx="508">
                  <c:v>7.2959278926882476E-2</c:v>
                </c:pt>
                <c:pt idx="509">
                  <c:v>6.9617656133710071E-2</c:v>
                </c:pt>
                <c:pt idx="510">
                  <c:v>7.1506014338957868E-2</c:v>
                </c:pt>
                <c:pt idx="511">
                  <c:v>7.2606589234773367E-2</c:v>
                </c:pt>
                <c:pt idx="512">
                  <c:v>5.5919477835898235E-2</c:v>
                </c:pt>
                <c:pt idx="513">
                  <c:v>6.5853913522419205E-2</c:v>
                </c:pt>
                <c:pt idx="514">
                  <c:v>6.6467135187622262E-2</c:v>
                </c:pt>
                <c:pt idx="515">
                  <c:v>6.0379935884764535E-2</c:v>
                </c:pt>
                <c:pt idx="516">
                  <c:v>6.2283087238141022E-2</c:v>
                </c:pt>
                <c:pt idx="517">
                  <c:v>6.3125306146762483E-2</c:v>
                </c:pt>
                <c:pt idx="518">
                  <c:v>6.451349898727976E-2</c:v>
                </c:pt>
                <c:pt idx="519">
                  <c:v>7.0837561739788057E-2</c:v>
                </c:pt>
                <c:pt idx="520">
                  <c:v>7.6303462010029577E-2</c:v>
                </c:pt>
                <c:pt idx="521">
                  <c:v>7.7925482043772476E-2</c:v>
                </c:pt>
                <c:pt idx="522">
                  <c:v>7.8032659514738256E-2</c:v>
                </c:pt>
                <c:pt idx="523">
                  <c:v>8.0026316514928197E-2</c:v>
                </c:pt>
                <c:pt idx="524">
                  <c:v>7.1102855126149223E-2</c:v>
                </c:pt>
                <c:pt idx="525">
                  <c:v>6.1767335286806002E-2</c:v>
                </c:pt>
                <c:pt idx="526">
                  <c:v>5.3906126705587809E-2</c:v>
                </c:pt>
                <c:pt idx="527">
                  <c:v>4.9895054658568583E-2</c:v>
                </c:pt>
                <c:pt idx="528">
                  <c:v>4.5613583706227701E-2</c:v>
                </c:pt>
                <c:pt idx="529">
                  <c:v>4.577963730746859E-2</c:v>
                </c:pt>
                <c:pt idx="530">
                  <c:v>4.8079858944019449E-2</c:v>
                </c:pt>
                <c:pt idx="531">
                  <c:v>4.8379988579464239E-2</c:v>
                </c:pt>
                <c:pt idx="532">
                  <c:v>5.0520253903760803E-2</c:v>
                </c:pt>
                <c:pt idx="533">
                  <c:v>4.4763516041616214E-2</c:v>
                </c:pt>
                <c:pt idx="534">
                  <c:v>3.9203527615992328E-2</c:v>
                </c:pt>
                <c:pt idx="535">
                  <c:v>3.3810849074694005E-2</c:v>
                </c:pt>
                <c:pt idx="536">
                  <c:v>4.3894597652080591E-2</c:v>
                </c:pt>
                <c:pt idx="537">
                  <c:v>4.9813705712219658E-2</c:v>
                </c:pt>
                <c:pt idx="538">
                  <c:v>5.3056415980256233E-2</c:v>
                </c:pt>
                <c:pt idx="539">
                  <c:v>5.6239589558838787E-2</c:v>
                </c:pt>
                <c:pt idx="540">
                  <c:v>5.5854516374870045E-2</c:v>
                </c:pt>
                <c:pt idx="541">
                  <c:v>5.0779612273496255E-2</c:v>
                </c:pt>
                <c:pt idx="542">
                  <c:v>4.6355185810226018E-2</c:v>
                </c:pt>
                <c:pt idx="543">
                  <c:v>4.1865512406410232E-2</c:v>
                </c:pt>
                <c:pt idx="544">
                  <c:v>3.2212746432385586E-2</c:v>
                </c:pt>
                <c:pt idx="545">
                  <c:v>3.6837990442087687E-2</c:v>
                </c:pt>
                <c:pt idx="546">
                  <c:v>3.9485073360287615E-2</c:v>
                </c:pt>
                <c:pt idx="547">
                  <c:v>4.0313514237636738E-2</c:v>
                </c:pt>
                <c:pt idx="548">
                  <c:v>4.0006570667536323E-2</c:v>
                </c:pt>
                <c:pt idx="549">
                  <c:v>4.0783709068312746E-2</c:v>
                </c:pt>
                <c:pt idx="550">
                  <c:v>3.9101711969740549E-2</c:v>
                </c:pt>
                <c:pt idx="551">
                  <c:v>4.0249093114379519E-2</c:v>
                </c:pt>
                <c:pt idx="552">
                  <c:v>4.5609024109515062E-2</c:v>
                </c:pt>
                <c:pt idx="553">
                  <c:v>4.7925173713338154E-2</c:v>
                </c:pt>
                <c:pt idx="554">
                  <c:v>4.8628264487000195E-2</c:v>
                </c:pt>
                <c:pt idx="555">
                  <c:v>5.1942876575761687E-2</c:v>
                </c:pt>
                <c:pt idx="556">
                  <c:v>5.0250778747168212E-2</c:v>
                </c:pt>
                <c:pt idx="557">
                  <c:v>5.0809762705844363E-2</c:v>
                </c:pt>
                <c:pt idx="558">
                  <c:v>5.199439771737957E-2</c:v>
                </c:pt>
                <c:pt idx="559">
                  <c:v>5.1452333215046053E-2</c:v>
                </c:pt>
                <c:pt idx="560">
                  <c:v>5.0185826746563578E-2</c:v>
                </c:pt>
                <c:pt idx="561">
                  <c:v>5.205144996019051E-2</c:v>
                </c:pt>
                <c:pt idx="562">
                  <c:v>5.4590632054525301E-2</c:v>
                </c:pt>
                <c:pt idx="563">
                  <c:v>5.6684384406318955E-2</c:v>
                </c:pt>
                <c:pt idx="564">
                  <c:v>5.5718152591214931E-2</c:v>
                </c:pt>
                <c:pt idx="565">
                  <c:v>5.431675456632945E-2</c:v>
                </c:pt>
                <c:pt idx="566">
                  <c:v>5.6932482601775192E-2</c:v>
                </c:pt>
                <c:pt idx="567">
                  <c:v>6.1481508413541164E-2</c:v>
                </c:pt>
                <c:pt idx="568">
                  <c:v>6.2429981140203594E-2</c:v>
                </c:pt>
                <c:pt idx="569">
                  <c:v>6.1434686592892973E-2</c:v>
                </c:pt>
                <c:pt idx="570">
                  <c:v>5.9572534873936434E-2</c:v>
                </c:pt>
                <c:pt idx="571">
                  <c:v>6.5467850204534273E-2</c:v>
                </c:pt>
                <c:pt idx="572">
                  <c:v>6.4005560383996851E-2</c:v>
                </c:pt>
                <c:pt idx="573">
                  <c:v>5.8849079626641654E-2</c:v>
                </c:pt>
                <c:pt idx="574">
                  <c:v>5.715367116560266E-2</c:v>
                </c:pt>
                <c:pt idx="575">
                  <c:v>5.5022403653280705E-2</c:v>
                </c:pt>
                <c:pt idx="576">
                  <c:v>5.4190101675965607E-2</c:v>
                </c:pt>
                <c:pt idx="577">
                  <c:v>6.325880913507298E-2</c:v>
                </c:pt>
                <c:pt idx="578">
                  <c:v>6.7131502363595885E-2</c:v>
                </c:pt>
                <c:pt idx="579">
                  <c:v>6.2697600988343538E-2</c:v>
                </c:pt>
                <c:pt idx="580">
                  <c:v>6.2307032749025382E-2</c:v>
                </c:pt>
                <c:pt idx="581">
                  <c:v>6.0028013733857577E-2</c:v>
                </c:pt>
                <c:pt idx="582">
                  <c:v>6.1858438189032583E-2</c:v>
                </c:pt>
                <c:pt idx="583">
                  <c:v>5.3402076640962193E-2</c:v>
                </c:pt>
                <c:pt idx="584">
                  <c:v>5.9810652015556798E-2</c:v>
                </c:pt>
                <c:pt idx="585">
                  <c:v>7.1292979965047465E-2</c:v>
                </c:pt>
                <c:pt idx="586">
                  <c:v>7.4301838864247571E-2</c:v>
                </c:pt>
                <c:pt idx="587">
                  <c:v>9.2061108950884929E-2</c:v>
                </c:pt>
                <c:pt idx="588">
                  <c:v>9.744572410569674E-2</c:v>
                </c:pt>
                <c:pt idx="589">
                  <c:v>8.9718299380400879E-2</c:v>
                </c:pt>
                <c:pt idx="590">
                  <c:v>8.9054471873485141E-2</c:v>
                </c:pt>
                <c:pt idx="591">
                  <c:v>8.3883872642202206E-2</c:v>
                </c:pt>
                <c:pt idx="592">
                  <c:v>8.9205987852208679E-2</c:v>
                </c:pt>
                <c:pt idx="593">
                  <c:v>8.8074998802657234E-2</c:v>
                </c:pt>
                <c:pt idx="594">
                  <c:v>8.2621487828596685E-2</c:v>
                </c:pt>
                <c:pt idx="595">
                  <c:v>8.0708016765727919E-2</c:v>
                </c:pt>
                <c:pt idx="596">
                  <c:v>7.1756823976553363E-2</c:v>
                </c:pt>
                <c:pt idx="597">
                  <c:v>6.1565762925299694E-2</c:v>
                </c:pt>
                <c:pt idx="598">
                  <c:v>5.8745682783092334E-2</c:v>
                </c:pt>
                <c:pt idx="599">
                  <c:v>3.6425189245687051E-2</c:v>
                </c:pt>
                <c:pt idx="600">
                  <c:v>2.2042752882647676E-2</c:v>
                </c:pt>
                <c:pt idx="601">
                  <c:v>2.4307433942485801E-2</c:v>
                </c:pt>
                <c:pt idx="602">
                  <c:v>1.6025186187093254E-2</c:v>
                </c:pt>
                <c:pt idx="603">
                  <c:v>1.9198488894742738E-2</c:v>
                </c:pt>
                <c:pt idx="604">
                  <c:v>1.8707289145032391E-2</c:v>
                </c:pt>
                <c:pt idx="605">
                  <c:v>1.9766619116511563E-2</c:v>
                </c:pt>
                <c:pt idx="606">
                  <c:v>2.0359472332057038E-2</c:v>
                </c:pt>
                <c:pt idx="607">
                  <c:v>2.6190428916073927E-2</c:v>
                </c:pt>
                <c:pt idx="608">
                  <c:v>2.9854704684645128E-2</c:v>
                </c:pt>
                <c:pt idx="609">
                  <c:v>3.2324756228385709E-2</c:v>
                </c:pt>
                <c:pt idx="610">
                  <c:v>3.1176529669549424E-2</c:v>
                </c:pt>
                <c:pt idx="611">
                  <c:v>3.5360781522554063E-2</c:v>
                </c:pt>
                <c:pt idx="612">
                  <c:v>4.224872008267333E-2</c:v>
                </c:pt>
                <c:pt idx="613">
                  <c:v>4.3641909312466254E-2</c:v>
                </c:pt>
                <c:pt idx="614">
                  <c:v>5.0331576279154078E-2</c:v>
                </c:pt>
                <c:pt idx="615">
                  <c:v>5.3570084729447132E-2</c:v>
                </c:pt>
                <c:pt idx="616">
                  <c:v>5.4991380567033232E-2</c:v>
                </c:pt>
                <c:pt idx="617">
                  <c:v>6.1054995257423528E-2</c:v>
                </c:pt>
                <c:pt idx="618">
                  <c:v>7.7851891424392861E-2</c:v>
                </c:pt>
                <c:pt idx="619">
                  <c:v>9.2326499601220746E-2</c:v>
                </c:pt>
                <c:pt idx="620">
                  <c:v>9.0931797856063312E-2</c:v>
                </c:pt>
                <c:pt idx="621">
                  <c:v>8.8822241622569464E-2</c:v>
                </c:pt>
                <c:pt idx="622">
                  <c:v>9.1737931514494164E-2</c:v>
                </c:pt>
                <c:pt idx="623">
                  <c:v>9.3047754115580972E-2</c:v>
                </c:pt>
                <c:pt idx="624">
                  <c:v>9.8179713753616227E-2</c:v>
                </c:pt>
                <c:pt idx="625">
                  <c:v>9.6343854055890077E-2</c:v>
                </c:pt>
                <c:pt idx="626">
                  <c:v>9.4572958485068526E-2</c:v>
                </c:pt>
                <c:pt idx="627">
                  <c:v>9.3209116827733141E-2</c:v>
                </c:pt>
                <c:pt idx="628">
                  <c:v>8.9820862127425016E-2</c:v>
                </c:pt>
                <c:pt idx="629">
                  <c:v>8.8651927610689185E-2</c:v>
                </c:pt>
                <c:pt idx="630">
                  <c:v>7.5953967673070721E-2</c:v>
                </c:pt>
                <c:pt idx="631">
                  <c:v>6.2550635330197224E-2</c:v>
                </c:pt>
                <c:pt idx="632">
                  <c:v>6.8199830883777679E-2</c:v>
                </c:pt>
                <c:pt idx="633">
                  <c:v>7.1156719508067567E-2</c:v>
                </c:pt>
                <c:pt idx="634">
                  <c:v>7.2712995923177814E-2</c:v>
                </c:pt>
                <c:pt idx="635">
                  <c:v>7.9525777399423347E-2</c:v>
                </c:pt>
                <c:pt idx="636">
                  <c:v>7.4192362228178155E-2</c:v>
                </c:pt>
                <c:pt idx="637">
                  <c:v>7.0576922665734898E-2</c:v>
                </c:pt>
                <c:pt idx="638">
                  <c:v>7.1412310533947476E-2</c:v>
                </c:pt>
                <c:pt idx="639">
                  <c:v>6.8582721898028609E-2</c:v>
                </c:pt>
                <c:pt idx="640">
                  <c:v>6.7433836160082805E-2</c:v>
                </c:pt>
                <c:pt idx="641">
                  <c:v>6.5736012732848792E-2</c:v>
                </c:pt>
                <c:pt idx="642">
                  <c:v>6.4210167826461273E-2</c:v>
                </c:pt>
                <c:pt idx="643">
                  <c:v>6.2735002738078194E-2</c:v>
                </c:pt>
                <c:pt idx="644">
                  <c:v>6.0518511475422088E-2</c:v>
                </c:pt>
                <c:pt idx="645">
                  <c:v>6.5434168546037341E-2</c:v>
                </c:pt>
                <c:pt idx="646">
                  <c:v>5.9349192780583593E-2</c:v>
                </c:pt>
                <c:pt idx="647">
                  <c:v>5.3542262171557553E-2</c:v>
                </c:pt>
                <c:pt idx="648">
                  <c:v>5.7713131857951794E-2</c:v>
                </c:pt>
                <c:pt idx="649">
                  <c:v>6.1839978905059212E-2</c:v>
                </c:pt>
                <c:pt idx="650">
                  <c:v>5.9724450723154021E-2</c:v>
                </c:pt>
                <c:pt idx="651">
                  <c:v>6.1082933897202096E-2</c:v>
                </c:pt>
                <c:pt idx="652">
                  <c:v>6.3552369858594915E-2</c:v>
                </c:pt>
                <c:pt idx="653">
                  <c:v>6.3034984732999177E-2</c:v>
                </c:pt>
                <c:pt idx="654">
                  <c:v>6.4052089593218398E-2</c:v>
                </c:pt>
                <c:pt idx="655">
                  <c:v>6.0778538253213554E-2</c:v>
                </c:pt>
                <c:pt idx="656">
                  <c:v>5.8814399108095827E-2</c:v>
                </c:pt>
                <c:pt idx="657">
                  <c:v>5.3853053649199012E-2</c:v>
                </c:pt>
                <c:pt idx="658">
                  <c:v>5.6626504592397708E-2</c:v>
                </c:pt>
                <c:pt idx="659">
                  <c:v>5.7832807540300735E-2</c:v>
                </c:pt>
                <c:pt idx="660">
                  <c:v>5.7636532422462139E-2</c:v>
                </c:pt>
                <c:pt idx="661">
                  <c:v>6.0742565220586187E-2</c:v>
                </c:pt>
                <c:pt idx="662">
                  <c:v>5.852256713978754E-2</c:v>
                </c:pt>
                <c:pt idx="663">
                  <c:v>5.7842435737553544E-2</c:v>
                </c:pt>
                <c:pt idx="664">
                  <c:v>5.4713868247048936E-2</c:v>
                </c:pt>
                <c:pt idx="665">
                  <c:v>5.3662227576856125E-2</c:v>
                </c:pt>
                <c:pt idx="666">
                  <c:v>5.3042380781958443E-2</c:v>
                </c:pt>
                <c:pt idx="667">
                  <c:v>5.5066326293166767E-2</c:v>
                </c:pt>
                <c:pt idx="668">
                  <c:v>5.6410381499935269E-2</c:v>
                </c:pt>
                <c:pt idx="669">
                  <c:v>5.325021344413905E-2</c:v>
                </c:pt>
                <c:pt idx="670">
                  <c:v>5.7006218857782898E-2</c:v>
                </c:pt>
                <c:pt idx="671">
                  <c:v>5.4799797640821879E-2</c:v>
                </c:pt>
                <c:pt idx="672">
                  <c:v>5.9032340489961754E-2</c:v>
                </c:pt>
                <c:pt idx="673">
                  <c:v>5.5376079644513965E-2</c:v>
                </c:pt>
                <c:pt idx="674">
                  <c:v>5.9275338604075856E-2</c:v>
                </c:pt>
                <c:pt idx="675">
                  <c:v>6.2548821580522329E-2</c:v>
                </c:pt>
                <c:pt idx="676">
                  <c:v>6.5474453724686299E-2</c:v>
                </c:pt>
                <c:pt idx="677">
                  <c:v>6.6736532887697209E-2</c:v>
                </c:pt>
                <c:pt idx="678">
                  <c:v>6.7364423514954197E-2</c:v>
                </c:pt>
                <c:pt idx="679">
                  <c:v>6.9894928932846767E-2</c:v>
                </c:pt>
                <c:pt idx="680">
                  <c:v>6.9743095041072678E-2</c:v>
                </c:pt>
                <c:pt idx="681">
                  <c:v>7.1812750433327466E-2</c:v>
                </c:pt>
                <c:pt idx="682">
                  <c:v>6.9908117002537296E-2</c:v>
                </c:pt>
                <c:pt idx="683">
                  <c:v>6.74587063065335E-2</c:v>
                </c:pt>
                <c:pt idx="684">
                  <c:v>6.2395300599561665E-2</c:v>
                </c:pt>
                <c:pt idx="685">
                  <c:v>6.1916369826450435E-2</c:v>
                </c:pt>
                <c:pt idx="686">
                  <c:v>6.206556272822894E-2</c:v>
                </c:pt>
                <c:pt idx="687">
                  <c:v>5.9979304976861769E-2</c:v>
                </c:pt>
                <c:pt idx="688">
                  <c:v>5.875677432796067E-2</c:v>
                </c:pt>
                <c:pt idx="689">
                  <c:v>5.5402560201743611E-2</c:v>
                </c:pt>
                <c:pt idx="690">
                  <c:v>5.5375458083650742E-2</c:v>
                </c:pt>
                <c:pt idx="691">
                  <c:v>5.296419001424546E-2</c:v>
                </c:pt>
                <c:pt idx="692">
                  <c:v>5.1441299785032868E-2</c:v>
                </c:pt>
                <c:pt idx="693">
                  <c:v>5.0020095356858363E-2</c:v>
                </c:pt>
                <c:pt idx="694">
                  <c:v>4.6541398152616154E-2</c:v>
                </c:pt>
                <c:pt idx="695">
                  <c:v>4.7338464479386388E-2</c:v>
                </c:pt>
                <c:pt idx="696">
                  <c:v>4.2614191918387334E-2</c:v>
                </c:pt>
                <c:pt idx="697">
                  <c:v>4.0471621117234235E-2</c:v>
                </c:pt>
                <c:pt idx="698">
                  <c:v>3.9552620929534044E-2</c:v>
                </c:pt>
                <c:pt idx="699">
                  <c:v>3.6663598540423337E-2</c:v>
                </c:pt>
                <c:pt idx="700">
                  <c:v>3.7021257066994551E-2</c:v>
                </c:pt>
                <c:pt idx="701">
                  <c:v>3.959080807054427E-2</c:v>
                </c:pt>
                <c:pt idx="702">
                  <c:v>3.7586170690719456E-2</c:v>
                </c:pt>
                <c:pt idx="703">
                  <c:v>3.668187633256359E-2</c:v>
                </c:pt>
                <c:pt idx="704">
                  <c:v>3.5579024612372834E-2</c:v>
                </c:pt>
                <c:pt idx="705">
                  <c:v>3.2348276542306209E-2</c:v>
                </c:pt>
                <c:pt idx="706">
                  <c:v>3.1186802742190878E-2</c:v>
                </c:pt>
                <c:pt idx="707">
                  <c:v>3.5617396320500205E-2</c:v>
                </c:pt>
                <c:pt idx="708">
                  <c:v>3.9278146602288899E-2</c:v>
                </c:pt>
                <c:pt idx="709">
                  <c:v>3.9153192740783993E-2</c:v>
                </c:pt>
                <c:pt idx="710">
                  <c:v>3.786821672300178E-2</c:v>
                </c:pt>
                <c:pt idx="711">
                  <c:v>3.8606491255672282E-2</c:v>
                </c:pt>
                <c:pt idx="712">
                  <c:v>4.1637825441998899E-2</c:v>
                </c:pt>
                <c:pt idx="713">
                  <c:v>4.560838917611143E-2</c:v>
                </c:pt>
                <c:pt idx="714">
                  <c:v>4.8428881845591576E-2</c:v>
                </c:pt>
                <c:pt idx="715">
                  <c:v>5.0529256565754466E-2</c:v>
                </c:pt>
                <c:pt idx="716">
                  <c:v>5.4403128415085433E-2</c:v>
                </c:pt>
                <c:pt idx="717">
                  <c:v>6.2614871861430998E-2</c:v>
                </c:pt>
                <c:pt idx="718">
                  <c:v>6.8344012374751628E-2</c:v>
                </c:pt>
                <c:pt idx="719">
                  <c:v>6.4628640585082664E-2</c:v>
                </c:pt>
                <c:pt idx="720">
                  <c:v>6.4691972958552668E-2</c:v>
                </c:pt>
                <c:pt idx="721">
                  <c:v>6.5463849060739321E-2</c:v>
                </c:pt>
                <c:pt idx="722">
                  <c:v>9.628986013585461E-2</c:v>
                </c:pt>
                <c:pt idx="723">
                  <c:v>0.15598153815057358</c:v>
                </c:pt>
                <c:pt idx="724">
                  <c:v>0.19806420511597445</c:v>
                </c:pt>
                <c:pt idx="725">
                  <c:v>0.20598718186928799</c:v>
                </c:pt>
                <c:pt idx="726">
                  <c:v>0.2087235773084668</c:v>
                </c:pt>
                <c:pt idx="727">
                  <c:v>0.20716533625563116</c:v>
                </c:pt>
                <c:pt idx="728">
                  <c:v>0.21332311967961637</c:v>
                </c:pt>
                <c:pt idx="729">
                  <c:v>0.21254950809321471</c:v>
                </c:pt>
                <c:pt idx="730">
                  <c:v>0.21754459598947484</c:v>
                </c:pt>
                <c:pt idx="731">
                  <c:v>0.22079911122227003</c:v>
                </c:pt>
                <c:pt idx="732">
                  <c:v>0.22818912121279133</c:v>
                </c:pt>
                <c:pt idx="733">
                  <c:v>0.23701372406663346</c:v>
                </c:pt>
                <c:pt idx="734">
                  <c:v>0.21543568608636932</c:v>
                </c:pt>
                <c:pt idx="735">
                  <c:v>0.1697069246543137</c:v>
                </c:pt>
                <c:pt idx="736">
                  <c:v>0.1349260075943608</c:v>
                </c:pt>
                <c:pt idx="737">
                  <c:v>0.12083804154849354</c:v>
                </c:pt>
                <c:pt idx="738">
                  <c:v>0.11996421113371802</c:v>
                </c:pt>
                <c:pt idx="739">
                  <c:v>0.12621029212949963</c:v>
                </c:pt>
                <c:pt idx="740">
                  <c:v>0.12018866084313551</c:v>
                </c:pt>
                <c:pt idx="741">
                  <c:v>0.12061792364302448</c:v>
                </c:pt>
                <c:pt idx="742">
                  <c:v>0.11737447486614627</c:v>
                </c:pt>
                <c:pt idx="743">
                  <c:v>0.11852922687356404</c:v>
                </c:pt>
                <c:pt idx="744">
                  <c:v>0.10948335114399299</c:v>
                </c:pt>
                <c:pt idx="745">
                  <c:v>9.9897199167235939E-2</c:v>
                </c:pt>
                <c:pt idx="746">
                  <c:v>9.2628347131171296E-2</c:v>
                </c:pt>
                <c:pt idx="747">
                  <c:v>7.6366621502005572E-2</c:v>
                </c:pt>
                <c:pt idx="748">
                  <c:v>5.993132377982846E-2</c:v>
                </c:pt>
                <c:pt idx="749">
                  <c:v>5.5912100687889321E-2</c:v>
                </c:pt>
                <c:pt idx="750">
                  <c:v>4.818299280824867E-2</c:v>
                </c:pt>
                <c:pt idx="751">
                  <c:v>3.6904696050072516E-2</c:v>
                </c:pt>
                <c:pt idx="752">
                  <c:v>2.6982119078551747E-2</c:v>
                </c:pt>
                <c:pt idx="753">
                  <c:v>1.5266182413681051E-2</c:v>
                </c:pt>
                <c:pt idx="754">
                  <c:v>3.9648319843195168E-3</c:v>
                </c:pt>
                <c:pt idx="755">
                  <c:v>-8.9325935341229012E-3</c:v>
                </c:pt>
                <c:pt idx="756">
                  <c:v>-1.5693948123352897E-2</c:v>
                </c:pt>
                <c:pt idx="757">
                  <c:v>-2.1700636901448078E-2</c:v>
                </c:pt>
                <c:pt idx="758">
                  <c:v>-3.8391809382078534E-2</c:v>
                </c:pt>
                <c:pt idx="759">
                  <c:v>-4.6038949310897692E-2</c:v>
                </c:pt>
                <c:pt idx="760">
                  <c:v>-4.0161809471646492E-2</c:v>
                </c:pt>
                <c:pt idx="761">
                  <c:v>-3.910026073978301E-2</c:v>
                </c:pt>
                <c:pt idx="762">
                  <c:v>-4.0065684928434209E-2</c:v>
                </c:pt>
                <c:pt idx="763">
                  <c:v>-4.0318128081406002E-2</c:v>
                </c:pt>
                <c:pt idx="764">
                  <c:v>-3.9258041314903735E-2</c:v>
                </c:pt>
                <c:pt idx="765">
                  <c:v>-3.7066140293010363E-2</c:v>
                </c:pt>
                <c:pt idx="766">
                  <c:v>-3.3340775309449455E-2</c:v>
                </c:pt>
                <c:pt idx="767">
                  <c:v>-2.6510607240679107E-2</c:v>
                </c:pt>
                <c:pt idx="768">
                  <c:v>-2.2481422923661398E-2</c:v>
                </c:pt>
                <c:pt idx="769">
                  <c:v>-1.9420774317602252E-2</c:v>
                </c:pt>
                <c:pt idx="770">
                  <c:v>-3.2104602237588153E-3</c:v>
                </c:pt>
                <c:pt idx="771">
                  <c:v>5.6049216106348609E-3</c:v>
                </c:pt>
                <c:pt idx="772">
                  <c:v>5.470339635543553E-3</c:v>
                </c:pt>
                <c:pt idx="773">
                  <c:v>9.7742677408874101E-3</c:v>
                </c:pt>
                <c:pt idx="774">
                  <c:v>-4.3232837488424991E-3</c:v>
                </c:pt>
                <c:pt idx="775">
                  <c:v>-6.2143968856531728E-4</c:v>
                </c:pt>
                <c:pt idx="776">
                  <c:v>1.9922295192316142E-3</c:v>
                </c:pt>
                <c:pt idx="777">
                  <c:v>2.5872361430376856E-3</c:v>
                </c:pt>
                <c:pt idx="778">
                  <c:v>6.3795532104045094E-3</c:v>
                </c:pt>
                <c:pt idx="779">
                  <c:v>5.2723650428312396E-3</c:v>
                </c:pt>
                <c:pt idx="780">
                  <c:v>9.6157123309055237E-3</c:v>
                </c:pt>
                <c:pt idx="781">
                  <c:v>1.3445709475799816E-2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3-496E-84D3-0BA557453377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Δp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Sheet1!$R$2:$R$920</c:f>
              <c:numCache>
                <c:formatCode>General</c:formatCode>
                <c:ptCount val="919"/>
                <c:pt idx="0">
                  <c:v>0</c:v>
                </c:pt>
                <c:pt idx="1">
                  <c:v>7.3033195544205398E-3</c:v>
                </c:pt>
                <c:pt idx="2">
                  <c:v>1.2708240558345097E-2</c:v>
                </c:pt>
                <c:pt idx="3">
                  <c:v>1.694460471046863E-2</c:v>
                </c:pt>
                <c:pt idx="4">
                  <c:v>1.942358063225489E-2</c:v>
                </c:pt>
                <c:pt idx="5">
                  <c:v>2.1038875750896566E-2</c:v>
                </c:pt>
                <c:pt idx="6">
                  <c:v>2.2771800992117605E-2</c:v>
                </c:pt>
                <c:pt idx="7">
                  <c:v>2.5179854434445828E-2</c:v>
                </c:pt>
                <c:pt idx="8">
                  <c:v>2.7879106426036339E-2</c:v>
                </c:pt>
                <c:pt idx="9">
                  <c:v>3.0885459878203153E-2</c:v>
                </c:pt>
                <c:pt idx="10">
                  <c:v>3.3788874821791763E-2</c:v>
                </c:pt>
                <c:pt idx="11">
                  <c:v>3.6603559400557852E-2</c:v>
                </c:pt>
                <c:pt idx="12">
                  <c:v>3.9672248363238821E-2</c:v>
                </c:pt>
                <c:pt idx="13">
                  <c:v>4.3515473341516245E-2</c:v>
                </c:pt>
                <c:pt idx="14">
                  <c:v>4.712196255909179E-2</c:v>
                </c:pt>
                <c:pt idx="15">
                  <c:v>5.0476108949103753E-2</c:v>
                </c:pt>
                <c:pt idx="16">
                  <c:v>5.4059784580657889E-2</c:v>
                </c:pt>
                <c:pt idx="17">
                  <c:v>5.7297649970098188E-2</c:v>
                </c:pt>
                <c:pt idx="18">
                  <c:v>5.9500727865091689E-2</c:v>
                </c:pt>
                <c:pt idx="19">
                  <c:v>6.0654860362718256E-2</c:v>
                </c:pt>
                <c:pt idx="20">
                  <c:v>6.1759630740852139E-2</c:v>
                </c:pt>
                <c:pt idx="21">
                  <c:v>6.2900175078391768E-2</c:v>
                </c:pt>
                <c:pt idx="22">
                  <c:v>6.4294470713110591E-2</c:v>
                </c:pt>
                <c:pt idx="23">
                  <c:v>6.5703084259729594E-2</c:v>
                </c:pt>
                <c:pt idx="24">
                  <c:v>6.6933288161380403E-2</c:v>
                </c:pt>
                <c:pt idx="25">
                  <c:v>6.7929920614888104E-2</c:v>
                </c:pt>
                <c:pt idx="26">
                  <c:v>6.9349459607181974E-2</c:v>
                </c:pt>
                <c:pt idx="27">
                  <c:v>7.0876406936196013E-2</c:v>
                </c:pt>
                <c:pt idx="28">
                  <c:v>7.1819564401351427E-2</c:v>
                </c:pt>
                <c:pt idx="29">
                  <c:v>7.2308079220983951E-2</c:v>
                </c:pt>
                <c:pt idx="30">
                  <c:v>7.2755788650715747E-2</c:v>
                </c:pt>
                <c:pt idx="31">
                  <c:v>7.3026225351316934E-2</c:v>
                </c:pt>
                <c:pt idx="32">
                  <c:v>7.3272921423031392E-2</c:v>
                </c:pt>
                <c:pt idx="33">
                  <c:v>7.3793418028253607E-2</c:v>
                </c:pt>
                <c:pt idx="34">
                  <c:v>7.4275804662550779E-2</c:v>
                </c:pt>
                <c:pt idx="35">
                  <c:v>7.5011461705464647E-2</c:v>
                </c:pt>
                <c:pt idx="36">
                  <c:v>7.5785097046017352E-2</c:v>
                </c:pt>
                <c:pt idx="37">
                  <c:v>7.6342371656329622E-2</c:v>
                </c:pt>
                <c:pt idx="38">
                  <c:v>7.6548129383520097E-2</c:v>
                </c:pt>
                <c:pt idx="39">
                  <c:v>7.67164520493787E-2</c:v>
                </c:pt>
                <c:pt idx="40">
                  <c:v>7.7191241733791841E-2</c:v>
                </c:pt>
                <c:pt idx="41">
                  <c:v>7.7757130460020821E-2</c:v>
                </c:pt>
                <c:pt idx="42">
                  <c:v>7.877481384437407E-2</c:v>
                </c:pt>
                <c:pt idx="43">
                  <c:v>7.9759654850828643E-2</c:v>
                </c:pt>
                <c:pt idx="44">
                  <c:v>8.0607985843138871E-2</c:v>
                </c:pt>
                <c:pt idx="45">
                  <c:v>8.118286622156666E-2</c:v>
                </c:pt>
                <c:pt idx="46">
                  <c:v>8.1833731760138223E-2</c:v>
                </c:pt>
                <c:pt idx="47">
                  <c:v>8.1615453804941493E-2</c:v>
                </c:pt>
                <c:pt idx="48">
                  <c:v>8.1081726474533253E-2</c:v>
                </c:pt>
                <c:pt idx="49">
                  <c:v>8.0392443713964659E-2</c:v>
                </c:pt>
                <c:pt idx="50">
                  <c:v>7.9428217353094521E-2</c:v>
                </c:pt>
                <c:pt idx="51">
                  <c:v>7.8207204971415228E-2</c:v>
                </c:pt>
                <c:pt idx="52">
                  <c:v>7.6976711875778134E-2</c:v>
                </c:pt>
                <c:pt idx="53">
                  <c:v>7.6202773166864635E-2</c:v>
                </c:pt>
                <c:pt idx="54">
                  <c:v>7.5630063437131412E-2</c:v>
                </c:pt>
                <c:pt idx="55">
                  <c:v>7.5467111597382092E-2</c:v>
                </c:pt>
                <c:pt idx="56">
                  <c:v>7.577549236228967E-2</c:v>
                </c:pt>
                <c:pt idx="57">
                  <c:v>7.5886657528512647E-2</c:v>
                </c:pt>
                <c:pt idx="58">
                  <c:v>7.5713285743841049E-2</c:v>
                </c:pt>
                <c:pt idx="59">
                  <c:v>7.5983558404315685E-2</c:v>
                </c:pt>
                <c:pt idx="60">
                  <c:v>7.649931122407283E-2</c:v>
                </c:pt>
                <c:pt idx="61">
                  <c:v>7.7053155792289385E-2</c:v>
                </c:pt>
                <c:pt idx="62">
                  <c:v>7.7689543245938533E-2</c:v>
                </c:pt>
                <c:pt idx="63">
                  <c:v>7.8263556083792984E-2</c:v>
                </c:pt>
                <c:pt idx="64">
                  <c:v>7.8261284246984003E-2</c:v>
                </c:pt>
                <c:pt idx="65">
                  <c:v>7.8197651059209686E-2</c:v>
                </c:pt>
                <c:pt idx="66">
                  <c:v>7.7946716553595696E-2</c:v>
                </c:pt>
                <c:pt idx="67">
                  <c:v>7.7448327983696608E-2</c:v>
                </c:pt>
                <c:pt idx="68">
                  <c:v>7.701655619194199E-2</c:v>
                </c:pt>
                <c:pt idx="69">
                  <c:v>7.6993080607235781E-2</c:v>
                </c:pt>
                <c:pt idx="70">
                  <c:v>7.696034133255357E-2</c:v>
                </c:pt>
                <c:pt idx="71">
                  <c:v>7.7188834603268933E-2</c:v>
                </c:pt>
                <c:pt idx="72">
                  <c:v>7.727318822360002E-2</c:v>
                </c:pt>
                <c:pt idx="73">
                  <c:v>7.7110912876626803E-2</c:v>
                </c:pt>
                <c:pt idx="74">
                  <c:v>7.6800313578737803E-2</c:v>
                </c:pt>
                <c:pt idx="75">
                  <c:v>7.6435665662975272E-2</c:v>
                </c:pt>
                <c:pt idx="76">
                  <c:v>7.5705219762543408E-2</c:v>
                </c:pt>
                <c:pt idx="77">
                  <c:v>7.4220307514100983E-2</c:v>
                </c:pt>
                <c:pt idx="78">
                  <c:v>7.163659527535203E-2</c:v>
                </c:pt>
                <c:pt idx="79">
                  <c:v>6.8985064980489244E-2</c:v>
                </c:pt>
                <c:pt idx="80">
                  <c:v>6.6392192187275254E-2</c:v>
                </c:pt>
                <c:pt idx="81">
                  <c:v>6.3069487797580065E-2</c:v>
                </c:pt>
                <c:pt idx="82">
                  <c:v>5.9717695386467012E-2</c:v>
                </c:pt>
                <c:pt idx="83">
                  <c:v>5.6717524065532925E-2</c:v>
                </c:pt>
                <c:pt idx="84">
                  <c:v>5.3683819835000791E-2</c:v>
                </c:pt>
                <c:pt idx="85">
                  <c:v>5.1582702850972953E-2</c:v>
                </c:pt>
                <c:pt idx="86">
                  <c:v>5.0673267719629322E-2</c:v>
                </c:pt>
                <c:pt idx="87">
                  <c:v>5.002655919001562E-2</c:v>
                </c:pt>
                <c:pt idx="88">
                  <c:v>5.1230631673306708E-2</c:v>
                </c:pt>
                <c:pt idx="89">
                  <c:v>5.3648002809515739E-2</c:v>
                </c:pt>
                <c:pt idx="90">
                  <c:v>5.7415126592883503E-2</c:v>
                </c:pt>
                <c:pt idx="91">
                  <c:v>6.147785315542223E-2</c:v>
                </c:pt>
                <c:pt idx="92">
                  <c:v>6.5067812870860928E-2</c:v>
                </c:pt>
                <c:pt idx="93">
                  <c:v>6.9169023234643315E-2</c:v>
                </c:pt>
                <c:pt idx="94">
                  <c:v>7.2932942835482531E-2</c:v>
                </c:pt>
                <c:pt idx="95">
                  <c:v>7.610926503693137E-2</c:v>
                </c:pt>
                <c:pt idx="96">
                  <c:v>7.9056488014460066E-2</c:v>
                </c:pt>
                <c:pt idx="97">
                  <c:v>8.1100467135664378E-2</c:v>
                </c:pt>
                <c:pt idx="98">
                  <c:v>8.1901099627787854E-2</c:v>
                </c:pt>
                <c:pt idx="99">
                  <c:v>8.2499350705226612E-2</c:v>
                </c:pt>
                <c:pt idx="100">
                  <c:v>8.2107013624760056E-2</c:v>
                </c:pt>
                <c:pt idx="101">
                  <c:v>8.1240067006428704E-2</c:v>
                </c:pt>
                <c:pt idx="102">
                  <c:v>7.9943399115820671E-2</c:v>
                </c:pt>
                <c:pt idx="103">
                  <c:v>7.8524449193214357E-2</c:v>
                </c:pt>
                <c:pt idx="104">
                  <c:v>7.7391198883521639E-2</c:v>
                </c:pt>
                <c:pt idx="105">
                  <c:v>7.6569077370478314E-2</c:v>
                </c:pt>
                <c:pt idx="106">
                  <c:v>7.6471160945535743E-2</c:v>
                </c:pt>
                <c:pt idx="107">
                  <c:v>7.6574782793757915E-2</c:v>
                </c:pt>
                <c:pt idx="108">
                  <c:v>7.6549478642576399E-2</c:v>
                </c:pt>
                <c:pt idx="109">
                  <c:v>7.630612532398473E-2</c:v>
                </c:pt>
                <c:pt idx="110">
                  <c:v>7.5930786145079851E-2</c:v>
                </c:pt>
                <c:pt idx="111">
                  <c:v>7.5147106675033729E-2</c:v>
                </c:pt>
                <c:pt idx="112">
                  <c:v>7.360674829395962E-2</c:v>
                </c:pt>
                <c:pt idx="113">
                  <c:v>7.1698627916947547E-2</c:v>
                </c:pt>
                <c:pt idx="114">
                  <c:v>6.9414813583668786E-2</c:v>
                </c:pt>
                <c:pt idx="115">
                  <c:v>6.6406596629104087E-2</c:v>
                </c:pt>
                <c:pt idx="116">
                  <c:v>6.3165247298129404E-2</c:v>
                </c:pt>
                <c:pt idx="117">
                  <c:v>5.9578437435964915E-2</c:v>
                </c:pt>
                <c:pt idx="118">
                  <c:v>5.5679156701037874E-2</c:v>
                </c:pt>
                <c:pt idx="119">
                  <c:v>5.1853396879166881E-2</c:v>
                </c:pt>
                <c:pt idx="120">
                  <c:v>4.8490078486951305E-2</c:v>
                </c:pt>
                <c:pt idx="121">
                  <c:v>4.3765553399340719E-2</c:v>
                </c:pt>
                <c:pt idx="122">
                  <c:v>3.9454391678364335E-2</c:v>
                </c:pt>
                <c:pt idx="123">
                  <c:v>3.5927572751795367E-2</c:v>
                </c:pt>
                <c:pt idx="124">
                  <c:v>3.3879326943301889E-2</c:v>
                </c:pt>
                <c:pt idx="125">
                  <c:v>3.279524893167185E-2</c:v>
                </c:pt>
                <c:pt idx="126">
                  <c:v>3.2888772407352107E-2</c:v>
                </c:pt>
                <c:pt idx="127">
                  <c:v>3.4683548454051659E-2</c:v>
                </c:pt>
                <c:pt idx="128">
                  <c:v>3.7503235478165566E-2</c:v>
                </c:pt>
                <c:pt idx="129">
                  <c:v>4.1007197585000203E-2</c:v>
                </c:pt>
                <c:pt idx="130">
                  <c:v>4.4645103129494504E-2</c:v>
                </c:pt>
                <c:pt idx="131">
                  <c:v>4.8434464289178442E-2</c:v>
                </c:pt>
                <c:pt idx="132">
                  <c:v>5.2921189612569468E-2</c:v>
                </c:pt>
                <c:pt idx="133">
                  <c:v>6.0176522280155714E-2</c:v>
                </c:pt>
                <c:pt idx="134">
                  <c:v>6.8397766298490481E-2</c:v>
                </c:pt>
                <c:pt idx="135">
                  <c:v>7.7199345165907832E-2</c:v>
                </c:pt>
                <c:pt idx="136">
                  <c:v>8.5695173373840569E-2</c:v>
                </c:pt>
                <c:pt idx="137">
                  <c:v>9.3125707924241755E-2</c:v>
                </c:pt>
                <c:pt idx="138">
                  <c:v>9.9715738480972871E-2</c:v>
                </c:pt>
                <c:pt idx="139">
                  <c:v>0.10478965956267849</c:v>
                </c:pt>
                <c:pt idx="140">
                  <c:v>0.10880852769197916</c:v>
                </c:pt>
                <c:pt idx="141">
                  <c:v>0.11202600236946979</c:v>
                </c:pt>
                <c:pt idx="142">
                  <c:v>0.11484843516395174</c:v>
                </c:pt>
                <c:pt idx="143">
                  <c:v>0.11698647646468992</c:v>
                </c:pt>
                <c:pt idx="144">
                  <c:v>0.11873702570270482</c:v>
                </c:pt>
                <c:pt idx="145">
                  <c:v>0.11981107043484834</c:v>
                </c:pt>
                <c:pt idx="146">
                  <c:v>0.1200506748844255</c:v>
                </c:pt>
                <c:pt idx="147">
                  <c:v>0.11897514667269676</c:v>
                </c:pt>
                <c:pt idx="148">
                  <c:v>0.11693202975960411</c:v>
                </c:pt>
                <c:pt idx="149">
                  <c:v>0.11513118318054083</c:v>
                </c:pt>
                <c:pt idx="150">
                  <c:v>0.11433613299204276</c:v>
                </c:pt>
                <c:pt idx="151">
                  <c:v>0.11437936186417802</c:v>
                </c:pt>
                <c:pt idx="152">
                  <c:v>0.11486425267211225</c:v>
                </c:pt>
                <c:pt idx="153">
                  <c:v>0.11575323634079915</c:v>
                </c:pt>
                <c:pt idx="154">
                  <c:v>0.11646803763742533</c:v>
                </c:pt>
                <c:pt idx="155">
                  <c:v>0.11753346746110936</c:v>
                </c:pt>
                <c:pt idx="156">
                  <c:v>0.1182973529750182</c:v>
                </c:pt>
                <c:pt idx="157">
                  <c:v>0.11762718283918261</c:v>
                </c:pt>
                <c:pt idx="158">
                  <c:v>0.11524745548851173</c:v>
                </c:pt>
                <c:pt idx="159">
                  <c:v>0.11308851168487806</c:v>
                </c:pt>
                <c:pt idx="160">
                  <c:v>0.11176342856317519</c:v>
                </c:pt>
                <c:pt idx="161">
                  <c:v>0.11055486182636898</c:v>
                </c:pt>
                <c:pt idx="162">
                  <c:v>0.10775712913930563</c:v>
                </c:pt>
                <c:pt idx="163">
                  <c:v>0.10366000784598058</c:v>
                </c:pt>
                <c:pt idx="164">
                  <c:v>9.8019237701472417E-2</c:v>
                </c:pt>
                <c:pt idx="165">
                  <c:v>9.2093624961973583E-2</c:v>
                </c:pt>
                <c:pt idx="166">
                  <c:v>8.7071676972149709E-2</c:v>
                </c:pt>
                <c:pt idx="167">
                  <c:v>8.2498039692247366E-2</c:v>
                </c:pt>
                <c:pt idx="168">
                  <c:v>7.7834220096541895E-2</c:v>
                </c:pt>
                <c:pt idx="169">
                  <c:v>7.4211579060813909E-2</c:v>
                </c:pt>
                <c:pt idx="170">
                  <c:v>7.2379664029273982E-2</c:v>
                </c:pt>
                <c:pt idx="171">
                  <c:v>7.0480247639882879E-2</c:v>
                </c:pt>
                <c:pt idx="172">
                  <c:v>6.7624960346147844E-2</c:v>
                </c:pt>
                <c:pt idx="173">
                  <c:v>6.4504979450112646E-2</c:v>
                </c:pt>
                <c:pt idx="174">
                  <c:v>6.206098995629148E-2</c:v>
                </c:pt>
                <c:pt idx="175">
                  <c:v>6.0168367841831841E-2</c:v>
                </c:pt>
                <c:pt idx="176">
                  <c:v>5.9392876863365279E-2</c:v>
                </c:pt>
                <c:pt idx="177">
                  <c:v>5.9200325723267611E-2</c:v>
                </c:pt>
                <c:pt idx="178">
                  <c:v>5.8739581157041698E-2</c:v>
                </c:pt>
                <c:pt idx="179">
                  <c:v>5.7599521991702575E-2</c:v>
                </c:pt>
                <c:pt idx="180">
                  <c:v>5.6636994769429454E-2</c:v>
                </c:pt>
                <c:pt idx="181">
                  <c:v>5.6536746047931533E-2</c:v>
                </c:pt>
                <c:pt idx="182">
                  <c:v>5.7466514826434438E-2</c:v>
                </c:pt>
                <c:pt idx="183">
                  <c:v>5.9739706601167342E-2</c:v>
                </c:pt>
                <c:pt idx="184">
                  <c:v>6.3888239776969155E-2</c:v>
                </c:pt>
                <c:pt idx="185">
                  <c:v>6.9637518730373674E-2</c:v>
                </c:pt>
                <c:pt idx="186">
                  <c:v>7.5915710470935954E-2</c:v>
                </c:pt>
                <c:pt idx="187">
                  <c:v>8.1960701568973005E-2</c:v>
                </c:pt>
                <c:pt idx="188">
                  <c:v>8.7640526039492531E-2</c:v>
                </c:pt>
                <c:pt idx="189">
                  <c:v>9.2238497775422701E-2</c:v>
                </c:pt>
                <c:pt idx="190">
                  <c:v>9.6549515477440201E-2</c:v>
                </c:pt>
                <c:pt idx="191">
                  <c:v>0.10105962848135981</c:v>
                </c:pt>
                <c:pt idx="192">
                  <c:v>0.10577515739818111</c:v>
                </c:pt>
                <c:pt idx="193">
                  <c:v>0.11048501340195999</c:v>
                </c:pt>
                <c:pt idx="194">
                  <c:v>0.11373835184939694</c:v>
                </c:pt>
                <c:pt idx="195">
                  <c:v>0.11621571027755701</c:v>
                </c:pt>
                <c:pt idx="196">
                  <c:v>0.11759769010268535</c:v>
                </c:pt>
                <c:pt idx="197">
                  <c:v>0.11656579474175395</c:v>
                </c:pt>
                <c:pt idx="198">
                  <c:v>0.11485117091312916</c:v>
                </c:pt>
                <c:pt idx="199">
                  <c:v>0.11411535619729457</c:v>
                </c:pt>
                <c:pt idx="200">
                  <c:v>0.11401564645239476</c:v>
                </c:pt>
                <c:pt idx="201">
                  <c:v>0.11520960900423277</c:v>
                </c:pt>
                <c:pt idx="202">
                  <c:v>0.11668203985287739</c:v>
                </c:pt>
                <c:pt idx="203">
                  <c:v>0.11843150830154309</c:v>
                </c:pt>
                <c:pt idx="204">
                  <c:v>0.12007328163305005</c:v>
                </c:pt>
                <c:pt idx="205">
                  <c:v>0.12085249248599227</c:v>
                </c:pt>
                <c:pt idx="206">
                  <c:v>0.12146236271853006</c:v>
                </c:pt>
                <c:pt idx="207">
                  <c:v>0.12176285566347503</c:v>
                </c:pt>
                <c:pt idx="208">
                  <c:v>0.12144513048130001</c:v>
                </c:pt>
                <c:pt idx="209">
                  <c:v>0.12161802560070356</c:v>
                </c:pt>
                <c:pt idx="210">
                  <c:v>0.12160446260036295</c:v>
                </c:pt>
                <c:pt idx="211">
                  <c:v>0.1209958562174208</c:v>
                </c:pt>
                <c:pt idx="212">
                  <c:v>0.11980037390943253</c:v>
                </c:pt>
                <c:pt idx="213">
                  <c:v>0.11755138043841527</c:v>
                </c:pt>
                <c:pt idx="214">
                  <c:v>0.11475442513524997</c:v>
                </c:pt>
                <c:pt idx="215">
                  <c:v>0.11135424626291553</c:v>
                </c:pt>
                <c:pt idx="216">
                  <c:v>0.10782998288198656</c:v>
                </c:pt>
                <c:pt idx="217">
                  <c:v>0.10379784205185559</c:v>
                </c:pt>
                <c:pt idx="218">
                  <c:v>9.9769110506247927E-2</c:v>
                </c:pt>
                <c:pt idx="219">
                  <c:v>9.5952036715977587E-2</c:v>
                </c:pt>
                <c:pt idx="220">
                  <c:v>9.2884663802515643E-2</c:v>
                </c:pt>
                <c:pt idx="221">
                  <c:v>9.0197485965786237E-2</c:v>
                </c:pt>
                <c:pt idx="222">
                  <c:v>8.743905803403039E-2</c:v>
                </c:pt>
                <c:pt idx="223">
                  <c:v>8.4974840673140761E-2</c:v>
                </c:pt>
                <c:pt idx="224">
                  <c:v>8.3238890923676229E-2</c:v>
                </c:pt>
                <c:pt idx="225">
                  <c:v>8.1684793596230071E-2</c:v>
                </c:pt>
                <c:pt idx="226">
                  <c:v>8.0109443850921738E-2</c:v>
                </c:pt>
                <c:pt idx="227">
                  <c:v>7.8614288701001567E-2</c:v>
                </c:pt>
                <c:pt idx="228">
                  <c:v>7.6761884189843962E-2</c:v>
                </c:pt>
                <c:pt idx="229">
                  <c:v>7.5277562642505569E-2</c:v>
                </c:pt>
                <c:pt idx="230">
                  <c:v>7.4496763582281744E-2</c:v>
                </c:pt>
                <c:pt idx="231">
                  <c:v>7.4657251525292165E-2</c:v>
                </c:pt>
                <c:pt idx="232">
                  <c:v>7.4390360124530028E-2</c:v>
                </c:pt>
                <c:pt idx="233">
                  <c:v>7.4766806558926646E-2</c:v>
                </c:pt>
                <c:pt idx="234">
                  <c:v>7.5871941909624499E-2</c:v>
                </c:pt>
                <c:pt idx="235">
                  <c:v>7.6979335686321815E-2</c:v>
                </c:pt>
                <c:pt idx="236">
                  <c:v>7.718209644575752E-2</c:v>
                </c:pt>
                <c:pt idx="237">
                  <c:v>7.7126382017039682E-2</c:v>
                </c:pt>
                <c:pt idx="238">
                  <c:v>7.6830440080568968E-2</c:v>
                </c:pt>
                <c:pt idx="239">
                  <c:v>7.6642248882151168E-2</c:v>
                </c:pt>
                <c:pt idx="240">
                  <c:v>7.6891160792764174E-2</c:v>
                </c:pt>
                <c:pt idx="241">
                  <c:v>7.7787046301629914E-2</c:v>
                </c:pt>
                <c:pt idx="242">
                  <c:v>7.7752038321671796E-2</c:v>
                </c:pt>
                <c:pt idx="243">
                  <c:v>7.5993548162302471E-2</c:v>
                </c:pt>
                <c:pt idx="244">
                  <c:v>7.4774865024193102E-2</c:v>
                </c:pt>
                <c:pt idx="245">
                  <c:v>7.4215372765835494E-2</c:v>
                </c:pt>
                <c:pt idx="246">
                  <c:v>7.4236701395476959E-2</c:v>
                </c:pt>
                <c:pt idx="247">
                  <c:v>7.4675545577972E-2</c:v>
                </c:pt>
                <c:pt idx="248">
                  <c:v>7.558703595395927E-2</c:v>
                </c:pt>
                <c:pt idx="249">
                  <c:v>7.6819197883739324E-2</c:v>
                </c:pt>
                <c:pt idx="250">
                  <c:v>7.8436516222630107E-2</c:v>
                </c:pt>
                <c:pt idx="251">
                  <c:v>7.9169688217204742E-2</c:v>
                </c:pt>
                <c:pt idx="252">
                  <c:v>7.942417197850915E-2</c:v>
                </c:pt>
                <c:pt idx="253">
                  <c:v>7.9492286671552392E-2</c:v>
                </c:pt>
                <c:pt idx="254">
                  <c:v>8.1051659982440336E-2</c:v>
                </c:pt>
                <c:pt idx="255">
                  <c:v>8.4722299630622902E-2</c:v>
                </c:pt>
                <c:pt idx="256">
                  <c:v>8.6920411046425283E-2</c:v>
                </c:pt>
                <c:pt idx="257">
                  <c:v>8.7188034471869014E-2</c:v>
                </c:pt>
                <c:pt idx="258">
                  <c:v>8.6665752409738422E-2</c:v>
                </c:pt>
                <c:pt idx="259">
                  <c:v>8.5657157615975879E-2</c:v>
                </c:pt>
                <c:pt idx="260">
                  <c:v>8.4631985907635973E-2</c:v>
                </c:pt>
                <c:pt idx="261">
                  <c:v>8.428799649401171E-2</c:v>
                </c:pt>
                <c:pt idx="262">
                  <c:v>8.428360526995321E-2</c:v>
                </c:pt>
                <c:pt idx="263">
                  <c:v>8.6001903254715739E-2</c:v>
                </c:pt>
                <c:pt idx="264">
                  <c:v>8.8181253141598859E-2</c:v>
                </c:pt>
                <c:pt idx="265">
                  <c:v>8.8924069542606787E-2</c:v>
                </c:pt>
                <c:pt idx="266">
                  <c:v>8.8666751508122144E-2</c:v>
                </c:pt>
                <c:pt idx="267">
                  <c:v>8.7656487054171353E-2</c:v>
                </c:pt>
                <c:pt idx="268">
                  <c:v>8.7517449968576244E-2</c:v>
                </c:pt>
                <c:pt idx="269">
                  <c:v>8.7838866206663369E-2</c:v>
                </c:pt>
                <c:pt idx="270">
                  <c:v>8.7313332262426976E-2</c:v>
                </c:pt>
                <c:pt idx="271">
                  <c:v>8.6914265113863118E-2</c:v>
                </c:pt>
                <c:pt idx="272">
                  <c:v>8.6644302772005952E-2</c:v>
                </c:pt>
                <c:pt idx="273">
                  <c:v>8.5796989207079843E-2</c:v>
                </c:pt>
                <c:pt idx="274">
                  <c:v>8.4956933273718255E-2</c:v>
                </c:pt>
                <c:pt idx="275">
                  <c:v>8.4405670885396245E-2</c:v>
                </c:pt>
                <c:pt idx="276">
                  <c:v>8.781109554305716E-2</c:v>
                </c:pt>
                <c:pt idx="277">
                  <c:v>9.3854317652157002E-2</c:v>
                </c:pt>
                <c:pt idx="278">
                  <c:v>9.9175463636713354E-2</c:v>
                </c:pt>
                <c:pt idx="279">
                  <c:v>0.10281935335502368</c:v>
                </c:pt>
                <c:pt idx="280">
                  <c:v>0.10588796931466647</c:v>
                </c:pt>
                <c:pt idx="281">
                  <c:v>0.10819394990007325</c:v>
                </c:pt>
                <c:pt idx="282">
                  <c:v>0.11053477315716549</c:v>
                </c:pt>
                <c:pt idx="283">
                  <c:v>0.11180610594689355</c:v>
                </c:pt>
                <c:pt idx="284">
                  <c:v>0.1122827388691249</c:v>
                </c:pt>
                <c:pt idx="285">
                  <c:v>0.11298185701100821</c:v>
                </c:pt>
                <c:pt idx="286">
                  <c:v>0.11329338028981156</c:v>
                </c:pt>
                <c:pt idx="287">
                  <c:v>0.11225697079439528</c:v>
                </c:pt>
                <c:pt idx="288">
                  <c:v>0.10727078656928768</c:v>
                </c:pt>
                <c:pt idx="289">
                  <c:v>0.10136235760633526</c:v>
                </c:pt>
                <c:pt idx="290">
                  <c:v>9.6370319741041044E-2</c:v>
                </c:pt>
                <c:pt idx="291">
                  <c:v>9.2562575481988318E-2</c:v>
                </c:pt>
                <c:pt idx="292">
                  <c:v>8.9220260395305936E-2</c:v>
                </c:pt>
                <c:pt idx="293">
                  <c:v>8.6526587274325106E-2</c:v>
                </c:pt>
                <c:pt idx="294">
                  <c:v>8.4031102128729884E-2</c:v>
                </c:pt>
                <c:pt idx="295">
                  <c:v>8.1765248058330547E-2</c:v>
                </c:pt>
                <c:pt idx="296">
                  <c:v>8.031880881917744E-2</c:v>
                </c:pt>
                <c:pt idx="297">
                  <c:v>7.8919376928033816E-2</c:v>
                </c:pt>
                <c:pt idx="298">
                  <c:v>7.8537879222547249E-2</c:v>
                </c:pt>
                <c:pt idx="299">
                  <c:v>7.9354742692211044E-2</c:v>
                </c:pt>
                <c:pt idx="300">
                  <c:v>8.0870479507489546E-2</c:v>
                </c:pt>
                <c:pt idx="301">
                  <c:v>8.2073173180372549E-2</c:v>
                </c:pt>
                <c:pt idx="302">
                  <c:v>8.2491474244558563E-2</c:v>
                </c:pt>
                <c:pt idx="303">
                  <c:v>8.20908485861402E-2</c:v>
                </c:pt>
                <c:pt idx="304">
                  <c:v>8.1825654213686511E-2</c:v>
                </c:pt>
                <c:pt idx="305">
                  <c:v>8.2542014359802351E-2</c:v>
                </c:pt>
                <c:pt idx="306">
                  <c:v>8.3754200266883322E-2</c:v>
                </c:pt>
                <c:pt idx="307">
                  <c:v>8.5294380158562444E-2</c:v>
                </c:pt>
                <c:pt idx="308">
                  <c:v>8.6287231842535311E-2</c:v>
                </c:pt>
                <c:pt idx="309">
                  <c:v>8.6735812856437638E-2</c:v>
                </c:pt>
                <c:pt idx="310">
                  <c:v>8.5905006302718342E-2</c:v>
                </c:pt>
                <c:pt idx="311">
                  <c:v>8.4211577279963742E-2</c:v>
                </c:pt>
                <c:pt idx="312">
                  <c:v>8.1415781605118559E-2</c:v>
                </c:pt>
                <c:pt idx="313">
                  <c:v>7.8188420458951677E-2</c:v>
                </c:pt>
                <c:pt idx="314">
                  <c:v>7.6182447623489941E-2</c:v>
                </c:pt>
                <c:pt idx="315">
                  <c:v>7.5742292030607672E-2</c:v>
                </c:pt>
                <c:pt idx="316">
                  <c:v>7.6306632922901241E-2</c:v>
                </c:pt>
                <c:pt idx="317">
                  <c:v>7.6390840549557748E-2</c:v>
                </c:pt>
                <c:pt idx="318">
                  <c:v>7.6713624300666805E-2</c:v>
                </c:pt>
                <c:pt idx="319">
                  <c:v>7.7291293641845019E-2</c:v>
                </c:pt>
                <c:pt idx="320">
                  <c:v>7.8344494763815942E-2</c:v>
                </c:pt>
                <c:pt idx="321">
                  <c:v>7.9708811294258913E-2</c:v>
                </c:pt>
                <c:pt idx="322">
                  <c:v>8.1039462818856128E-2</c:v>
                </c:pt>
                <c:pt idx="323">
                  <c:v>8.2920172545128429E-2</c:v>
                </c:pt>
                <c:pt idx="324">
                  <c:v>8.478611539195953E-2</c:v>
                </c:pt>
                <c:pt idx="325">
                  <c:v>8.5679680833958119E-2</c:v>
                </c:pt>
                <c:pt idx="326">
                  <c:v>8.524406722555683E-2</c:v>
                </c:pt>
                <c:pt idx="327">
                  <c:v>8.3969081052795505E-2</c:v>
                </c:pt>
                <c:pt idx="328">
                  <c:v>8.1224378527947047E-2</c:v>
                </c:pt>
                <c:pt idx="329">
                  <c:v>7.7594286314189284E-2</c:v>
                </c:pt>
                <c:pt idx="330">
                  <c:v>7.3355612369640263E-2</c:v>
                </c:pt>
                <c:pt idx="331">
                  <c:v>6.9116132699901564E-2</c:v>
                </c:pt>
                <c:pt idx="332">
                  <c:v>6.4930239576322185E-2</c:v>
                </c:pt>
                <c:pt idx="333">
                  <c:v>6.1207597191274492E-2</c:v>
                </c:pt>
                <c:pt idx="334">
                  <c:v>5.7488797615786784E-2</c:v>
                </c:pt>
                <c:pt idx="335">
                  <c:v>5.307805350894626E-2</c:v>
                </c:pt>
                <c:pt idx="336">
                  <c:v>4.9867649036481512E-2</c:v>
                </c:pt>
                <c:pt idx="337">
                  <c:v>4.8646116346525048E-2</c:v>
                </c:pt>
                <c:pt idx="338">
                  <c:v>4.8627538160618405E-2</c:v>
                </c:pt>
                <c:pt idx="339">
                  <c:v>4.897742086954935E-2</c:v>
                </c:pt>
                <c:pt idx="340">
                  <c:v>4.9930456423885522E-2</c:v>
                </c:pt>
                <c:pt idx="341">
                  <c:v>5.1416089710874503E-2</c:v>
                </c:pt>
                <c:pt idx="342">
                  <c:v>5.2885755032396987E-2</c:v>
                </c:pt>
                <c:pt idx="343">
                  <c:v>5.3725940106193096E-2</c:v>
                </c:pt>
                <c:pt idx="344">
                  <c:v>5.3920870571522533E-2</c:v>
                </c:pt>
                <c:pt idx="345">
                  <c:v>5.3554095789114346E-2</c:v>
                </c:pt>
                <c:pt idx="346">
                  <c:v>5.3972011517019074E-2</c:v>
                </c:pt>
                <c:pt idx="347">
                  <c:v>5.431108568802543E-2</c:v>
                </c:pt>
                <c:pt idx="348">
                  <c:v>5.3335966652007016E-2</c:v>
                </c:pt>
                <c:pt idx="349">
                  <c:v>5.0980275304736727E-2</c:v>
                </c:pt>
                <c:pt idx="350">
                  <c:v>4.8186939511742827E-2</c:v>
                </c:pt>
                <c:pt idx="351">
                  <c:v>4.4992889458728771E-2</c:v>
                </c:pt>
                <c:pt idx="352">
                  <c:v>4.176135084616206E-2</c:v>
                </c:pt>
                <c:pt idx="353">
                  <c:v>3.940989955842298E-2</c:v>
                </c:pt>
                <c:pt idx="354">
                  <c:v>3.8542439517637209E-2</c:v>
                </c:pt>
                <c:pt idx="355">
                  <c:v>3.8959322320163636E-2</c:v>
                </c:pt>
                <c:pt idx="356">
                  <c:v>4.0135138465101507E-2</c:v>
                </c:pt>
                <c:pt idx="357">
                  <c:v>4.1900506404950737E-2</c:v>
                </c:pt>
                <c:pt idx="358">
                  <c:v>4.3539675102794467E-2</c:v>
                </c:pt>
                <c:pt idx="359">
                  <c:v>4.5536657966653141E-2</c:v>
                </c:pt>
                <c:pt idx="360">
                  <c:v>4.7805291695262757E-2</c:v>
                </c:pt>
                <c:pt idx="361">
                  <c:v>5.0368371359694214E-2</c:v>
                </c:pt>
                <c:pt idx="362">
                  <c:v>5.2602693207759191E-2</c:v>
                </c:pt>
                <c:pt idx="363">
                  <c:v>5.4690233269516858E-2</c:v>
                </c:pt>
                <c:pt idx="364">
                  <c:v>5.5925545262797277E-2</c:v>
                </c:pt>
                <c:pt idx="365">
                  <c:v>5.6651158489751198E-2</c:v>
                </c:pt>
                <c:pt idx="366">
                  <c:v>5.6290873398791776E-2</c:v>
                </c:pt>
                <c:pt idx="367">
                  <c:v>5.5648831328031181E-2</c:v>
                </c:pt>
                <c:pt idx="368">
                  <c:v>5.4736976054398673E-2</c:v>
                </c:pt>
                <c:pt idx="369">
                  <c:v>5.2904033335852321E-2</c:v>
                </c:pt>
                <c:pt idx="370">
                  <c:v>5.04107589220169E-2</c:v>
                </c:pt>
                <c:pt idx="371">
                  <c:v>4.7757507801812697E-2</c:v>
                </c:pt>
                <c:pt idx="372">
                  <c:v>4.5699329809485795E-2</c:v>
                </c:pt>
                <c:pt idx="373">
                  <c:v>4.4290580470179468E-2</c:v>
                </c:pt>
                <c:pt idx="374">
                  <c:v>4.3529393200591217E-2</c:v>
                </c:pt>
                <c:pt idx="375">
                  <c:v>4.2831930614730146E-2</c:v>
                </c:pt>
                <c:pt idx="376">
                  <c:v>4.2971607533425528E-2</c:v>
                </c:pt>
                <c:pt idx="377">
                  <c:v>4.2798171608923498E-2</c:v>
                </c:pt>
                <c:pt idx="378">
                  <c:v>4.2238874501251189E-2</c:v>
                </c:pt>
                <c:pt idx="379">
                  <c:v>4.0643369023032963E-2</c:v>
                </c:pt>
                <c:pt idx="380">
                  <c:v>3.8585211913574113E-2</c:v>
                </c:pt>
                <c:pt idx="381">
                  <c:v>3.6959826939107647E-2</c:v>
                </c:pt>
                <c:pt idx="382">
                  <c:v>3.5778284940999328E-2</c:v>
                </c:pt>
                <c:pt idx="383">
                  <c:v>3.4667639589561365E-2</c:v>
                </c:pt>
                <c:pt idx="384">
                  <c:v>3.3342600455112149E-2</c:v>
                </c:pt>
                <c:pt idx="385">
                  <c:v>3.2372131502839352E-2</c:v>
                </c:pt>
                <c:pt idx="386">
                  <c:v>3.0774690139528361E-2</c:v>
                </c:pt>
                <c:pt idx="387">
                  <c:v>2.8618637574906104E-2</c:v>
                </c:pt>
                <c:pt idx="388">
                  <c:v>2.6193904995906792E-2</c:v>
                </c:pt>
                <c:pt idx="389">
                  <c:v>2.3416127874212836E-2</c:v>
                </c:pt>
                <c:pt idx="390">
                  <c:v>2.0972925715277313E-2</c:v>
                </c:pt>
                <c:pt idx="391">
                  <c:v>1.937247211694313E-2</c:v>
                </c:pt>
                <c:pt idx="392">
                  <c:v>1.8773637742592799E-2</c:v>
                </c:pt>
                <c:pt idx="393">
                  <c:v>1.87749721783824E-2</c:v>
                </c:pt>
                <c:pt idx="394">
                  <c:v>1.861253605772788E-2</c:v>
                </c:pt>
                <c:pt idx="395">
                  <c:v>1.7979734101228929E-2</c:v>
                </c:pt>
                <c:pt idx="396">
                  <c:v>1.6613123775988472E-2</c:v>
                </c:pt>
                <c:pt idx="397">
                  <c:v>1.4141626580168777E-2</c:v>
                </c:pt>
                <c:pt idx="398">
                  <c:v>1.1771074807494132E-2</c:v>
                </c:pt>
                <c:pt idx="399">
                  <c:v>1.0098111422318113E-2</c:v>
                </c:pt>
                <c:pt idx="400">
                  <c:v>1.0319753174943004E-2</c:v>
                </c:pt>
                <c:pt idx="401">
                  <c:v>1.1123109323064996E-2</c:v>
                </c:pt>
                <c:pt idx="402">
                  <c:v>1.1713086492642334E-2</c:v>
                </c:pt>
                <c:pt idx="403">
                  <c:v>1.2111398936283281E-2</c:v>
                </c:pt>
                <c:pt idx="404">
                  <c:v>1.2131408150055735E-2</c:v>
                </c:pt>
                <c:pt idx="405">
                  <c:v>1.161779279401145E-2</c:v>
                </c:pt>
                <c:pt idx="406">
                  <c:v>1.1823050223926402E-2</c:v>
                </c:pt>
                <c:pt idx="407">
                  <c:v>1.2345781606194352E-2</c:v>
                </c:pt>
                <c:pt idx="408">
                  <c:v>1.3114293900277831E-2</c:v>
                </c:pt>
                <c:pt idx="409">
                  <c:v>1.4044400752340636E-2</c:v>
                </c:pt>
                <c:pt idx="410">
                  <c:v>1.5205586244390902E-2</c:v>
                </c:pt>
                <c:pt idx="411">
                  <c:v>1.6226936381664104E-2</c:v>
                </c:pt>
                <c:pt idx="412">
                  <c:v>1.6093755906072715E-2</c:v>
                </c:pt>
                <c:pt idx="413">
                  <c:v>1.501894527696095E-2</c:v>
                </c:pt>
                <c:pt idx="414">
                  <c:v>1.4681785434185458E-2</c:v>
                </c:pt>
                <c:pt idx="415">
                  <c:v>1.4053789950687446E-2</c:v>
                </c:pt>
                <c:pt idx="416">
                  <c:v>1.3197416738390901E-2</c:v>
                </c:pt>
                <c:pt idx="417">
                  <c:v>1.2148490686060144E-2</c:v>
                </c:pt>
                <c:pt idx="418">
                  <c:v>1.0701934539791581E-2</c:v>
                </c:pt>
                <c:pt idx="419">
                  <c:v>9.2453679190278148E-3</c:v>
                </c:pt>
                <c:pt idx="420">
                  <c:v>8.4009898012702422E-3</c:v>
                </c:pt>
                <c:pt idx="421">
                  <c:v>7.536228826835867E-3</c:v>
                </c:pt>
                <c:pt idx="422">
                  <c:v>6.6601518203285087E-3</c:v>
                </c:pt>
                <c:pt idx="423">
                  <c:v>6.3538381948546885E-3</c:v>
                </c:pt>
                <c:pt idx="424">
                  <c:v>6.9875753249789346E-3</c:v>
                </c:pt>
                <c:pt idx="425">
                  <c:v>9.5398784626553393E-3</c:v>
                </c:pt>
                <c:pt idx="426">
                  <c:v>1.2122141828051269E-2</c:v>
                </c:pt>
                <c:pt idx="427">
                  <c:v>1.5538658920577576E-2</c:v>
                </c:pt>
                <c:pt idx="428">
                  <c:v>1.8977602309060163E-2</c:v>
                </c:pt>
                <c:pt idx="429">
                  <c:v>2.2458480677763504E-2</c:v>
                </c:pt>
                <c:pt idx="430">
                  <c:v>2.5436240383147891E-2</c:v>
                </c:pt>
                <c:pt idx="431">
                  <c:v>2.8394034813426575E-2</c:v>
                </c:pt>
                <c:pt idx="432">
                  <c:v>3.1427723970970337E-2</c:v>
                </c:pt>
                <c:pt idx="433">
                  <c:v>3.4758528634311149E-2</c:v>
                </c:pt>
                <c:pt idx="434">
                  <c:v>3.872064765995234E-2</c:v>
                </c:pt>
                <c:pt idx="435">
                  <c:v>4.2011844888234152E-2</c:v>
                </c:pt>
                <c:pt idx="436">
                  <c:v>4.3863594699111275E-2</c:v>
                </c:pt>
                <c:pt idx="437">
                  <c:v>4.4642433611268476E-2</c:v>
                </c:pt>
                <c:pt idx="438">
                  <c:v>4.5008520976205092E-2</c:v>
                </c:pt>
                <c:pt idx="439">
                  <c:v>4.4463006070939316E-2</c:v>
                </c:pt>
                <c:pt idx="440">
                  <c:v>4.3799422287229821E-2</c:v>
                </c:pt>
                <c:pt idx="441">
                  <c:v>4.3673192630429014E-2</c:v>
                </c:pt>
                <c:pt idx="442">
                  <c:v>4.4391426067308976E-2</c:v>
                </c:pt>
                <c:pt idx="443">
                  <c:v>4.5670933964741069E-2</c:v>
                </c:pt>
                <c:pt idx="444">
                  <c:v>4.6519440641092306E-2</c:v>
                </c:pt>
                <c:pt idx="445">
                  <c:v>4.7046916002526022E-2</c:v>
                </c:pt>
                <c:pt idx="446">
                  <c:v>4.6875936687981581E-2</c:v>
                </c:pt>
                <c:pt idx="447">
                  <c:v>4.697088013979709E-2</c:v>
                </c:pt>
                <c:pt idx="448">
                  <c:v>4.7032589483487902E-2</c:v>
                </c:pt>
                <c:pt idx="449">
                  <c:v>4.7249740962482183E-2</c:v>
                </c:pt>
                <c:pt idx="450">
                  <c:v>4.7555022290100626E-2</c:v>
                </c:pt>
                <c:pt idx="451">
                  <c:v>4.9130554904251514E-2</c:v>
                </c:pt>
                <c:pt idx="452">
                  <c:v>5.0681354030895423E-2</c:v>
                </c:pt>
                <c:pt idx="453">
                  <c:v>5.1855098137768611E-2</c:v>
                </c:pt>
                <c:pt idx="454">
                  <c:v>5.2739432909405082E-2</c:v>
                </c:pt>
                <c:pt idx="455">
                  <c:v>5.3111917697314937E-2</c:v>
                </c:pt>
                <c:pt idx="456">
                  <c:v>5.3725823725000059E-2</c:v>
                </c:pt>
                <c:pt idx="457">
                  <c:v>5.5213526576330454E-2</c:v>
                </c:pt>
                <c:pt idx="458">
                  <c:v>5.6868960123156148E-2</c:v>
                </c:pt>
                <c:pt idx="459">
                  <c:v>5.863165553058991E-2</c:v>
                </c:pt>
                <c:pt idx="460">
                  <c:v>6.0579069757491055E-2</c:v>
                </c:pt>
                <c:pt idx="461">
                  <c:v>6.2218814725219576E-2</c:v>
                </c:pt>
                <c:pt idx="462">
                  <c:v>6.3555615973205457E-2</c:v>
                </c:pt>
                <c:pt idx="463">
                  <c:v>6.4105967426898766E-2</c:v>
                </c:pt>
                <c:pt idx="464">
                  <c:v>6.5585766326051953E-2</c:v>
                </c:pt>
                <c:pt idx="465">
                  <c:v>6.7675935672866672E-2</c:v>
                </c:pt>
                <c:pt idx="466">
                  <c:v>7.0012825197827061E-2</c:v>
                </c:pt>
                <c:pt idx="467">
                  <c:v>7.2303562739110566E-2</c:v>
                </c:pt>
                <c:pt idx="468">
                  <c:v>7.423259034312793E-2</c:v>
                </c:pt>
                <c:pt idx="469">
                  <c:v>7.519848978364152E-2</c:v>
                </c:pt>
                <c:pt idx="470">
                  <c:v>7.5039752239824509E-2</c:v>
                </c:pt>
                <c:pt idx="471">
                  <c:v>7.4944123499867038E-2</c:v>
                </c:pt>
                <c:pt idx="472">
                  <c:v>7.4801933857371244E-2</c:v>
                </c:pt>
                <c:pt idx="473">
                  <c:v>7.4718445303766146E-2</c:v>
                </c:pt>
                <c:pt idx="474">
                  <c:v>7.4919945395362217E-2</c:v>
                </c:pt>
                <c:pt idx="475">
                  <c:v>7.4657190783821645E-2</c:v>
                </c:pt>
                <c:pt idx="476">
                  <c:v>7.3317390148295664E-2</c:v>
                </c:pt>
                <c:pt idx="477">
                  <c:v>7.1414441935662862E-2</c:v>
                </c:pt>
                <c:pt idx="478">
                  <c:v>6.8929232496905968E-2</c:v>
                </c:pt>
                <c:pt idx="479">
                  <c:v>6.6809587154106967E-2</c:v>
                </c:pt>
                <c:pt idx="480">
                  <c:v>6.5077621813230735E-2</c:v>
                </c:pt>
                <c:pt idx="481">
                  <c:v>6.3228462212663317E-2</c:v>
                </c:pt>
                <c:pt idx="482">
                  <c:v>6.2754141291026147E-2</c:v>
                </c:pt>
                <c:pt idx="483">
                  <c:v>6.3447844237381909E-2</c:v>
                </c:pt>
                <c:pt idx="484">
                  <c:v>6.2390265568494391E-2</c:v>
                </c:pt>
                <c:pt idx="485">
                  <c:v>6.1321707268602671E-2</c:v>
                </c:pt>
                <c:pt idx="486">
                  <c:v>5.9995429557120873E-2</c:v>
                </c:pt>
                <c:pt idx="487">
                  <c:v>5.9347209995867449E-2</c:v>
                </c:pt>
                <c:pt idx="488">
                  <c:v>5.9603465047536025E-2</c:v>
                </c:pt>
                <c:pt idx="489">
                  <c:v>5.9427348934401894E-2</c:v>
                </c:pt>
                <c:pt idx="490">
                  <c:v>5.8915955625181482E-2</c:v>
                </c:pt>
                <c:pt idx="491">
                  <c:v>5.9140971658287356E-2</c:v>
                </c:pt>
                <c:pt idx="492">
                  <c:v>6.0156982983333766E-2</c:v>
                </c:pt>
                <c:pt idx="493">
                  <c:v>6.194239580890866E-2</c:v>
                </c:pt>
                <c:pt idx="494">
                  <c:v>6.4354886079749471E-2</c:v>
                </c:pt>
                <c:pt idx="495">
                  <c:v>6.6429255940035153E-2</c:v>
                </c:pt>
                <c:pt idx="496">
                  <c:v>6.8488394707901537E-2</c:v>
                </c:pt>
                <c:pt idx="497">
                  <c:v>7.0955885737093646E-2</c:v>
                </c:pt>
                <c:pt idx="498">
                  <c:v>7.3346131681731208E-2</c:v>
                </c:pt>
                <c:pt idx="499">
                  <c:v>7.5383281958400522E-2</c:v>
                </c:pt>
                <c:pt idx="500">
                  <c:v>7.973845947927885E-2</c:v>
                </c:pt>
                <c:pt idx="501">
                  <c:v>8.214132393166268E-2</c:v>
                </c:pt>
                <c:pt idx="502">
                  <c:v>8.5239132869031675E-2</c:v>
                </c:pt>
                <c:pt idx="503">
                  <c:v>8.7854192375786511E-2</c:v>
                </c:pt>
                <c:pt idx="504">
                  <c:v>8.8643664938994962E-2</c:v>
                </c:pt>
                <c:pt idx="505">
                  <c:v>8.8809212517294622E-2</c:v>
                </c:pt>
                <c:pt idx="506">
                  <c:v>8.7075323370356728E-2</c:v>
                </c:pt>
                <c:pt idx="507">
                  <c:v>8.3191515268632096E-2</c:v>
                </c:pt>
                <c:pt idx="508">
                  <c:v>8.1145068000282095E-2</c:v>
                </c:pt>
                <c:pt idx="509">
                  <c:v>7.8839585626967343E-2</c:v>
                </c:pt>
                <c:pt idx="510">
                  <c:v>7.7372871369365728E-2</c:v>
                </c:pt>
                <c:pt idx="511">
                  <c:v>7.6419614942447825E-2</c:v>
                </c:pt>
                <c:pt idx="512">
                  <c:v>7.2319587521138831E-2</c:v>
                </c:pt>
                <c:pt idx="513">
                  <c:v>7.1026452721395114E-2</c:v>
                </c:pt>
                <c:pt idx="514">
                  <c:v>7.0114589214639977E-2</c:v>
                </c:pt>
                <c:pt idx="515">
                  <c:v>6.8167658548665605E-2</c:v>
                </c:pt>
                <c:pt idx="516">
                  <c:v>6.6990744286560752E-2</c:v>
                </c:pt>
                <c:pt idx="517">
                  <c:v>6.6217656658599827E-2</c:v>
                </c:pt>
                <c:pt idx="518">
                  <c:v>6.5876825124335889E-2</c:v>
                </c:pt>
                <c:pt idx="519">
                  <c:v>6.6868972447426248E-2</c:v>
                </c:pt>
                <c:pt idx="520">
                  <c:v>6.8755870359947832E-2</c:v>
                </c:pt>
                <c:pt idx="521">
                  <c:v>7.0589792696712547E-2</c:v>
                </c:pt>
                <c:pt idx="522">
                  <c:v>7.2078366060317478E-2</c:v>
                </c:pt>
                <c:pt idx="523">
                  <c:v>7.3667956151238917E-2</c:v>
                </c:pt>
                <c:pt idx="524">
                  <c:v>7.3154935946220689E-2</c:v>
                </c:pt>
                <c:pt idx="525">
                  <c:v>7.0877415814338471E-2</c:v>
                </c:pt>
                <c:pt idx="526">
                  <c:v>6.7483157992587903E-2</c:v>
                </c:pt>
                <c:pt idx="527">
                  <c:v>6.3965537325783833E-2</c:v>
                </c:pt>
                <c:pt idx="528">
                  <c:v>6.0295146601872324E-2</c:v>
                </c:pt>
                <c:pt idx="529">
                  <c:v>5.739204474299129E-2</c:v>
                </c:pt>
                <c:pt idx="530">
                  <c:v>5.5529607583197561E-2</c:v>
                </c:pt>
                <c:pt idx="531">
                  <c:v>5.4099683782450829E-2</c:v>
                </c:pt>
                <c:pt idx="532">
                  <c:v>5.338379780671261E-2</c:v>
                </c:pt>
                <c:pt idx="533">
                  <c:v>5.1659741453693189E-2</c:v>
                </c:pt>
                <c:pt idx="534">
                  <c:v>4.9168498686154298E-2</c:v>
                </c:pt>
                <c:pt idx="535">
                  <c:v>4.6096968763862378E-2</c:v>
                </c:pt>
                <c:pt idx="536">
                  <c:v>4.5656494541506734E-2</c:v>
                </c:pt>
                <c:pt idx="537">
                  <c:v>4.6487936775649531E-2</c:v>
                </c:pt>
                <c:pt idx="538">
                  <c:v>4.7801632616571513E-2</c:v>
                </c:pt>
                <c:pt idx="539">
                  <c:v>4.9489224005026249E-2</c:v>
                </c:pt>
                <c:pt idx="540">
                  <c:v>5.0762282478994794E-2</c:v>
                </c:pt>
                <c:pt idx="541">
                  <c:v>5.0765748437895303E-2</c:v>
                </c:pt>
                <c:pt idx="542">
                  <c:v>4.9883635912361515E-2</c:v>
                </c:pt>
                <c:pt idx="543">
                  <c:v>4.8280011211171828E-2</c:v>
                </c:pt>
                <c:pt idx="544">
                  <c:v>4.5066558255415147E-2</c:v>
                </c:pt>
                <c:pt idx="545">
                  <c:v>4.3420844692749941E-2</c:v>
                </c:pt>
                <c:pt idx="546">
                  <c:v>4.2633690426258398E-2</c:v>
                </c:pt>
                <c:pt idx="547">
                  <c:v>4.2169655188534709E-2</c:v>
                </c:pt>
                <c:pt idx="548">
                  <c:v>4.1737038284334463E-2</c:v>
                </c:pt>
                <c:pt idx="549">
                  <c:v>4.1546372441131046E-2</c:v>
                </c:pt>
                <c:pt idx="550">
                  <c:v>4.1057440346853019E-2</c:v>
                </c:pt>
                <c:pt idx="551">
                  <c:v>4.0895770900357321E-2</c:v>
                </c:pt>
                <c:pt idx="552">
                  <c:v>4.1838421542189509E-2</c:v>
                </c:pt>
                <c:pt idx="553">
                  <c:v>4.3055771976419521E-2</c:v>
                </c:pt>
                <c:pt idx="554">
                  <c:v>4.417027047853566E-2</c:v>
                </c:pt>
                <c:pt idx="555">
                  <c:v>4.5724791697981007E-2</c:v>
                </c:pt>
                <c:pt idx="556">
                  <c:v>4.6629989107819375E-2</c:v>
                </c:pt>
                <c:pt idx="557">
                  <c:v>4.7465943827424445E-2</c:v>
                </c:pt>
                <c:pt idx="558">
                  <c:v>4.8371634605415187E-2</c:v>
                </c:pt>
                <c:pt idx="559">
                  <c:v>4.8987774327341076E-2</c:v>
                </c:pt>
                <c:pt idx="560">
                  <c:v>4.9227384811185007E-2</c:v>
                </c:pt>
                <c:pt idx="561">
                  <c:v>4.9792197840986319E-2</c:v>
                </c:pt>
                <c:pt idx="562">
                  <c:v>5.0751884683694473E-2</c:v>
                </c:pt>
                <c:pt idx="563">
                  <c:v>5.1938384628219585E-2</c:v>
                </c:pt>
                <c:pt idx="564">
                  <c:v>5.2694338220817372E-2</c:v>
                </c:pt>
                <c:pt idx="565">
                  <c:v>5.3018821489919793E-2</c:v>
                </c:pt>
                <c:pt idx="566">
                  <c:v>5.3801553712290229E-2</c:v>
                </c:pt>
                <c:pt idx="567">
                  <c:v>5.5337544652540774E-2</c:v>
                </c:pt>
                <c:pt idx="568">
                  <c:v>5.6756031950074261E-2</c:v>
                </c:pt>
                <c:pt idx="569">
                  <c:v>5.7691762878639002E-2</c:v>
                </c:pt>
                <c:pt idx="570">
                  <c:v>5.8067917277698201E-2</c:v>
                </c:pt>
                <c:pt idx="571">
                  <c:v>5.9547903863065701E-2</c:v>
                </c:pt>
                <c:pt idx="572">
                  <c:v>6.0439435167252503E-2</c:v>
                </c:pt>
                <c:pt idx="573">
                  <c:v>6.0121364059129691E-2</c:v>
                </c:pt>
                <c:pt idx="574">
                  <c:v>5.9527825480424214E-2</c:v>
                </c:pt>
                <c:pt idx="575">
                  <c:v>5.8626741114996155E-2</c:v>
                </c:pt>
                <c:pt idx="576">
                  <c:v>5.7739413227189118E-2</c:v>
                </c:pt>
                <c:pt idx="577">
                  <c:v>5.8843292408765541E-2</c:v>
                </c:pt>
                <c:pt idx="578">
                  <c:v>6.050093439973097E-2</c:v>
                </c:pt>
                <c:pt idx="579">
                  <c:v>6.0940267717452916E-2</c:v>
                </c:pt>
                <c:pt idx="580">
                  <c:v>6.1213620723766841E-2</c:v>
                </c:pt>
                <c:pt idx="581">
                  <c:v>6.0976499325784063E-2</c:v>
                </c:pt>
                <c:pt idx="582">
                  <c:v>6.1152887098434409E-2</c:v>
                </c:pt>
                <c:pt idx="583">
                  <c:v>5.960272500693975E-2</c:v>
                </c:pt>
                <c:pt idx="584">
                  <c:v>5.9644310408663165E-2</c:v>
                </c:pt>
                <c:pt idx="585">
                  <c:v>6.1974044319940448E-2</c:v>
                </c:pt>
                <c:pt idx="586">
                  <c:v>6.4439603228801448E-2</c:v>
                </c:pt>
                <c:pt idx="587">
                  <c:v>6.9963904373219074E-2</c:v>
                </c:pt>
                <c:pt idx="588">
                  <c:v>7.546026831971489E-2</c:v>
                </c:pt>
                <c:pt idx="589">
                  <c:v>7.8311874531851802E-2</c:v>
                </c:pt>
                <c:pt idx="590">
                  <c:v>8.046039400017975E-2</c:v>
                </c:pt>
                <c:pt idx="591">
                  <c:v>8.1145089728585168E-2</c:v>
                </c:pt>
                <c:pt idx="592">
                  <c:v>8.2757269353309945E-2</c:v>
                </c:pt>
                <c:pt idx="593">
                  <c:v>8.382081524317897E-2</c:v>
                </c:pt>
                <c:pt idx="594">
                  <c:v>8.3580949760262521E-2</c:v>
                </c:pt>
                <c:pt idx="595">
                  <c:v>8.3006363161355526E-2</c:v>
                </c:pt>
                <c:pt idx="596">
                  <c:v>8.075645532439496E-2</c:v>
                </c:pt>
                <c:pt idx="597">
                  <c:v>7.691831684457498E-2</c:v>
                </c:pt>
                <c:pt idx="598">
                  <c:v>7.3283790032277807E-2</c:v>
                </c:pt>
                <c:pt idx="599">
                  <c:v>6.5912069874958942E-2</c:v>
                </c:pt>
                <c:pt idx="600">
                  <c:v>5.7138206476496124E-2</c:v>
                </c:pt>
                <c:pt idx="601">
                  <c:v>5.0572051969695053E-2</c:v>
                </c:pt>
                <c:pt idx="602">
                  <c:v>4.3662678813174698E-2</c:v>
                </c:pt>
                <c:pt idx="603">
                  <c:v>3.8769840829488089E-2</c:v>
                </c:pt>
                <c:pt idx="604">
                  <c:v>3.4757330492597306E-2</c:v>
                </c:pt>
                <c:pt idx="605">
                  <c:v>3.1759188217380087E-2</c:v>
                </c:pt>
                <c:pt idx="606">
                  <c:v>2.9479245040315051E-2</c:v>
                </c:pt>
                <c:pt idx="607">
                  <c:v>2.882148181546711E-2</c:v>
                </c:pt>
                <c:pt idx="608">
                  <c:v>2.9028126389302147E-2</c:v>
                </c:pt>
                <c:pt idx="609">
                  <c:v>2.9687452357119073E-2</c:v>
                </c:pt>
                <c:pt idx="610">
                  <c:v>2.9985267819606067E-2</c:v>
                </c:pt>
                <c:pt idx="611">
                  <c:v>3.1060370560196306E-2</c:v>
                </c:pt>
                <c:pt idx="612">
                  <c:v>3.3298040464691779E-2</c:v>
                </c:pt>
                <c:pt idx="613">
                  <c:v>3.5366814234247104E-2</c:v>
                </c:pt>
                <c:pt idx="614">
                  <c:v>3.8359766643229425E-2</c:v>
                </c:pt>
                <c:pt idx="615">
                  <c:v>4.1401830260473109E-2</c:v>
                </c:pt>
                <c:pt idx="616">
                  <c:v>4.4119740321784208E-2</c:v>
                </c:pt>
                <c:pt idx="617">
                  <c:v>4.7506791308912E-2</c:v>
                </c:pt>
                <c:pt idx="618">
                  <c:v>5.3575811332008533E-2</c:v>
                </c:pt>
                <c:pt idx="619">
                  <c:v>6.1325948985850691E-2</c:v>
                </c:pt>
                <c:pt idx="620">
                  <c:v>6.7247118759893004E-2</c:v>
                </c:pt>
                <c:pt idx="621">
                  <c:v>7.1562143332428718E-2</c:v>
                </c:pt>
                <c:pt idx="622">
                  <c:v>7.5597300968841818E-2</c:v>
                </c:pt>
                <c:pt idx="623">
                  <c:v>7.9087391598189075E-2</c:v>
                </c:pt>
                <c:pt idx="624">
                  <c:v>8.2905856029275082E-2</c:v>
                </c:pt>
                <c:pt idx="625">
                  <c:v>8.5593455634597151E-2</c:v>
                </c:pt>
                <c:pt idx="626">
                  <c:v>8.738935620469164E-2</c:v>
                </c:pt>
                <c:pt idx="627">
                  <c:v>8.8553308329301222E-2</c:v>
                </c:pt>
                <c:pt idx="628">
                  <c:v>8.8806819088925695E-2</c:v>
                </c:pt>
                <c:pt idx="629">
                  <c:v>8.8775840793279326E-2</c:v>
                </c:pt>
                <c:pt idx="630">
                  <c:v>8.6211466169237388E-2</c:v>
                </c:pt>
                <c:pt idx="631">
                  <c:v>8.147930000142907E-2</c:v>
                </c:pt>
                <c:pt idx="632">
                  <c:v>7.8823406177899361E-2</c:v>
                </c:pt>
                <c:pt idx="633">
                  <c:v>7.7290068843933579E-2</c:v>
                </c:pt>
                <c:pt idx="634">
                  <c:v>7.6374654259781502E-2</c:v>
                </c:pt>
                <c:pt idx="635">
                  <c:v>7.7004878887710515E-2</c:v>
                </c:pt>
                <c:pt idx="636">
                  <c:v>7.6442375555804187E-2</c:v>
                </c:pt>
                <c:pt idx="637">
                  <c:v>7.5269284977790119E-2</c:v>
                </c:pt>
                <c:pt idx="638">
                  <c:v>7.4497890089020302E-2</c:v>
                </c:pt>
                <c:pt idx="639">
                  <c:v>7.3314856450821253E-2</c:v>
                </c:pt>
                <c:pt idx="640">
                  <c:v>7.2138652392673919E-2</c:v>
                </c:pt>
                <c:pt idx="641">
                  <c:v>7.0858124460708896E-2</c:v>
                </c:pt>
                <c:pt idx="642">
                  <c:v>6.952853313385958E-2</c:v>
                </c:pt>
                <c:pt idx="643">
                  <c:v>6.8169827054703092E-2</c:v>
                </c:pt>
                <c:pt idx="644">
                  <c:v>6.6639563938846888E-2</c:v>
                </c:pt>
                <c:pt idx="645">
                  <c:v>6.6398484860283699E-2</c:v>
                </c:pt>
                <c:pt idx="646">
                  <c:v>6.4988626444343819E-2</c:v>
                </c:pt>
                <c:pt idx="647">
                  <c:v>6.2699353589786719E-2</c:v>
                </c:pt>
                <c:pt idx="648">
                  <c:v>6.1702109243420011E-2</c:v>
                </c:pt>
                <c:pt idx="649">
                  <c:v>6.1729683175747146E-2</c:v>
                </c:pt>
                <c:pt idx="650">
                  <c:v>6.132863668522788E-2</c:v>
                </c:pt>
                <c:pt idx="651">
                  <c:v>6.1279496127623651E-2</c:v>
                </c:pt>
                <c:pt idx="652">
                  <c:v>6.173407087381691E-2</c:v>
                </c:pt>
                <c:pt idx="653">
                  <c:v>6.1994253645653433E-2</c:v>
                </c:pt>
                <c:pt idx="654">
                  <c:v>6.2405820835166992E-2</c:v>
                </c:pt>
                <c:pt idx="655">
                  <c:v>6.2080364318775595E-2</c:v>
                </c:pt>
                <c:pt idx="656">
                  <c:v>6.1427171276639575E-2</c:v>
                </c:pt>
                <c:pt idx="657">
                  <c:v>5.9912347751151174E-2</c:v>
                </c:pt>
                <c:pt idx="658">
                  <c:v>5.9255179119401195E-2</c:v>
                </c:pt>
                <c:pt idx="659">
                  <c:v>5.8970704803580534E-2</c:v>
                </c:pt>
                <c:pt idx="660">
                  <c:v>5.8703870327357778E-2</c:v>
                </c:pt>
                <c:pt idx="661">
                  <c:v>5.9111609306003746E-2</c:v>
                </c:pt>
                <c:pt idx="662">
                  <c:v>5.8993800872761432E-2</c:v>
                </c:pt>
                <c:pt idx="663">
                  <c:v>5.8763527845719921E-2</c:v>
                </c:pt>
                <c:pt idx="664">
                  <c:v>5.7953595925985729E-2</c:v>
                </c:pt>
                <c:pt idx="665">
                  <c:v>5.7095322256159875E-2</c:v>
                </c:pt>
                <c:pt idx="666">
                  <c:v>5.6284733961319944E-2</c:v>
                </c:pt>
                <c:pt idx="667">
                  <c:v>5.6041052427688955E-2</c:v>
                </c:pt>
                <c:pt idx="668">
                  <c:v>5.6114918242138857E-2</c:v>
                </c:pt>
                <c:pt idx="669">
                  <c:v>5.5541977282538825E-2</c:v>
                </c:pt>
                <c:pt idx="670">
                  <c:v>5.5834825597587213E-2</c:v>
                </c:pt>
                <c:pt idx="671">
                  <c:v>5.5627820006235146E-2</c:v>
                </c:pt>
                <c:pt idx="672">
                  <c:v>5.6308724102980538E-2</c:v>
                </c:pt>
                <c:pt idx="673">
                  <c:v>5.6122195211287362E-2</c:v>
                </c:pt>
                <c:pt idx="674">
                  <c:v>5.6752823889844706E-2</c:v>
                </c:pt>
                <c:pt idx="675">
                  <c:v>5.7912023427979881E-2</c:v>
                </c:pt>
                <c:pt idx="676">
                  <c:v>5.9424509487320171E-2</c:v>
                </c:pt>
                <c:pt idx="677">
                  <c:v>6.0886914167394939E-2</c:v>
                </c:pt>
                <c:pt idx="678">
                  <c:v>6.2182416036905865E-2</c:v>
                </c:pt>
                <c:pt idx="679">
                  <c:v>6.3724918616094334E-2</c:v>
                </c:pt>
                <c:pt idx="680">
                  <c:v>6.4928553901089009E-2</c:v>
                </c:pt>
                <c:pt idx="681">
                  <c:v>6.6305393207535701E-2</c:v>
                </c:pt>
                <c:pt idx="682">
                  <c:v>6.7025937966536733E-2</c:v>
                </c:pt>
                <c:pt idx="683">
                  <c:v>6.7112491634536295E-2</c:v>
                </c:pt>
                <c:pt idx="684">
                  <c:v>6.61690534275408E-2</c:v>
                </c:pt>
                <c:pt idx="685">
                  <c:v>6.5318516707321805E-2</c:v>
                </c:pt>
                <c:pt idx="686">
                  <c:v>6.4667925911503235E-2</c:v>
                </c:pt>
                <c:pt idx="687">
                  <c:v>6.3730201724575872E-2</c:v>
                </c:pt>
                <c:pt idx="688">
                  <c:v>6.2735516245253115E-2</c:v>
                </c:pt>
                <c:pt idx="689">
                  <c:v>6.126892503655057E-2</c:v>
                </c:pt>
                <c:pt idx="690">
                  <c:v>6.0090231645970965E-2</c:v>
                </c:pt>
                <c:pt idx="691">
                  <c:v>5.8665023319625226E-2</c:v>
                </c:pt>
                <c:pt idx="692">
                  <c:v>5.7220278612706468E-2</c:v>
                </c:pt>
                <c:pt idx="693">
                  <c:v>5.578024196153706E-2</c:v>
                </c:pt>
                <c:pt idx="694">
                  <c:v>5.3932473199753875E-2</c:v>
                </c:pt>
                <c:pt idx="695">
                  <c:v>5.2613671455681299E-2</c:v>
                </c:pt>
                <c:pt idx="696">
                  <c:v>5.0613775548222863E-2</c:v>
                </c:pt>
                <c:pt idx="697">
                  <c:v>4.8585344662025423E-2</c:v>
                </c:pt>
                <c:pt idx="698">
                  <c:v>4.6778799915527719E-2</c:v>
                </c:pt>
                <c:pt idx="699">
                  <c:v>4.4755759640506203E-2</c:v>
                </c:pt>
                <c:pt idx="700">
                  <c:v>4.3208859125803661E-2</c:v>
                </c:pt>
                <c:pt idx="701">
                  <c:v>4.2485248914751139E-2</c:v>
                </c:pt>
                <c:pt idx="702">
                  <c:v>4.1505433269945519E-2</c:v>
                </c:pt>
                <c:pt idx="703">
                  <c:v>4.0540721882469204E-2</c:v>
                </c:pt>
                <c:pt idx="704">
                  <c:v>3.9548382428449713E-2</c:v>
                </c:pt>
                <c:pt idx="705">
                  <c:v>3.810836125122137E-2</c:v>
                </c:pt>
                <c:pt idx="706">
                  <c:v>3.6724049549415841E-2</c:v>
                </c:pt>
                <c:pt idx="707">
                  <c:v>3.6502718903632568E-2</c:v>
                </c:pt>
                <c:pt idx="708">
                  <c:v>3.7057804443362839E-2</c:v>
                </c:pt>
                <c:pt idx="709">
                  <c:v>3.747688210284679E-2</c:v>
                </c:pt>
                <c:pt idx="710">
                  <c:v>3.7555149026877649E-2</c:v>
                </c:pt>
                <c:pt idx="711">
                  <c:v>3.7765417472635933E-2</c:v>
                </c:pt>
                <c:pt idx="712">
                  <c:v>3.8539899066509523E-2</c:v>
                </c:pt>
                <c:pt idx="713">
                  <c:v>3.9953597088430118E-2</c:v>
                </c:pt>
                <c:pt idx="714">
                  <c:v>4.1648654039863689E-2</c:v>
                </c:pt>
                <c:pt idx="715">
                  <c:v>4.3424774545042059E-2</c:v>
                </c:pt>
                <c:pt idx="716">
                  <c:v>4.5620445319050879E-2</c:v>
                </c:pt>
                <c:pt idx="717">
                  <c:v>4.9019330627525906E-2</c:v>
                </c:pt>
                <c:pt idx="718">
                  <c:v>5.2884266976971621E-2</c:v>
                </c:pt>
                <c:pt idx="719">
                  <c:v>5.5233141698593613E-2</c:v>
                </c:pt>
                <c:pt idx="720">
                  <c:v>5.712490795058614E-2</c:v>
                </c:pt>
                <c:pt idx="721">
                  <c:v>5.8792696172616843E-2</c:v>
                </c:pt>
                <c:pt idx="722">
                  <c:v>6.6292128965264402E-2</c:v>
                </c:pt>
                <c:pt idx="723">
                  <c:v>8.4230010802326671E-2</c:v>
                </c:pt>
                <c:pt idx="724">
                  <c:v>0.10699684966505602</c:v>
                </c:pt>
                <c:pt idx="725">
                  <c:v>0.12679491610590218</c:v>
                </c:pt>
                <c:pt idx="726">
                  <c:v>0.14318064834641575</c:v>
                </c:pt>
                <c:pt idx="727">
                  <c:v>0.15597758592825814</c:v>
                </c:pt>
                <c:pt idx="728">
                  <c:v>0.16744669267852999</c:v>
                </c:pt>
                <c:pt idx="729">
                  <c:v>0.17646725576146738</c:v>
                </c:pt>
                <c:pt idx="730">
                  <c:v>0.18468272380706879</c:v>
                </c:pt>
                <c:pt idx="731">
                  <c:v>0.19190600129010849</c:v>
                </c:pt>
                <c:pt idx="732">
                  <c:v>0.19916262527464568</c:v>
                </c:pt>
                <c:pt idx="733">
                  <c:v>0.20673284503304359</c:v>
                </c:pt>
                <c:pt idx="734">
                  <c:v>0.20847341324370916</c:v>
                </c:pt>
                <c:pt idx="735">
                  <c:v>0.20072011552583008</c:v>
                </c:pt>
                <c:pt idx="736">
                  <c:v>0.1875612939395353</c:v>
                </c:pt>
                <c:pt idx="737">
                  <c:v>0.17421664346132673</c:v>
                </c:pt>
                <c:pt idx="738">
                  <c:v>0.16336615699580506</c:v>
                </c:pt>
                <c:pt idx="739">
                  <c:v>0.15593498402254369</c:v>
                </c:pt>
                <c:pt idx="740">
                  <c:v>0.14878571938666171</c:v>
                </c:pt>
                <c:pt idx="741">
                  <c:v>0.14315216023793484</c:v>
                </c:pt>
                <c:pt idx="742">
                  <c:v>0.13799662316357769</c:v>
                </c:pt>
                <c:pt idx="743">
                  <c:v>0.13410314390557404</c:v>
                </c:pt>
                <c:pt idx="744">
                  <c:v>0.12917918535325726</c:v>
                </c:pt>
                <c:pt idx="745">
                  <c:v>0.12332278811605307</c:v>
                </c:pt>
                <c:pt idx="746">
                  <c:v>0.11718389991907543</c:v>
                </c:pt>
                <c:pt idx="747">
                  <c:v>0.10902044423566082</c:v>
                </c:pt>
                <c:pt idx="748">
                  <c:v>9.9202620144494352E-2</c:v>
                </c:pt>
                <c:pt idx="749">
                  <c:v>9.0544516253173418E-2</c:v>
                </c:pt>
                <c:pt idx="750">
                  <c:v>8.2072211564188535E-2</c:v>
                </c:pt>
                <c:pt idx="751">
                  <c:v>7.3038708461365329E-2</c:v>
                </c:pt>
                <c:pt idx="752">
                  <c:v>6.3827390584802399E-2</c:v>
                </c:pt>
                <c:pt idx="753">
                  <c:v>5.4115148950577924E-2</c:v>
                </c:pt>
                <c:pt idx="754">
                  <c:v>4.4085085557325959E-2</c:v>
                </c:pt>
                <c:pt idx="755">
                  <c:v>3.3481549739036609E-2</c:v>
                </c:pt>
                <c:pt idx="756">
                  <c:v>2.3646450166557999E-2</c:v>
                </c:pt>
                <c:pt idx="757">
                  <c:v>1.4577032752956144E-2</c:v>
                </c:pt>
                <c:pt idx="758">
                  <c:v>3.9832643259501309E-3</c:v>
                </c:pt>
                <c:pt idx="759">
                  <c:v>-6.0211784014200026E-3</c:v>
                </c:pt>
                <c:pt idx="760">
                  <c:v>-1.2849304615465941E-2</c:v>
                </c:pt>
                <c:pt idx="761">
                  <c:v>-1.8099495840330351E-2</c:v>
                </c:pt>
                <c:pt idx="762">
                  <c:v>-2.2492733657951194E-2</c:v>
                </c:pt>
                <c:pt idx="763">
                  <c:v>-2.6057812542643433E-2</c:v>
                </c:pt>
                <c:pt idx="764">
                  <c:v>-2.8697858297094571E-2</c:v>
                </c:pt>
                <c:pt idx="765">
                  <c:v>-3.0371514696278724E-2</c:v>
                </c:pt>
                <c:pt idx="766">
                  <c:v>-3.09653668189128E-2</c:v>
                </c:pt>
                <c:pt idx="767">
                  <c:v>-3.0074414903266702E-2</c:v>
                </c:pt>
                <c:pt idx="768">
                  <c:v>-2.8555816507345358E-2</c:v>
                </c:pt>
                <c:pt idx="769">
                  <c:v>-2.6728808069397304E-2</c:v>
                </c:pt>
                <c:pt idx="770">
                  <c:v>-2.2025138500268326E-2</c:v>
                </c:pt>
                <c:pt idx="771">
                  <c:v>-1.6499126478088044E-2</c:v>
                </c:pt>
                <c:pt idx="772">
                  <c:v>-1.2105233255361725E-2</c:v>
                </c:pt>
                <c:pt idx="773">
                  <c:v>-7.7293330561118978E-3</c:v>
                </c:pt>
                <c:pt idx="774">
                  <c:v>-7.0481231946573075E-3</c:v>
                </c:pt>
                <c:pt idx="775">
                  <c:v>-5.7627864934389102E-3</c:v>
                </c:pt>
                <c:pt idx="776">
                  <c:v>-4.2117832909042367E-3</c:v>
                </c:pt>
                <c:pt idx="777">
                  <c:v>-2.8519794041159232E-3</c:v>
                </c:pt>
                <c:pt idx="778">
                  <c:v>-1.0056728812116945E-3</c:v>
                </c:pt>
                <c:pt idx="779">
                  <c:v>2.4993470359646608E-4</c:v>
                </c:pt>
                <c:pt idx="780">
                  <c:v>2.1230902290582778E-3</c:v>
                </c:pt>
                <c:pt idx="781">
                  <c:v>4.3876140784064434E-3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3-496E-84D3-0BA557453377}"/>
            </c:ext>
          </c:extLst>
        </c:ser>
        <c:ser>
          <c:idx val="2"/>
          <c:order val="2"/>
          <c:tx>
            <c:strRef>
              <c:f>Sheet1!$S$1</c:f>
              <c:strCache>
                <c:ptCount val="1"/>
                <c:pt idx="0">
                  <c:v>Δy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Sheet1!$S$2:$S$920</c:f>
              <c:numCache>
                <c:formatCode>General</c:formatCode>
                <c:ptCount val="919"/>
                <c:pt idx="0">
                  <c:v>0</c:v>
                </c:pt>
                <c:pt idx="1">
                  <c:v>2.9213278217682159E-2</c:v>
                </c:pt>
                <c:pt idx="2">
                  <c:v>2.1619684015698228E-2</c:v>
                </c:pt>
                <c:pt idx="3">
                  <c:v>1.6945456608494142E-2</c:v>
                </c:pt>
                <c:pt idx="4">
                  <c:v>9.9159036871450321E-3</c:v>
                </c:pt>
                <c:pt idx="5">
                  <c:v>6.4611804745666884E-3</c:v>
                </c:pt>
                <c:pt idx="6">
                  <c:v>6.9317009648841715E-3</c:v>
                </c:pt>
                <c:pt idx="7">
                  <c:v>9.6322137693128779E-3</c:v>
                </c:pt>
                <c:pt idx="8">
                  <c:v>1.0797007966362036E-2</c:v>
                </c:pt>
                <c:pt idx="9">
                  <c:v>1.2025413808667257E-2</c:v>
                </c:pt>
                <c:pt idx="10">
                  <c:v>1.1613659774354419E-2</c:v>
                </c:pt>
                <c:pt idx="11">
                  <c:v>1.1258738315064375E-2</c:v>
                </c:pt>
                <c:pt idx="12">
                  <c:v>1.2274755850723879E-2</c:v>
                </c:pt>
                <c:pt idx="13">
                  <c:v>1.5372899913109681E-2</c:v>
                </c:pt>
                <c:pt idx="14">
                  <c:v>1.4425956870302181E-2</c:v>
                </c:pt>
                <c:pt idx="15">
                  <c:v>1.3416585560047829E-2</c:v>
                </c:pt>
                <c:pt idx="16">
                  <c:v>1.4334702526216568E-2</c:v>
                </c:pt>
                <c:pt idx="17">
                  <c:v>1.295146155776121E-2</c:v>
                </c:pt>
                <c:pt idx="18">
                  <c:v>8.8123115799740373E-3</c:v>
                </c:pt>
                <c:pt idx="19">
                  <c:v>4.6165299905062337E-3</c:v>
                </c:pt>
                <c:pt idx="20">
                  <c:v>4.4190815125355332E-3</c:v>
                </c:pt>
                <c:pt idx="21">
                  <c:v>4.5621773501584861E-3</c:v>
                </c:pt>
                <c:pt idx="22">
                  <c:v>5.5771825388752638E-3</c:v>
                </c:pt>
                <c:pt idx="23">
                  <c:v>5.6344541864760123E-3</c:v>
                </c:pt>
                <c:pt idx="24">
                  <c:v>4.920815606603221E-3</c:v>
                </c:pt>
                <c:pt idx="25">
                  <c:v>3.9865298140308175E-3</c:v>
                </c:pt>
                <c:pt idx="26">
                  <c:v>5.6781559691754246E-3</c:v>
                </c:pt>
                <c:pt idx="27">
                  <c:v>6.1077893160561558E-3</c:v>
                </c:pt>
                <c:pt idx="28">
                  <c:v>3.7726298606216291E-3</c:v>
                </c:pt>
                <c:pt idx="29">
                  <c:v>1.9540592785301791E-3</c:v>
                </c:pt>
                <c:pt idx="30">
                  <c:v>1.7908377189272962E-3</c:v>
                </c:pt>
                <c:pt idx="31">
                  <c:v>1.0817468024047344E-3</c:v>
                </c:pt>
                <c:pt idx="32">
                  <c:v>9.8678428685787523E-4</c:v>
                </c:pt>
                <c:pt idx="33">
                  <c:v>2.0819864208889288E-3</c:v>
                </c:pt>
                <c:pt idx="34">
                  <c:v>1.9295465371885895E-3</c:v>
                </c:pt>
                <c:pt idx="35">
                  <c:v>2.9426281716554009E-3</c:v>
                </c:pt>
                <c:pt idx="36">
                  <c:v>3.0945413622108509E-3</c:v>
                </c:pt>
                <c:pt idx="37">
                  <c:v>2.2290984412491888E-3</c:v>
                </c:pt>
                <c:pt idx="38">
                  <c:v>8.2303090876187368E-4</c:v>
                </c:pt>
                <c:pt idx="39">
                  <c:v>6.7329066343448096E-4</c:v>
                </c:pt>
                <c:pt idx="40">
                  <c:v>1.8991587376524927E-3</c:v>
                </c:pt>
                <c:pt idx="41">
                  <c:v>2.2635549049157405E-3</c:v>
                </c:pt>
                <c:pt idx="42">
                  <c:v>4.070733537412774E-3</c:v>
                </c:pt>
                <c:pt idx="43">
                  <c:v>3.9393640258184592E-3</c:v>
                </c:pt>
                <c:pt idx="44">
                  <c:v>3.3933239692410938E-3</c:v>
                </c:pt>
                <c:pt idx="45">
                  <c:v>2.2995215137110586E-3</c:v>
                </c:pt>
                <c:pt idx="46">
                  <c:v>2.603462154286168E-3</c:v>
                </c:pt>
                <c:pt idx="47">
                  <c:v>-8.7311182078685101E-4</c:v>
                </c:pt>
                <c:pt idx="48">
                  <c:v>-2.1349093216330578E-3</c:v>
                </c:pt>
                <c:pt idx="49">
                  <c:v>-2.7571310422744438E-3</c:v>
                </c:pt>
                <c:pt idx="50">
                  <c:v>-3.8569054434807737E-3</c:v>
                </c:pt>
                <c:pt idx="51">
                  <c:v>-4.884049526716977E-3</c:v>
                </c:pt>
                <c:pt idx="52">
                  <c:v>-4.9219723825483092E-3</c:v>
                </c:pt>
                <c:pt idx="53">
                  <c:v>-3.0957548356540521E-3</c:v>
                </c:pt>
                <c:pt idx="54">
                  <c:v>-2.2908389189328915E-3</c:v>
                </c:pt>
                <c:pt idx="55">
                  <c:v>-6.5180735899730835E-4</c:v>
                </c:pt>
                <c:pt idx="56">
                  <c:v>1.2335230596303981E-3</c:v>
                </c:pt>
                <c:pt idx="57">
                  <c:v>4.4466066489201594E-4</c:v>
                </c:pt>
                <c:pt idx="58">
                  <c:v>-6.9348713868642997E-4</c:v>
                </c:pt>
                <c:pt idx="59">
                  <c:v>1.0810906418984439E-3</c:v>
                </c:pt>
                <c:pt idx="60">
                  <c:v>2.063011279028526E-3</c:v>
                </c:pt>
                <c:pt idx="61">
                  <c:v>2.2153782728661642E-3</c:v>
                </c:pt>
                <c:pt idx="62">
                  <c:v>2.5455498145968009E-3</c:v>
                </c:pt>
                <c:pt idx="63">
                  <c:v>2.2960513514176384E-3</c:v>
                </c:pt>
                <c:pt idx="64">
                  <c:v>-9.0873472359531693E-6</c:v>
                </c:pt>
                <c:pt idx="65">
                  <c:v>-2.5453275109761642E-4</c:v>
                </c:pt>
                <c:pt idx="66">
                  <c:v>-1.0037380224561798E-3</c:v>
                </c:pt>
                <c:pt idx="67">
                  <c:v>-1.9935542795961325E-3</c:v>
                </c:pt>
                <c:pt idx="68">
                  <c:v>-1.7270871670184845E-3</c:v>
                </c:pt>
                <c:pt idx="69">
                  <c:v>-9.3902338825030407E-5</c:v>
                </c:pt>
                <c:pt idx="70">
                  <c:v>-1.3095709872922023E-4</c:v>
                </c:pt>
                <c:pt idx="71">
                  <c:v>9.1397308286182699E-4</c:v>
                </c:pt>
                <c:pt idx="72">
                  <c:v>3.3741448132412755E-4</c:v>
                </c:pt>
                <c:pt idx="73">
                  <c:v>-6.4910138789270322E-4</c:v>
                </c:pt>
                <c:pt idx="74">
                  <c:v>-1.2423971915557913E-3</c:v>
                </c:pt>
                <c:pt idx="75">
                  <c:v>-1.4585916630503459E-3</c:v>
                </c:pt>
                <c:pt idx="76">
                  <c:v>-2.9217836017272347E-3</c:v>
                </c:pt>
                <c:pt idx="77">
                  <c:v>-5.9396489937697111E-3</c:v>
                </c:pt>
                <c:pt idx="78">
                  <c:v>-1.033484895499602E-2</c:v>
                </c:pt>
                <c:pt idx="79">
                  <c:v>-1.060612117945077E-2</c:v>
                </c:pt>
                <c:pt idx="80">
                  <c:v>-1.0371491172856115E-2</c:v>
                </c:pt>
                <c:pt idx="81">
                  <c:v>-1.3290817558780615E-2</c:v>
                </c:pt>
                <c:pt idx="82">
                  <c:v>-1.3407169644452571E-2</c:v>
                </c:pt>
                <c:pt idx="83">
                  <c:v>-1.2000685283736705E-2</c:v>
                </c:pt>
                <c:pt idx="84">
                  <c:v>-1.2134816922128346E-2</c:v>
                </c:pt>
                <c:pt idx="85">
                  <c:v>-8.404467936111007E-3</c:v>
                </c:pt>
                <c:pt idx="86">
                  <c:v>-3.6377405253746886E-3</c:v>
                </c:pt>
                <c:pt idx="87">
                  <c:v>-2.5868341184548185E-3</c:v>
                </c:pt>
                <c:pt idx="88">
                  <c:v>4.8162899331646927E-3</c:v>
                </c:pt>
                <c:pt idx="89">
                  <c:v>9.669484544836314E-3</c:v>
                </c:pt>
                <c:pt idx="90">
                  <c:v>1.5068495133471416E-2</c:v>
                </c:pt>
                <c:pt idx="91">
                  <c:v>1.6250906250154878E-2</c:v>
                </c:pt>
                <c:pt idx="92">
                  <c:v>1.4359838861754418E-2</c:v>
                </c:pt>
                <c:pt idx="93">
                  <c:v>1.6404841455129923E-2</c:v>
                </c:pt>
                <c:pt idx="94">
                  <c:v>1.5055678403356684E-2</c:v>
                </c:pt>
                <c:pt idx="95">
                  <c:v>1.2705288805795148E-2</c:v>
                </c:pt>
                <c:pt idx="96">
                  <c:v>1.1788891910115132E-2</c:v>
                </c:pt>
                <c:pt idx="97">
                  <c:v>8.1759164848175803E-3</c:v>
                </c:pt>
                <c:pt idx="98">
                  <c:v>3.2025299684940722E-3</c:v>
                </c:pt>
                <c:pt idx="99">
                  <c:v>2.3930043097552117E-3</c:v>
                </c:pt>
                <c:pt idx="100">
                  <c:v>-1.5693483218658655E-3</c:v>
                </c:pt>
                <c:pt idx="101">
                  <c:v>-3.4677864733257818E-3</c:v>
                </c:pt>
                <c:pt idx="102">
                  <c:v>-5.1866715624317578E-3</c:v>
                </c:pt>
                <c:pt idx="103">
                  <c:v>-5.6757996904254482E-3</c:v>
                </c:pt>
                <c:pt idx="104">
                  <c:v>-4.533001238771206E-3</c:v>
                </c:pt>
                <c:pt idx="105">
                  <c:v>-3.2884860521733145E-3</c:v>
                </c:pt>
                <c:pt idx="106">
                  <c:v>-3.9166569977044929E-4</c:v>
                </c:pt>
                <c:pt idx="107">
                  <c:v>4.1448739288867109E-4</c:v>
                </c:pt>
                <c:pt idx="108">
                  <c:v>-1.012166047262425E-4</c:v>
                </c:pt>
                <c:pt idx="109">
                  <c:v>-9.7341327436684111E-4</c:v>
                </c:pt>
                <c:pt idx="110">
                  <c:v>-1.501356715619559E-3</c:v>
                </c:pt>
                <c:pt idx="111">
                  <c:v>-3.1347178801841152E-3</c:v>
                </c:pt>
                <c:pt idx="112">
                  <c:v>-6.1614335242966417E-3</c:v>
                </c:pt>
                <c:pt idx="113">
                  <c:v>-7.6324815080479197E-3</c:v>
                </c:pt>
                <c:pt idx="114">
                  <c:v>-9.1352573331151959E-3</c:v>
                </c:pt>
                <c:pt idx="115">
                  <c:v>-1.203286781825863E-2</c:v>
                </c:pt>
                <c:pt idx="116">
                  <c:v>-1.2965397323898745E-2</c:v>
                </c:pt>
                <c:pt idx="117">
                  <c:v>-1.4347239448658122E-2</c:v>
                </c:pt>
                <c:pt idx="118">
                  <c:v>-1.5597122939708191E-2</c:v>
                </c:pt>
                <c:pt idx="119">
                  <c:v>-1.5303039287483423E-2</c:v>
                </c:pt>
                <c:pt idx="120">
                  <c:v>-1.3453273568861057E-2</c:v>
                </c:pt>
                <c:pt idx="121">
                  <c:v>-1.889810035044235E-2</c:v>
                </c:pt>
                <c:pt idx="122">
                  <c:v>-1.7244646883905194E-2</c:v>
                </c:pt>
                <c:pt idx="123">
                  <c:v>-1.4107275706276567E-2</c:v>
                </c:pt>
                <c:pt idx="124">
                  <c:v>-8.1929832339739037E-3</c:v>
                </c:pt>
                <c:pt idx="125">
                  <c:v>-4.3363120465214067E-3</c:v>
                </c:pt>
                <c:pt idx="126">
                  <c:v>3.7409390272102883E-4</c:v>
                </c:pt>
                <c:pt idx="127">
                  <c:v>7.1791041867982144E-3</c:v>
                </c:pt>
                <c:pt idx="128">
                  <c:v>1.1278748096455259E-2</c:v>
                </c:pt>
                <c:pt idx="129">
                  <c:v>1.4015848427338891E-2</c:v>
                </c:pt>
                <c:pt idx="130">
                  <c:v>1.4551622177977383E-2</c:v>
                </c:pt>
                <c:pt idx="131">
                  <c:v>1.5157444638735557E-2</c:v>
                </c:pt>
                <c:pt idx="132">
                  <c:v>1.7946901293563751E-2</c:v>
                </c:pt>
                <c:pt idx="133">
                  <c:v>2.9021330670345152E-2</c:v>
                </c:pt>
                <c:pt idx="134">
                  <c:v>3.2884976073339622E-2</c:v>
                </c:pt>
                <c:pt idx="135">
                  <c:v>3.5206315469669389E-2</c:v>
                </c:pt>
                <c:pt idx="136">
                  <c:v>3.3983312831732518E-2</c:v>
                </c:pt>
                <c:pt idx="137">
                  <c:v>2.9722138201604228E-2</c:v>
                </c:pt>
                <c:pt idx="138">
                  <c:v>2.6360122226925131E-2</c:v>
                </c:pt>
                <c:pt idx="139">
                  <c:v>2.0295684326821828E-2</c:v>
                </c:pt>
                <c:pt idx="140">
                  <c:v>1.607547251720351E-2</c:v>
                </c:pt>
                <c:pt idx="141">
                  <c:v>1.2869898709962149E-2</c:v>
                </c:pt>
                <c:pt idx="142">
                  <c:v>1.1289731177929058E-2</c:v>
                </c:pt>
                <c:pt idx="143">
                  <c:v>8.5521652029514755E-3</c:v>
                </c:pt>
                <c:pt idx="144">
                  <c:v>7.0021969520611821E-3</c:v>
                </c:pt>
                <c:pt idx="145">
                  <c:v>4.2961789285735352E-3</c:v>
                </c:pt>
                <c:pt idx="146">
                  <c:v>9.5841779830702079E-4</c:v>
                </c:pt>
                <c:pt idx="147">
                  <c:v>-4.3021128469147851E-3</c:v>
                </c:pt>
                <c:pt idx="148">
                  <c:v>-8.1724676523712986E-3</c:v>
                </c:pt>
                <c:pt idx="149">
                  <c:v>-7.2033863162523915E-3</c:v>
                </c:pt>
                <c:pt idx="150">
                  <c:v>-3.1802007539923349E-3</c:v>
                </c:pt>
                <c:pt idx="151">
                  <c:v>1.7291548853942684E-4</c:v>
                </c:pt>
                <c:pt idx="152">
                  <c:v>1.9395632317362188E-3</c:v>
                </c:pt>
                <c:pt idx="153">
                  <c:v>3.5559346747460197E-3</c:v>
                </c:pt>
                <c:pt idx="154">
                  <c:v>2.8592051865047041E-3</c:v>
                </c:pt>
                <c:pt idx="155">
                  <c:v>4.261719294736635E-3</c:v>
                </c:pt>
                <c:pt idx="156">
                  <c:v>3.0555420556357404E-3</c:v>
                </c:pt>
                <c:pt idx="157">
                  <c:v>-2.6806805433423619E-3</c:v>
                </c:pt>
                <c:pt idx="158">
                  <c:v>-9.5189094026826848E-3</c:v>
                </c:pt>
                <c:pt idx="159">
                  <c:v>-8.63577521453536E-3</c:v>
                </c:pt>
                <c:pt idx="160">
                  <c:v>-5.3003324868099028E-3</c:v>
                </c:pt>
                <c:pt idx="161">
                  <c:v>-4.8342669472241084E-3</c:v>
                </c:pt>
                <c:pt idx="162">
                  <c:v>-1.1190930748254335E-2</c:v>
                </c:pt>
                <c:pt idx="163">
                  <c:v>-1.6388485173301784E-2</c:v>
                </c:pt>
                <c:pt idx="164">
                  <c:v>-2.2563080578032857E-2</c:v>
                </c:pt>
                <c:pt idx="165">
                  <c:v>-2.3702450957995155E-2</c:v>
                </c:pt>
                <c:pt idx="166">
                  <c:v>-2.0087791959295137E-2</c:v>
                </c:pt>
                <c:pt idx="167">
                  <c:v>-1.8294549119609732E-2</c:v>
                </c:pt>
                <c:pt idx="168">
                  <c:v>-1.8655278382823159E-2</c:v>
                </c:pt>
                <c:pt idx="169">
                  <c:v>-1.4490564142912638E-2</c:v>
                </c:pt>
                <c:pt idx="170">
                  <c:v>-7.3276601261600405E-3</c:v>
                </c:pt>
                <c:pt idx="171">
                  <c:v>-7.5976655575635405E-3</c:v>
                </c:pt>
                <c:pt idx="172">
                  <c:v>-1.1421149174940304E-2</c:v>
                </c:pt>
                <c:pt idx="173">
                  <c:v>-1.2479923584139921E-2</c:v>
                </c:pt>
                <c:pt idx="174">
                  <c:v>-9.7759579752839457E-3</c:v>
                </c:pt>
                <c:pt idx="175">
                  <c:v>-7.570488457838212E-3</c:v>
                </c:pt>
                <c:pt idx="176">
                  <c:v>-3.1019639138655519E-3</c:v>
                </c:pt>
                <c:pt idx="177">
                  <c:v>-7.7020456039011975E-4</c:v>
                </c:pt>
                <c:pt idx="178">
                  <c:v>-1.8429782649045379E-3</c:v>
                </c:pt>
                <c:pt idx="179">
                  <c:v>-4.5602366613573878E-3</c:v>
                </c:pt>
                <c:pt idx="180">
                  <c:v>-3.850108889092145E-3</c:v>
                </c:pt>
                <c:pt idx="181">
                  <c:v>-4.0099488599150412E-4</c:v>
                </c:pt>
                <c:pt idx="182">
                  <c:v>3.7190751140114345E-3</c:v>
                </c:pt>
                <c:pt idx="183">
                  <c:v>9.0927670989300324E-3</c:v>
                </c:pt>
                <c:pt idx="184">
                  <c:v>1.659413270320638E-2</c:v>
                </c:pt>
                <c:pt idx="185">
                  <c:v>2.2997115813618227E-2</c:v>
                </c:pt>
                <c:pt idx="186">
                  <c:v>2.5112766962250704E-2</c:v>
                </c:pt>
                <c:pt idx="187">
                  <c:v>2.4179964392146924E-2</c:v>
                </c:pt>
                <c:pt idx="188">
                  <c:v>2.2719297882076536E-2</c:v>
                </c:pt>
                <c:pt idx="189">
                  <c:v>1.8391886943720515E-2</c:v>
                </c:pt>
                <c:pt idx="190">
                  <c:v>1.7244070808069084E-2</c:v>
                </c:pt>
                <c:pt idx="191">
                  <c:v>1.8040452015678984E-2</c:v>
                </c:pt>
                <c:pt idx="192">
                  <c:v>1.8862115667285906E-2</c:v>
                </c:pt>
                <c:pt idx="193">
                  <c:v>1.8839424015116346E-2</c:v>
                </c:pt>
                <c:pt idx="194">
                  <c:v>1.301335378974712E-2</c:v>
                </c:pt>
                <c:pt idx="195">
                  <c:v>9.9094337126396925E-3</c:v>
                </c:pt>
                <c:pt idx="196">
                  <c:v>5.5279193005127042E-3</c:v>
                </c:pt>
                <c:pt idx="197">
                  <c:v>-4.1275814437257835E-3</c:v>
                </c:pt>
                <c:pt idx="198">
                  <c:v>-6.8584953144975869E-3</c:v>
                </c:pt>
                <c:pt idx="199">
                  <c:v>-2.9432588633378498E-3</c:v>
                </c:pt>
                <c:pt idx="200">
                  <c:v>-3.9883897960085735E-4</c:v>
                </c:pt>
                <c:pt idx="201">
                  <c:v>4.7758502073513287E-3</c:v>
                </c:pt>
                <c:pt idx="202">
                  <c:v>5.8897233945778282E-3</c:v>
                </c:pt>
                <c:pt idx="203">
                  <c:v>6.9978737946618241E-3</c:v>
                </c:pt>
                <c:pt idx="204">
                  <c:v>6.5670933260262715E-3</c:v>
                </c:pt>
                <c:pt idx="205">
                  <c:v>3.116843411769557E-3</c:v>
                </c:pt>
                <c:pt idx="206">
                  <c:v>2.4394809301497844E-3</c:v>
                </c:pt>
                <c:pt idx="207">
                  <c:v>1.2019717797807361E-3</c:v>
                </c:pt>
                <c:pt idx="208">
                  <c:v>-1.2709007287012852E-3</c:v>
                </c:pt>
                <c:pt idx="209">
                  <c:v>6.9158047761597174E-4</c:v>
                </c:pt>
                <c:pt idx="210">
                  <c:v>-5.4252001361554392E-5</c:v>
                </c:pt>
                <c:pt idx="211">
                  <c:v>-2.4344255317686331E-3</c:v>
                </c:pt>
                <c:pt idx="212">
                  <c:v>-4.7819292319554035E-3</c:v>
                </c:pt>
                <c:pt idx="213">
                  <c:v>-8.9959738840695719E-3</c:v>
                </c:pt>
                <c:pt idx="214">
                  <c:v>-1.1187821212664428E-2</c:v>
                </c:pt>
                <c:pt idx="215">
                  <c:v>-1.360071548933757E-2</c:v>
                </c:pt>
                <c:pt idx="216">
                  <c:v>-1.4097053523715181E-2</c:v>
                </c:pt>
                <c:pt idx="217">
                  <c:v>-1.6128563320522468E-2</c:v>
                </c:pt>
                <c:pt idx="218">
                  <c:v>-1.6114926182432043E-2</c:v>
                </c:pt>
                <c:pt idx="219">
                  <c:v>-1.5268295161081372E-2</c:v>
                </c:pt>
                <c:pt idx="220">
                  <c:v>-1.2269491653847109E-2</c:v>
                </c:pt>
                <c:pt idx="221">
                  <c:v>-1.0748711346918335E-2</c:v>
                </c:pt>
                <c:pt idx="222">
                  <c:v>-1.1033711727025705E-2</c:v>
                </c:pt>
                <c:pt idx="223">
                  <c:v>-9.8568694435590132E-3</c:v>
                </c:pt>
                <c:pt idx="224">
                  <c:v>-6.9437989978581582E-3</c:v>
                </c:pt>
                <c:pt idx="225">
                  <c:v>-6.2163893097823275E-3</c:v>
                </c:pt>
                <c:pt idx="226">
                  <c:v>-6.3013989812301247E-3</c:v>
                </c:pt>
                <c:pt idx="227">
                  <c:v>-5.9806205996809081E-3</c:v>
                </c:pt>
                <c:pt idx="228">
                  <c:v>-7.4096180446293486E-3</c:v>
                </c:pt>
                <c:pt idx="229">
                  <c:v>-5.9372861893550177E-3</c:v>
                </c:pt>
                <c:pt idx="230">
                  <c:v>-3.1231962408977409E-3</c:v>
                </c:pt>
                <c:pt idx="231">
                  <c:v>6.4195177204347253E-4</c:v>
                </c:pt>
                <c:pt idx="232">
                  <c:v>-1.0675656030510877E-3</c:v>
                </c:pt>
                <c:pt idx="233">
                  <c:v>1.5057857375841976E-3</c:v>
                </c:pt>
                <c:pt idx="234">
                  <c:v>4.4205414027922857E-3</c:v>
                </c:pt>
                <c:pt idx="235">
                  <c:v>4.429575106789041E-3</c:v>
                </c:pt>
                <c:pt idx="236">
                  <c:v>8.1104303774298669E-4</c:v>
                </c:pt>
                <c:pt idx="237">
                  <c:v>-2.228577148720573E-4</c:v>
                </c:pt>
                <c:pt idx="238">
                  <c:v>-1.1837677458842732E-3</c:v>
                </c:pt>
                <c:pt idx="239">
                  <c:v>-7.5276479366977178E-4</c:v>
                </c:pt>
                <c:pt idx="240">
                  <c:v>9.9564764245094195E-4</c:v>
                </c:pt>
                <c:pt idx="241">
                  <c:v>3.5835420354644043E-3</c:v>
                </c:pt>
                <c:pt idx="242">
                  <c:v>-1.4003191983161245E-4</c:v>
                </c:pt>
                <c:pt idx="243">
                  <c:v>-7.0339606374767993E-3</c:v>
                </c:pt>
                <c:pt idx="244">
                  <c:v>-4.8747325524381296E-3</c:v>
                </c:pt>
                <c:pt idx="245">
                  <c:v>-2.237969033430251E-3</c:v>
                </c:pt>
                <c:pt idx="246">
                  <c:v>8.5314518566012576E-5</c:v>
                </c:pt>
                <c:pt idx="247">
                  <c:v>1.7553767299808981E-3</c:v>
                </c:pt>
                <c:pt idx="248">
                  <c:v>3.6459615039491911E-3</c:v>
                </c:pt>
                <c:pt idx="249">
                  <c:v>4.9286477191204242E-3</c:v>
                </c:pt>
                <c:pt idx="250">
                  <c:v>6.469273355564728E-3</c:v>
                </c:pt>
                <c:pt idx="251">
                  <c:v>2.9326879783001247E-3</c:v>
                </c:pt>
                <c:pt idx="252">
                  <c:v>1.0179350452181879E-3</c:v>
                </c:pt>
                <c:pt idx="253">
                  <c:v>2.7245877217296766E-4</c:v>
                </c:pt>
                <c:pt idx="254">
                  <c:v>6.2374932435517311E-3</c:v>
                </c:pt>
                <c:pt idx="255">
                  <c:v>1.4682558592728864E-2</c:v>
                </c:pt>
                <c:pt idx="256">
                  <c:v>8.7924456632093029E-3</c:v>
                </c:pt>
                <c:pt idx="257">
                  <c:v>1.0704937017750882E-3</c:v>
                </c:pt>
                <c:pt idx="258">
                  <c:v>-2.0891282485221707E-3</c:v>
                </c:pt>
                <c:pt idx="259">
                  <c:v>-4.034379175048744E-3</c:v>
                </c:pt>
                <c:pt idx="260">
                  <c:v>-4.1006868333598318E-3</c:v>
                </c:pt>
                <c:pt idx="261">
                  <c:v>-1.3759576544993407E-3</c:v>
                </c:pt>
                <c:pt idx="262">
                  <c:v>-1.756489623155888E-5</c:v>
                </c:pt>
                <c:pt idx="263">
                  <c:v>6.8731919390493945E-3</c:v>
                </c:pt>
                <c:pt idx="264">
                  <c:v>8.7173995475335886E-3</c:v>
                </c:pt>
                <c:pt idx="265">
                  <c:v>2.9712656040299379E-3</c:v>
                </c:pt>
                <c:pt idx="266">
                  <c:v>-1.0292721379386305E-3</c:v>
                </c:pt>
                <c:pt idx="267">
                  <c:v>-4.0410578158020655E-3</c:v>
                </c:pt>
                <c:pt idx="268">
                  <c:v>-5.5614834237882604E-4</c:v>
                </c:pt>
                <c:pt idx="269">
                  <c:v>1.2856649523484975E-3</c:v>
                </c:pt>
                <c:pt idx="270">
                  <c:v>-2.1021357769447219E-3</c:v>
                </c:pt>
                <c:pt idx="271">
                  <c:v>-1.596268594257752E-3</c:v>
                </c:pt>
                <c:pt idx="272">
                  <c:v>-1.0798493674309823E-3</c:v>
                </c:pt>
                <c:pt idx="273">
                  <c:v>-3.3892542597049879E-3</c:v>
                </c:pt>
                <c:pt idx="274">
                  <c:v>-3.3602237334470486E-3</c:v>
                </c:pt>
                <c:pt idx="275">
                  <c:v>-2.205049553285765E-3</c:v>
                </c:pt>
                <c:pt idx="276">
                  <c:v>1.3621698630644719E-2</c:v>
                </c:pt>
                <c:pt idx="277">
                  <c:v>2.4172888436399545E-2</c:v>
                </c:pt>
                <c:pt idx="278">
                  <c:v>2.1284583938222204E-2</c:v>
                </c:pt>
                <c:pt idx="279">
                  <c:v>1.4575558873239025E-2</c:v>
                </c:pt>
                <c:pt idx="280">
                  <c:v>1.2274463838572905E-2</c:v>
                </c:pt>
                <c:pt idx="281">
                  <c:v>9.2239223416266114E-3</c:v>
                </c:pt>
                <c:pt idx="282">
                  <c:v>9.3632930283698429E-3</c:v>
                </c:pt>
                <c:pt idx="283">
                  <c:v>5.0853311589138528E-3</c:v>
                </c:pt>
                <c:pt idx="284">
                  <c:v>1.9065316889253781E-3</c:v>
                </c:pt>
                <c:pt idx="285">
                  <c:v>2.7964725675328483E-3</c:v>
                </c:pt>
                <c:pt idx="286">
                  <c:v>1.2460931152117882E-3</c:v>
                </c:pt>
                <c:pt idx="287">
                  <c:v>-4.1456379816667277E-3</c:v>
                </c:pt>
                <c:pt idx="288">
                  <c:v>-1.9944736900430193E-2</c:v>
                </c:pt>
                <c:pt idx="289">
                  <c:v>-2.3633715851810608E-2</c:v>
                </c:pt>
                <c:pt idx="290">
                  <c:v>-1.9968151461180028E-2</c:v>
                </c:pt>
                <c:pt idx="291">
                  <c:v>-1.5230977036210014E-2</c:v>
                </c:pt>
                <c:pt idx="292">
                  <c:v>-1.3369260346731346E-2</c:v>
                </c:pt>
                <c:pt idx="293">
                  <c:v>-1.0774692483922987E-2</c:v>
                </c:pt>
                <c:pt idx="294">
                  <c:v>-9.9819405823833307E-3</c:v>
                </c:pt>
                <c:pt idx="295">
                  <c:v>-9.0634162815982633E-3</c:v>
                </c:pt>
                <c:pt idx="296">
                  <c:v>-5.7857569566101275E-3</c:v>
                </c:pt>
                <c:pt idx="297">
                  <c:v>-5.5977275645739538E-3</c:v>
                </c:pt>
                <c:pt idx="298">
                  <c:v>-1.5259908219464463E-3</c:v>
                </c:pt>
                <c:pt idx="299">
                  <c:v>3.267453878655846E-3</c:v>
                </c:pt>
                <c:pt idx="300">
                  <c:v>6.0629472611115065E-3</c:v>
                </c:pt>
                <c:pt idx="301">
                  <c:v>4.810774691532238E-3</c:v>
                </c:pt>
                <c:pt idx="302">
                  <c:v>1.6732042567431521E-3</c:v>
                </c:pt>
                <c:pt idx="303">
                  <c:v>-1.6025026336736331E-3</c:v>
                </c:pt>
                <c:pt idx="304">
                  <c:v>-1.0607774898149513E-3</c:v>
                </c:pt>
                <c:pt idx="305">
                  <c:v>2.8654405844656949E-3</c:v>
                </c:pt>
                <c:pt idx="306">
                  <c:v>4.8487436283229657E-3</c:v>
                </c:pt>
                <c:pt idx="307">
                  <c:v>6.160719566717876E-3</c:v>
                </c:pt>
                <c:pt idx="308">
                  <c:v>3.9714067358916638E-3</c:v>
                </c:pt>
                <c:pt idx="309">
                  <c:v>1.7943240556116125E-3</c:v>
                </c:pt>
                <c:pt idx="310">
                  <c:v>-3.3232262148775588E-3</c:v>
                </c:pt>
                <c:pt idx="311">
                  <c:v>-6.7737160910207178E-3</c:v>
                </c:pt>
                <c:pt idx="312">
                  <c:v>-1.1183182699383037E-2</c:v>
                </c:pt>
                <c:pt idx="313">
                  <c:v>-1.2909444584667015E-2</c:v>
                </c:pt>
                <c:pt idx="314">
                  <c:v>-8.0238913418483604E-3</c:v>
                </c:pt>
                <c:pt idx="315">
                  <c:v>-1.7606223715276315E-3</c:v>
                </c:pt>
                <c:pt idx="316">
                  <c:v>2.2573635691751082E-3</c:v>
                </c:pt>
                <c:pt idx="317">
                  <c:v>3.3683050662619562E-4</c:v>
                </c:pt>
                <c:pt idx="318">
                  <c:v>1.2911350044355063E-3</c:v>
                </c:pt>
                <c:pt idx="319">
                  <c:v>2.310677364711286E-3</c:v>
                </c:pt>
                <c:pt idx="320">
                  <c:v>4.2128044878834703E-3</c:v>
                </c:pt>
                <c:pt idx="321">
                  <c:v>5.4572661217720808E-3</c:v>
                </c:pt>
                <c:pt idx="322">
                  <c:v>5.322606098392052E-3</c:v>
                </c:pt>
                <c:pt idx="323">
                  <c:v>7.5228389050888411E-3</c:v>
                </c:pt>
                <c:pt idx="324">
                  <c:v>7.4637713873249439E-3</c:v>
                </c:pt>
                <c:pt idx="325">
                  <c:v>3.5742617679959537E-3</c:v>
                </c:pt>
                <c:pt idx="326">
                  <c:v>-1.7424544336062664E-3</c:v>
                </c:pt>
                <c:pt idx="327">
                  <c:v>-5.0999446910450913E-3</c:v>
                </c:pt>
                <c:pt idx="328">
                  <c:v>-1.097881009939404E-2</c:v>
                </c:pt>
                <c:pt idx="329">
                  <c:v>-1.4520368855031593E-2</c:v>
                </c:pt>
                <c:pt idx="330">
                  <c:v>-1.6954695778196624E-2</c:v>
                </c:pt>
                <c:pt idx="331">
                  <c:v>-1.6957918678956227E-2</c:v>
                </c:pt>
                <c:pt idx="332">
                  <c:v>-1.6743572494318043E-2</c:v>
                </c:pt>
                <c:pt idx="333">
                  <c:v>-1.4890569540190239E-2</c:v>
                </c:pt>
                <c:pt idx="334">
                  <c:v>-1.4875198301951546E-2</c:v>
                </c:pt>
                <c:pt idx="335">
                  <c:v>-1.7642976427363705E-2</c:v>
                </c:pt>
                <c:pt idx="336">
                  <c:v>-1.2841617889856674E-2</c:v>
                </c:pt>
                <c:pt idx="337">
                  <c:v>-4.8861307598242476E-3</c:v>
                </c:pt>
                <c:pt idx="338">
                  <c:v>-7.4312743627485967E-5</c:v>
                </c:pt>
                <c:pt idx="339">
                  <c:v>1.3995308357261024E-3</c:v>
                </c:pt>
                <c:pt idx="340">
                  <c:v>3.8121422173423569E-3</c:v>
                </c:pt>
                <c:pt idx="341">
                  <c:v>5.9425331479582497E-3</c:v>
                </c:pt>
                <c:pt idx="342">
                  <c:v>5.8786612860876261E-3</c:v>
                </c:pt>
                <c:pt idx="343">
                  <c:v>3.360740295183004E-3</c:v>
                </c:pt>
                <c:pt idx="344">
                  <c:v>7.7972186132022059E-4</c:v>
                </c:pt>
                <c:pt idx="345">
                  <c:v>-1.4670991296295496E-3</c:v>
                </c:pt>
                <c:pt idx="346">
                  <c:v>1.6716629116190831E-3</c:v>
                </c:pt>
                <c:pt idx="347">
                  <c:v>1.3562966840229493E-3</c:v>
                </c:pt>
                <c:pt idx="348">
                  <c:v>-3.9004761440732949E-3</c:v>
                </c:pt>
                <c:pt idx="349">
                  <c:v>-9.4227653890811836E-3</c:v>
                </c:pt>
                <c:pt idx="350">
                  <c:v>-1.1173343171975075E-2</c:v>
                </c:pt>
                <c:pt idx="351">
                  <c:v>-1.2776200212054792E-2</c:v>
                </c:pt>
                <c:pt idx="352">
                  <c:v>-1.2926154450264349E-2</c:v>
                </c:pt>
                <c:pt idx="353">
                  <c:v>-9.4058051509581034E-3</c:v>
                </c:pt>
                <c:pt idx="354">
                  <c:v>-3.46984016314629E-3</c:v>
                </c:pt>
                <c:pt idx="355">
                  <c:v>1.6675312101064321E-3</c:v>
                </c:pt>
                <c:pt idx="356">
                  <c:v>4.7032645797514747E-3</c:v>
                </c:pt>
                <c:pt idx="357">
                  <c:v>7.0614717593945955E-3</c:v>
                </c:pt>
                <c:pt idx="358">
                  <c:v>6.5566747913724244E-3</c:v>
                </c:pt>
                <c:pt idx="359">
                  <c:v>7.9879314554378994E-3</c:v>
                </c:pt>
                <c:pt idx="360">
                  <c:v>9.0745349144373891E-3</c:v>
                </c:pt>
                <c:pt idx="361">
                  <c:v>1.0252318657725107E-2</c:v>
                </c:pt>
                <c:pt idx="362">
                  <c:v>8.937287392263113E-3</c:v>
                </c:pt>
                <c:pt idx="363">
                  <c:v>8.3501602470313629E-3</c:v>
                </c:pt>
                <c:pt idx="364">
                  <c:v>4.9412479731248682E-3</c:v>
                </c:pt>
                <c:pt idx="365">
                  <c:v>2.9024529078153435E-3</c:v>
                </c:pt>
                <c:pt idx="366">
                  <c:v>-1.4411403638391121E-3</c:v>
                </c:pt>
                <c:pt idx="367">
                  <c:v>-2.5681682830438063E-3</c:v>
                </c:pt>
                <c:pt idx="368">
                  <c:v>-3.6474210945275642E-3</c:v>
                </c:pt>
                <c:pt idx="369">
                  <c:v>-7.3317708741857529E-3</c:v>
                </c:pt>
                <c:pt idx="370">
                  <c:v>-9.9730976553409831E-3</c:v>
                </c:pt>
                <c:pt idx="371">
                  <c:v>-1.0613004480817527E-2</c:v>
                </c:pt>
                <c:pt idx="372">
                  <c:v>-8.2327119693083317E-3</c:v>
                </c:pt>
                <c:pt idx="373">
                  <c:v>-5.6349973572238851E-3</c:v>
                </c:pt>
                <c:pt idx="374">
                  <c:v>-3.0447490783554812E-3</c:v>
                </c:pt>
                <c:pt idx="375">
                  <c:v>-2.7898503434439503E-3</c:v>
                </c:pt>
                <c:pt idx="376">
                  <c:v>5.5870767478296418E-4</c:v>
                </c:pt>
                <c:pt idx="377">
                  <c:v>-6.9374369801131902E-4</c:v>
                </c:pt>
                <c:pt idx="378">
                  <c:v>-2.2371884306888745E-3</c:v>
                </c:pt>
                <c:pt idx="379">
                  <c:v>-6.3820219128711414E-3</c:v>
                </c:pt>
                <c:pt idx="380">
                  <c:v>-8.2326284378364534E-3</c:v>
                </c:pt>
                <c:pt idx="381">
                  <c:v>-6.5015398978641101E-3</c:v>
                </c:pt>
                <c:pt idx="382">
                  <c:v>-4.7261679924339717E-3</c:v>
                </c:pt>
                <c:pt idx="383">
                  <c:v>-4.4425814057518706E-3</c:v>
                </c:pt>
                <c:pt idx="384">
                  <c:v>-5.3001565377957874E-3</c:v>
                </c:pt>
                <c:pt idx="385">
                  <c:v>-3.8818758090943817E-3</c:v>
                </c:pt>
                <c:pt idx="386">
                  <c:v>-6.3897654532439688E-3</c:v>
                </c:pt>
                <c:pt idx="387">
                  <c:v>-8.6242102584886751E-3</c:v>
                </c:pt>
                <c:pt idx="388">
                  <c:v>-9.6989303160004425E-3</c:v>
                </c:pt>
                <c:pt idx="389">
                  <c:v>-1.1111108486775836E-2</c:v>
                </c:pt>
                <c:pt idx="390">
                  <c:v>-9.7728086357395938E-3</c:v>
                </c:pt>
                <c:pt idx="391">
                  <c:v>-6.4018143933385133E-3</c:v>
                </c:pt>
                <c:pt idx="392">
                  <c:v>-2.3953374974027518E-3</c:v>
                </c:pt>
                <c:pt idx="393">
                  <c:v>5.3377431616027926E-6</c:v>
                </c:pt>
                <c:pt idx="394">
                  <c:v>-6.497444826177208E-4</c:v>
                </c:pt>
                <c:pt idx="395">
                  <c:v>-2.5312078259965183E-3</c:v>
                </c:pt>
                <c:pt idx="396">
                  <c:v>-5.4664413009625455E-3</c:v>
                </c:pt>
                <c:pt idx="397">
                  <c:v>-9.8859887832773562E-3</c:v>
                </c:pt>
                <c:pt idx="398">
                  <c:v>-9.4822070906996469E-3</c:v>
                </c:pt>
                <c:pt idx="399">
                  <c:v>-6.6918535407033634E-3</c:v>
                </c:pt>
                <c:pt idx="400">
                  <c:v>8.8656701050275795E-4</c:v>
                </c:pt>
                <c:pt idx="401">
                  <c:v>3.213424592486901E-3</c:v>
                </c:pt>
                <c:pt idx="402">
                  <c:v>2.3599086783100617E-3</c:v>
                </c:pt>
                <c:pt idx="403">
                  <c:v>1.5932497745623653E-3</c:v>
                </c:pt>
                <c:pt idx="404">
                  <c:v>8.0036855090524772E-5</c:v>
                </c:pt>
                <c:pt idx="405">
                  <c:v>-2.0544614241785556E-3</c:v>
                </c:pt>
                <c:pt idx="406">
                  <c:v>8.2102971966122561E-4</c:v>
                </c:pt>
                <c:pt idx="407">
                  <c:v>2.0909255290749926E-3</c:v>
                </c:pt>
                <c:pt idx="408">
                  <c:v>3.0740491763324926E-3</c:v>
                </c:pt>
                <c:pt idx="409">
                  <c:v>3.7204274082480275E-3</c:v>
                </c:pt>
                <c:pt idx="410">
                  <c:v>4.6447419682021252E-3</c:v>
                </c:pt>
                <c:pt idx="411">
                  <c:v>4.0854005490935201E-3</c:v>
                </c:pt>
                <c:pt idx="412">
                  <c:v>-5.3272190236626146E-4</c:v>
                </c:pt>
                <c:pt idx="413">
                  <c:v>-4.2992425164463562E-3</c:v>
                </c:pt>
                <c:pt idx="414">
                  <c:v>-1.3486393711009022E-3</c:v>
                </c:pt>
                <c:pt idx="415">
                  <c:v>-2.5119819339945344E-3</c:v>
                </c:pt>
                <c:pt idx="416">
                  <c:v>-3.425492849188673E-3</c:v>
                </c:pt>
                <c:pt idx="417">
                  <c:v>-4.1957042093226718E-3</c:v>
                </c:pt>
                <c:pt idx="418">
                  <c:v>-5.7862245850756732E-3</c:v>
                </c:pt>
                <c:pt idx="419">
                  <c:v>-5.8262664830543553E-3</c:v>
                </c:pt>
                <c:pt idx="420">
                  <c:v>-3.3775124710277993E-3</c:v>
                </c:pt>
                <c:pt idx="421">
                  <c:v>-3.4590438977375017E-3</c:v>
                </c:pt>
                <c:pt idx="422">
                  <c:v>-3.5043080260305009E-3</c:v>
                </c:pt>
                <c:pt idx="423">
                  <c:v>-1.2252545018949235E-3</c:v>
                </c:pt>
                <c:pt idx="424">
                  <c:v>2.5349485204952055E-3</c:v>
                </c:pt>
                <c:pt idx="425">
                  <c:v>1.0209212550704193E-2</c:v>
                </c:pt>
                <c:pt idx="426">
                  <c:v>1.0329053461584081E-2</c:v>
                </c:pt>
                <c:pt idx="427">
                  <c:v>1.3666068370103444E-2</c:v>
                </c:pt>
                <c:pt idx="428">
                  <c:v>1.3755773553930692E-2</c:v>
                </c:pt>
                <c:pt idx="429">
                  <c:v>1.3923513474814086E-2</c:v>
                </c:pt>
                <c:pt idx="430">
                  <c:v>1.1911038821536834E-2</c:v>
                </c:pt>
                <c:pt idx="431">
                  <c:v>1.1831177721114014E-2</c:v>
                </c:pt>
                <c:pt idx="432">
                  <c:v>1.2134756630173979E-2</c:v>
                </c:pt>
                <c:pt idx="433">
                  <c:v>1.3323218653362189E-2</c:v>
                </c:pt>
                <c:pt idx="434">
                  <c:v>1.5848476102563319E-2</c:v>
                </c:pt>
                <c:pt idx="435">
                  <c:v>1.3164788913130464E-2</c:v>
                </c:pt>
                <c:pt idx="436">
                  <c:v>7.4069992435088494E-3</c:v>
                </c:pt>
                <c:pt idx="437">
                  <c:v>3.1153556486305661E-3</c:v>
                </c:pt>
                <c:pt idx="438">
                  <c:v>1.4643494597471815E-3</c:v>
                </c:pt>
                <c:pt idx="439">
                  <c:v>-2.1820596210627499E-3</c:v>
                </c:pt>
                <c:pt idx="440">
                  <c:v>-2.6543351348394181E-3</c:v>
                </c:pt>
                <c:pt idx="441">
                  <c:v>-5.0491862720392078E-4</c:v>
                </c:pt>
                <c:pt idx="442">
                  <c:v>2.872933747519818E-3</c:v>
                </c:pt>
                <c:pt idx="443">
                  <c:v>5.1180315897280323E-3</c:v>
                </c:pt>
                <c:pt idx="444">
                  <c:v>3.3940267054035148E-3</c:v>
                </c:pt>
                <c:pt idx="445">
                  <c:v>2.1099014457341483E-3</c:v>
                </c:pt>
                <c:pt idx="446">
                  <c:v>-6.8391725817847082E-4</c:v>
                </c:pt>
                <c:pt idx="447">
                  <c:v>3.7977380726274962E-4</c:v>
                </c:pt>
                <c:pt idx="448">
                  <c:v>2.4683737476358103E-4</c:v>
                </c:pt>
                <c:pt idx="449">
                  <c:v>8.6860591597854447E-4</c:v>
                </c:pt>
                <c:pt idx="450">
                  <c:v>1.2211253104730674E-3</c:v>
                </c:pt>
                <c:pt idx="451">
                  <c:v>6.3021304566042574E-3</c:v>
                </c:pt>
                <c:pt idx="452">
                  <c:v>6.2031965065781208E-3</c:v>
                </c:pt>
                <c:pt idx="453">
                  <c:v>4.6949764274934538E-3</c:v>
                </c:pt>
                <c:pt idx="454">
                  <c:v>3.5373390865451881E-3</c:v>
                </c:pt>
                <c:pt idx="455">
                  <c:v>1.4899391516376426E-3</c:v>
                </c:pt>
                <c:pt idx="456">
                  <c:v>2.4556241107404689E-3</c:v>
                </c:pt>
                <c:pt idx="457">
                  <c:v>5.9508114053208744E-3</c:v>
                </c:pt>
                <c:pt idx="458">
                  <c:v>6.6217341873016922E-3</c:v>
                </c:pt>
                <c:pt idx="459">
                  <c:v>7.0507816297347148E-3</c:v>
                </c:pt>
                <c:pt idx="460">
                  <c:v>7.7896569076045807E-3</c:v>
                </c:pt>
                <c:pt idx="461">
                  <c:v>6.5589798709140695E-3</c:v>
                </c:pt>
                <c:pt idx="462">
                  <c:v>5.3472049919442016E-3</c:v>
                </c:pt>
                <c:pt idx="463">
                  <c:v>2.2014058147718091E-3</c:v>
                </c:pt>
                <c:pt idx="464">
                  <c:v>5.9191955966095833E-3</c:v>
                </c:pt>
                <c:pt idx="465">
                  <c:v>8.360677387260651E-3</c:v>
                </c:pt>
                <c:pt idx="466">
                  <c:v>9.3475580998397534E-3</c:v>
                </c:pt>
                <c:pt idx="467">
                  <c:v>9.1629501651354361E-3</c:v>
                </c:pt>
                <c:pt idx="468">
                  <c:v>7.7161104160708704E-3</c:v>
                </c:pt>
                <c:pt idx="469">
                  <c:v>3.8635977620558037E-3</c:v>
                </c:pt>
                <c:pt idx="470">
                  <c:v>-6.3495017527159803E-4</c:v>
                </c:pt>
                <c:pt idx="471">
                  <c:v>-3.8251495983346318E-4</c:v>
                </c:pt>
                <c:pt idx="472">
                  <c:v>-5.6875856997820606E-4</c:v>
                </c:pt>
                <c:pt idx="473">
                  <c:v>-3.3395421441539952E-4</c:v>
                </c:pt>
                <c:pt idx="474">
                  <c:v>8.0600036638074635E-4</c:v>
                </c:pt>
                <c:pt idx="475">
                  <c:v>-1.0510184461612199E-3</c:v>
                </c:pt>
                <c:pt idx="476">
                  <c:v>-5.3592025420975686E-3</c:v>
                </c:pt>
                <c:pt idx="477">
                  <c:v>-7.6117928505261973E-3</c:v>
                </c:pt>
                <c:pt idx="478">
                  <c:v>-9.9408377550229687E-3</c:v>
                </c:pt>
                <c:pt idx="479">
                  <c:v>-8.4785813711924646E-3</c:v>
                </c:pt>
                <c:pt idx="480">
                  <c:v>-6.9278613635095354E-3</c:v>
                </c:pt>
                <c:pt idx="481">
                  <c:v>-7.396638402269673E-3</c:v>
                </c:pt>
                <c:pt idx="482">
                  <c:v>-1.8972836865451398E-3</c:v>
                </c:pt>
                <c:pt idx="483">
                  <c:v>2.774811785418399E-3</c:v>
                </c:pt>
                <c:pt idx="484">
                  <c:v>-4.2303146755479359E-3</c:v>
                </c:pt>
                <c:pt idx="485">
                  <c:v>-4.27423319956724E-3</c:v>
                </c:pt>
                <c:pt idx="486">
                  <c:v>-5.3051108459257548E-3</c:v>
                </c:pt>
                <c:pt idx="487">
                  <c:v>-2.5928782450169094E-3</c:v>
                </c:pt>
                <c:pt idx="488">
                  <c:v>1.0250202066771352E-3</c:v>
                </c:pt>
                <c:pt idx="489">
                  <c:v>-7.0446445253864731E-4</c:v>
                </c:pt>
                <c:pt idx="490">
                  <c:v>-2.0455732368827029E-3</c:v>
                </c:pt>
                <c:pt idx="491">
                  <c:v>9.0006413242349481E-4</c:v>
                </c:pt>
                <c:pt idx="492">
                  <c:v>4.0640453001838453E-3</c:v>
                </c:pt>
                <c:pt idx="493">
                  <c:v>7.1416513023041944E-3</c:v>
                </c:pt>
                <c:pt idx="494">
                  <c:v>9.6499610833603727E-3</c:v>
                </c:pt>
                <c:pt idx="495">
                  <c:v>8.2974794411395381E-3</c:v>
                </c:pt>
                <c:pt idx="496">
                  <c:v>8.2365550714634111E-3</c:v>
                </c:pt>
                <c:pt idx="497">
                  <c:v>9.8699641167673408E-3</c:v>
                </c:pt>
                <c:pt idx="498">
                  <c:v>9.5609837785506357E-3</c:v>
                </c:pt>
                <c:pt idx="499">
                  <c:v>8.1486011066772279E-3</c:v>
                </c:pt>
                <c:pt idx="500">
                  <c:v>1.7420710083512952E-2</c:v>
                </c:pt>
                <c:pt idx="501">
                  <c:v>9.611457809534929E-3</c:v>
                </c:pt>
                <c:pt idx="502">
                  <c:v>1.2391235749478813E-2</c:v>
                </c:pt>
                <c:pt idx="503">
                  <c:v>1.0460238027022228E-2</c:v>
                </c:pt>
                <c:pt idx="504">
                  <c:v>3.1578902528320157E-3</c:v>
                </c:pt>
                <c:pt idx="505">
                  <c:v>6.6219031319753041E-4</c:v>
                </c:pt>
                <c:pt idx="506">
                  <c:v>-6.9355565877469161E-3</c:v>
                </c:pt>
                <c:pt idx="507">
                  <c:v>-1.553523240689679E-2</c:v>
                </c:pt>
                <c:pt idx="508">
                  <c:v>-8.1857890733996186E-3</c:v>
                </c:pt>
                <c:pt idx="509">
                  <c:v>-9.2219294932572721E-3</c:v>
                </c:pt>
                <c:pt idx="510">
                  <c:v>-5.8668570304078599E-3</c:v>
                </c:pt>
                <c:pt idx="511">
                  <c:v>-3.8130257076744584E-3</c:v>
                </c:pt>
                <c:pt idx="512">
                  <c:v>-1.6400109685240596E-2</c:v>
                </c:pt>
                <c:pt idx="513">
                  <c:v>-5.172539198975909E-3</c:v>
                </c:pt>
                <c:pt idx="514">
                  <c:v>-3.6474540270177158E-3</c:v>
                </c:pt>
                <c:pt idx="515">
                  <c:v>-7.7877226639010699E-3</c:v>
                </c:pt>
                <c:pt idx="516">
                  <c:v>-4.7076570484197305E-3</c:v>
                </c:pt>
                <c:pt idx="517">
                  <c:v>-3.092350511837344E-3</c:v>
                </c:pt>
                <c:pt idx="518">
                  <c:v>-1.3633261370561284E-3</c:v>
                </c:pt>
                <c:pt idx="519">
                  <c:v>3.9685892923618099E-3</c:v>
                </c:pt>
                <c:pt idx="520">
                  <c:v>7.5475916500817447E-3</c:v>
                </c:pt>
                <c:pt idx="521">
                  <c:v>7.3356893470599288E-3</c:v>
                </c:pt>
                <c:pt idx="522">
                  <c:v>5.9542934544207782E-3</c:v>
                </c:pt>
                <c:pt idx="523">
                  <c:v>6.3583603636892805E-3</c:v>
                </c:pt>
                <c:pt idx="524">
                  <c:v>-2.0520808200714669E-3</c:v>
                </c:pt>
                <c:pt idx="525">
                  <c:v>-9.1100805275324687E-3</c:v>
                </c:pt>
                <c:pt idx="526">
                  <c:v>-1.3577031287000094E-2</c:v>
                </c:pt>
                <c:pt idx="527">
                  <c:v>-1.4070482667215251E-2</c:v>
                </c:pt>
                <c:pt idx="528">
                  <c:v>-1.4681562895644623E-2</c:v>
                </c:pt>
                <c:pt idx="529">
                  <c:v>-1.1612407435522699E-2</c:v>
                </c:pt>
                <c:pt idx="530">
                  <c:v>-7.4497486391781123E-3</c:v>
                </c:pt>
                <c:pt idx="531">
                  <c:v>-5.7196952029865897E-3</c:v>
                </c:pt>
                <c:pt idx="532">
                  <c:v>-2.8635439029518067E-3</c:v>
                </c:pt>
                <c:pt idx="533">
                  <c:v>-6.8962254120769756E-3</c:v>
                </c:pt>
                <c:pt idx="534">
                  <c:v>-9.9649710701619695E-3</c:v>
                </c:pt>
                <c:pt idx="535">
                  <c:v>-1.2286119689168373E-2</c:v>
                </c:pt>
                <c:pt idx="536">
                  <c:v>-1.7618968894261428E-3</c:v>
                </c:pt>
                <c:pt idx="537">
                  <c:v>3.3257689365701268E-3</c:v>
                </c:pt>
                <c:pt idx="538">
                  <c:v>5.2547833636847202E-3</c:v>
                </c:pt>
                <c:pt idx="539">
                  <c:v>6.7503655538125387E-3</c:v>
                </c:pt>
                <c:pt idx="540">
                  <c:v>5.0922338958752505E-3</c:v>
                </c:pt>
                <c:pt idx="541">
                  <c:v>1.386383560095239E-5</c:v>
                </c:pt>
                <c:pt idx="542">
                  <c:v>-3.5284501021354969E-3</c:v>
                </c:pt>
                <c:pt idx="543">
                  <c:v>-6.4144988047615953E-3</c:v>
                </c:pt>
                <c:pt idx="544">
                  <c:v>-1.2853811823029561E-2</c:v>
                </c:pt>
                <c:pt idx="545">
                  <c:v>-6.5828542506622539E-3</c:v>
                </c:pt>
                <c:pt idx="546">
                  <c:v>-3.1486170659707838E-3</c:v>
                </c:pt>
                <c:pt idx="547">
                  <c:v>-1.8561409508979707E-3</c:v>
                </c:pt>
                <c:pt idx="548">
                  <c:v>-1.7304676167981398E-3</c:v>
                </c:pt>
                <c:pt idx="549">
                  <c:v>-7.6266337281830077E-4</c:v>
                </c:pt>
                <c:pt idx="550">
                  <c:v>-1.9557283771124701E-3</c:v>
                </c:pt>
                <c:pt idx="551">
                  <c:v>-6.4667778597780196E-4</c:v>
                </c:pt>
                <c:pt idx="552">
                  <c:v>3.7706025673255525E-3</c:v>
                </c:pt>
                <c:pt idx="553">
                  <c:v>4.8694017369186327E-3</c:v>
                </c:pt>
                <c:pt idx="554">
                  <c:v>4.4579940084645345E-3</c:v>
                </c:pt>
                <c:pt idx="555">
                  <c:v>6.2180848777806802E-3</c:v>
                </c:pt>
                <c:pt idx="556">
                  <c:v>3.620789639348837E-3</c:v>
                </c:pt>
                <c:pt idx="557">
                  <c:v>3.3438188784199185E-3</c:v>
                </c:pt>
                <c:pt idx="558">
                  <c:v>3.6227631119643833E-3</c:v>
                </c:pt>
                <c:pt idx="559">
                  <c:v>2.4645588877049776E-3</c:v>
                </c:pt>
                <c:pt idx="560">
                  <c:v>9.5844193537857059E-4</c:v>
                </c:pt>
                <c:pt idx="561">
                  <c:v>2.2592521192041914E-3</c:v>
                </c:pt>
                <c:pt idx="562">
                  <c:v>3.8387473708308278E-3</c:v>
                </c:pt>
                <c:pt idx="563">
                  <c:v>4.7459997780993704E-3</c:v>
                </c:pt>
                <c:pt idx="564">
                  <c:v>3.0238143703975595E-3</c:v>
                </c:pt>
                <c:pt idx="565">
                  <c:v>1.2979330764096575E-3</c:v>
                </c:pt>
                <c:pt idx="566">
                  <c:v>3.130928889484963E-3</c:v>
                </c:pt>
                <c:pt idx="567">
                  <c:v>6.14396376100039E-3</c:v>
                </c:pt>
                <c:pt idx="568">
                  <c:v>5.6739491901293335E-3</c:v>
                </c:pt>
                <c:pt idx="569">
                  <c:v>3.7429237142539706E-3</c:v>
                </c:pt>
                <c:pt idx="570">
                  <c:v>1.5046175962382322E-3</c:v>
                </c:pt>
                <c:pt idx="571">
                  <c:v>5.919946341468571E-3</c:v>
                </c:pt>
                <c:pt idx="572">
                  <c:v>3.566125216744348E-3</c:v>
                </c:pt>
                <c:pt idx="573">
                  <c:v>-1.272284432488037E-3</c:v>
                </c:pt>
                <c:pt idx="574">
                  <c:v>-2.3741543148215541E-3</c:v>
                </c:pt>
                <c:pt idx="575">
                  <c:v>-3.6043374617154497E-3</c:v>
                </c:pt>
                <c:pt idx="576">
                  <c:v>-3.5493115512235107E-3</c:v>
                </c:pt>
                <c:pt idx="577">
                  <c:v>4.4155167263074391E-3</c:v>
                </c:pt>
                <c:pt idx="578">
                  <c:v>6.6305679638649154E-3</c:v>
                </c:pt>
                <c:pt idx="579">
                  <c:v>1.7573332708906222E-3</c:v>
                </c:pt>
                <c:pt idx="580">
                  <c:v>1.0934120252585403E-3</c:v>
                </c:pt>
                <c:pt idx="581">
                  <c:v>-9.484855919264859E-4</c:v>
                </c:pt>
                <c:pt idx="582">
                  <c:v>7.055510905981735E-4</c:v>
                </c:pt>
                <c:pt idx="583">
                  <c:v>-6.2006483659775569E-3</c:v>
                </c:pt>
                <c:pt idx="584">
                  <c:v>1.6634160689363298E-4</c:v>
                </c:pt>
                <c:pt idx="585">
                  <c:v>9.3189356451070168E-3</c:v>
                </c:pt>
                <c:pt idx="586">
                  <c:v>9.8622356354461232E-3</c:v>
                </c:pt>
                <c:pt idx="587">
                  <c:v>2.2097204577665855E-2</c:v>
                </c:pt>
                <c:pt idx="588">
                  <c:v>2.198545578598185E-2</c:v>
                </c:pt>
                <c:pt idx="589">
                  <c:v>1.1406424848549077E-2</c:v>
                </c:pt>
                <c:pt idx="590">
                  <c:v>8.5940778733053919E-3</c:v>
                </c:pt>
                <c:pt idx="591">
                  <c:v>2.7387829136170383E-3</c:v>
                </c:pt>
                <c:pt idx="592">
                  <c:v>6.4487184988987339E-3</c:v>
                </c:pt>
                <c:pt idx="593">
                  <c:v>4.254183559478264E-3</c:v>
                </c:pt>
                <c:pt idx="594">
                  <c:v>-9.5946193166583649E-4</c:v>
                </c:pt>
                <c:pt idx="595">
                  <c:v>-2.2983463956276068E-3</c:v>
                </c:pt>
                <c:pt idx="596">
                  <c:v>-8.9996313478415968E-3</c:v>
                </c:pt>
                <c:pt idx="597">
                  <c:v>-1.5352553919275286E-2</c:v>
                </c:pt>
                <c:pt idx="598">
                  <c:v>-1.4538107249185472E-2</c:v>
                </c:pt>
                <c:pt idx="599">
                  <c:v>-2.9486880629271892E-2</c:v>
                </c:pt>
                <c:pt idx="600">
                  <c:v>-3.5095453593848448E-2</c:v>
                </c:pt>
                <c:pt idx="601">
                  <c:v>-2.6264618027209252E-2</c:v>
                </c:pt>
                <c:pt idx="602">
                  <c:v>-2.7637492626081443E-2</c:v>
                </c:pt>
                <c:pt idx="603">
                  <c:v>-1.9571351934745351E-2</c:v>
                </c:pt>
                <c:pt idx="604">
                  <c:v>-1.6050041347564915E-2</c:v>
                </c:pt>
                <c:pt idx="605">
                  <c:v>-1.1992569100868523E-2</c:v>
                </c:pt>
                <c:pt idx="606">
                  <c:v>-9.1197727082580129E-3</c:v>
                </c:pt>
                <c:pt idx="607">
                  <c:v>-2.6310528993931832E-3</c:v>
                </c:pt>
                <c:pt idx="608">
                  <c:v>8.2657829534298066E-4</c:v>
                </c:pt>
                <c:pt idx="609">
                  <c:v>2.6373038712666358E-3</c:v>
                </c:pt>
                <c:pt idx="610">
                  <c:v>1.1912618499433578E-3</c:v>
                </c:pt>
                <c:pt idx="611">
                  <c:v>4.300410962357757E-3</c:v>
                </c:pt>
                <c:pt idx="612">
                  <c:v>8.9506796179815509E-3</c:v>
                </c:pt>
                <c:pt idx="613">
                  <c:v>8.2750950782191496E-3</c:v>
                </c:pt>
                <c:pt idx="614">
                  <c:v>1.1971809635924653E-2</c:v>
                </c:pt>
                <c:pt idx="615">
                  <c:v>1.2168254468974023E-2</c:v>
                </c:pt>
                <c:pt idx="616">
                  <c:v>1.0871640245249024E-2</c:v>
                </c:pt>
                <c:pt idx="617">
                  <c:v>1.3548203948511528E-2</c:v>
                </c:pt>
                <c:pt idx="618">
                  <c:v>2.4276080092384328E-2</c:v>
                </c:pt>
                <c:pt idx="619">
                  <c:v>3.1000550615370055E-2</c:v>
                </c:pt>
                <c:pt idx="620">
                  <c:v>2.3684679096170308E-2</c:v>
                </c:pt>
                <c:pt idx="621">
                  <c:v>1.7260098290140746E-2</c:v>
                </c:pt>
                <c:pt idx="622">
                  <c:v>1.6140630545652346E-2</c:v>
                </c:pt>
                <c:pt idx="623">
                  <c:v>1.3960362517391897E-2</c:v>
                </c:pt>
                <c:pt idx="624">
                  <c:v>1.5273857724341144E-2</c:v>
                </c:pt>
                <c:pt idx="625">
                  <c:v>1.0750398421292925E-2</c:v>
                </c:pt>
                <c:pt idx="626">
                  <c:v>7.1836022803768856E-3</c:v>
                </c:pt>
                <c:pt idx="627">
                  <c:v>4.6558084984319181E-3</c:v>
                </c:pt>
                <c:pt idx="628">
                  <c:v>1.014043038499321E-3</c:v>
                </c:pt>
                <c:pt idx="629">
                  <c:v>-1.2391318259014072E-4</c:v>
                </c:pt>
                <c:pt idx="630">
                  <c:v>-1.0257498496166667E-2</c:v>
                </c:pt>
                <c:pt idx="631">
                  <c:v>-1.8928664671231846E-2</c:v>
                </c:pt>
                <c:pt idx="632">
                  <c:v>-1.0623575294121682E-2</c:v>
                </c:pt>
                <c:pt idx="633">
                  <c:v>-6.1333493358660118E-3</c:v>
                </c:pt>
                <c:pt idx="634">
                  <c:v>-3.6616583366036876E-3</c:v>
                </c:pt>
                <c:pt idx="635">
                  <c:v>2.5208985117128324E-3</c:v>
                </c:pt>
                <c:pt idx="636">
                  <c:v>-2.2500133276260326E-3</c:v>
                </c:pt>
                <c:pt idx="637">
                  <c:v>-4.6923623120552205E-3</c:v>
                </c:pt>
                <c:pt idx="638">
                  <c:v>-3.085579555072826E-3</c:v>
                </c:pt>
                <c:pt idx="639">
                  <c:v>-4.7321345527926439E-3</c:v>
                </c:pt>
                <c:pt idx="640">
                  <c:v>-4.7048162325911136E-3</c:v>
                </c:pt>
                <c:pt idx="641">
                  <c:v>-5.1221117278601042E-3</c:v>
                </c:pt>
                <c:pt idx="642">
                  <c:v>-5.3183653073983067E-3</c:v>
                </c:pt>
                <c:pt idx="643">
                  <c:v>-5.4348243166248977E-3</c:v>
                </c:pt>
                <c:pt idx="644">
                  <c:v>-6.1210524634248004E-3</c:v>
                </c:pt>
                <c:pt idx="645">
                  <c:v>-9.6431631424635789E-4</c:v>
                </c:pt>
                <c:pt idx="646">
                  <c:v>-5.6394336637602266E-3</c:v>
                </c:pt>
                <c:pt idx="647">
                  <c:v>-9.1570914182291657E-3</c:v>
                </c:pt>
                <c:pt idx="648">
                  <c:v>-3.9889773854682176E-3</c:v>
                </c:pt>
                <c:pt idx="649">
                  <c:v>1.1029572931206544E-4</c:v>
                </c:pt>
                <c:pt idx="650">
                  <c:v>-1.6041859620738591E-3</c:v>
                </c:pt>
                <c:pt idx="651">
                  <c:v>-1.9656223042155418E-4</c:v>
                </c:pt>
                <c:pt idx="652">
                  <c:v>1.8182989847780051E-3</c:v>
                </c:pt>
                <c:pt idx="653">
                  <c:v>1.0407310873457448E-3</c:v>
                </c:pt>
                <c:pt idx="654">
                  <c:v>1.6462687580514057E-3</c:v>
                </c:pt>
                <c:pt idx="655">
                  <c:v>-1.3018260655620409E-3</c:v>
                </c:pt>
                <c:pt idx="656">
                  <c:v>-2.6127721685437477E-3</c:v>
                </c:pt>
                <c:pt idx="657">
                  <c:v>-6.0592941019521618E-3</c:v>
                </c:pt>
                <c:pt idx="658">
                  <c:v>-2.628674527003487E-3</c:v>
                </c:pt>
                <c:pt idx="659">
                  <c:v>-1.1378972632797996E-3</c:v>
                </c:pt>
                <c:pt idx="660">
                  <c:v>-1.0673379048956391E-3</c:v>
                </c:pt>
                <c:pt idx="661">
                  <c:v>1.6309559145824409E-3</c:v>
                </c:pt>
                <c:pt idx="662">
                  <c:v>-4.7123373297389137E-4</c:v>
                </c:pt>
                <c:pt idx="663">
                  <c:v>-9.2109210816637699E-4</c:v>
                </c:pt>
                <c:pt idx="664">
                  <c:v>-3.2397276789367935E-3</c:v>
                </c:pt>
                <c:pt idx="665">
                  <c:v>-3.4330946793037498E-3</c:v>
                </c:pt>
                <c:pt idx="666">
                  <c:v>-3.2423531793615012E-3</c:v>
                </c:pt>
                <c:pt idx="667">
                  <c:v>-9.747261345221872E-4</c:v>
                </c:pt>
                <c:pt idx="668">
                  <c:v>2.9546325779641197E-4</c:v>
                </c:pt>
                <c:pt idx="669">
                  <c:v>-2.2917638383997754E-3</c:v>
                </c:pt>
                <c:pt idx="670">
                  <c:v>1.1713932601956842E-3</c:v>
                </c:pt>
                <c:pt idx="671">
                  <c:v>-8.2802236541326679E-4</c:v>
                </c:pt>
                <c:pt idx="672">
                  <c:v>2.7236163869812161E-3</c:v>
                </c:pt>
                <c:pt idx="673">
                  <c:v>-7.4611556677339763E-4</c:v>
                </c:pt>
                <c:pt idx="674">
                  <c:v>2.5225147142311499E-3</c:v>
                </c:pt>
                <c:pt idx="675">
                  <c:v>4.6367981525424484E-3</c:v>
                </c:pt>
                <c:pt idx="676">
                  <c:v>6.0499442373661283E-3</c:v>
                </c:pt>
                <c:pt idx="677">
                  <c:v>5.8496187203022701E-3</c:v>
                </c:pt>
                <c:pt idx="678">
                  <c:v>5.1820074780483324E-3</c:v>
                </c:pt>
                <c:pt idx="679">
                  <c:v>6.1700103167524334E-3</c:v>
                </c:pt>
                <c:pt idx="680">
                  <c:v>4.8145411399836691E-3</c:v>
                </c:pt>
                <c:pt idx="681">
                  <c:v>5.5073572257917647E-3</c:v>
                </c:pt>
                <c:pt idx="682">
                  <c:v>2.8821790360005622E-3</c:v>
                </c:pt>
                <c:pt idx="683">
                  <c:v>3.4621467199720535E-4</c:v>
                </c:pt>
                <c:pt idx="684">
                  <c:v>-3.7737528279791349E-3</c:v>
                </c:pt>
                <c:pt idx="685">
                  <c:v>-3.4021468808713706E-3</c:v>
                </c:pt>
                <c:pt idx="686">
                  <c:v>-2.6023631832742949E-3</c:v>
                </c:pt>
                <c:pt idx="687">
                  <c:v>-3.7508967477141025E-3</c:v>
                </c:pt>
                <c:pt idx="688">
                  <c:v>-3.9787419172924443E-3</c:v>
                </c:pt>
                <c:pt idx="689">
                  <c:v>-5.8663648348069586E-3</c:v>
                </c:pt>
                <c:pt idx="690">
                  <c:v>-4.7147735623202236E-3</c:v>
                </c:pt>
                <c:pt idx="691">
                  <c:v>-5.7008333053797655E-3</c:v>
                </c:pt>
                <c:pt idx="692">
                  <c:v>-5.7789788276736004E-3</c:v>
                </c:pt>
                <c:pt idx="693">
                  <c:v>-5.7601466046786967E-3</c:v>
                </c:pt>
                <c:pt idx="694">
                  <c:v>-7.3910750471377212E-3</c:v>
                </c:pt>
                <c:pt idx="695">
                  <c:v>-5.2752069762949105E-3</c:v>
                </c:pt>
                <c:pt idx="696">
                  <c:v>-7.9995836298355286E-3</c:v>
                </c:pt>
                <c:pt idx="697">
                  <c:v>-8.1137235447911876E-3</c:v>
                </c:pt>
                <c:pt idx="698">
                  <c:v>-7.2261789859936754E-3</c:v>
                </c:pt>
                <c:pt idx="699">
                  <c:v>-8.0921611000828661E-3</c:v>
                </c:pt>
                <c:pt idx="700">
                  <c:v>-6.1876020588091107E-3</c:v>
                </c:pt>
                <c:pt idx="701">
                  <c:v>-2.8944408442068692E-3</c:v>
                </c:pt>
                <c:pt idx="702">
                  <c:v>-3.9192625792260627E-3</c:v>
                </c:pt>
                <c:pt idx="703">
                  <c:v>-3.8588455499056137E-3</c:v>
                </c:pt>
                <c:pt idx="704">
                  <c:v>-3.9693578160768794E-3</c:v>
                </c:pt>
                <c:pt idx="705">
                  <c:v>-5.7600847089151613E-3</c:v>
                </c:pt>
                <c:pt idx="706">
                  <c:v>-5.5372468072249631E-3</c:v>
                </c:pt>
                <c:pt idx="707">
                  <c:v>-8.8532258313236273E-4</c:v>
                </c:pt>
                <c:pt idx="708">
                  <c:v>2.22034215892606E-3</c:v>
                </c:pt>
                <c:pt idx="709">
                  <c:v>1.6763106379372034E-3</c:v>
                </c:pt>
                <c:pt idx="710">
                  <c:v>3.1306769612413077E-4</c:v>
                </c:pt>
                <c:pt idx="711">
                  <c:v>8.4107378303634878E-4</c:v>
                </c:pt>
                <c:pt idx="712">
                  <c:v>3.0979263754893765E-3</c:v>
                </c:pt>
                <c:pt idx="713">
                  <c:v>5.6547920876813124E-3</c:v>
                </c:pt>
                <c:pt idx="714">
                  <c:v>6.780227805727887E-3</c:v>
                </c:pt>
                <c:pt idx="715">
                  <c:v>7.1044820207124063E-3</c:v>
                </c:pt>
                <c:pt idx="716">
                  <c:v>8.7826830960345548E-3</c:v>
                </c:pt>
                <c:pt idx="717">
                  <c:v>1.3595541233905092E-2</c:v>
                </c:pt>
                <c:pt idx="718">
                  <c:v>1.5459745397780007E-2</c:v>
                </c:pt>
                <c:pt idx="719">
                  <c:v>9.395498886489051E-3</c:v>
                </c:pt>
                <c:pt idx="720">
                  <c:v>7.567065007966528E-3</c:v>
                </c:pt>
                <c:pt idx="721">
                  <c:v>6.671152888122478E-3</c:v>
                </c:pt>
                <c:pt idx="722">
                  <c:v>2.9997731170590208E-2</c:v>
                </c:pt>
                <c:pt idx="723">
                  <c:v>7.1751527348246913E-2</c:v>
                </c:pt>
                <c:pt idx="724">
                  <c:v>9.106735545091843E-2</c:v>
                </c:pt>
                <c:pt idx="725">
                  <c:v>7.9192265763385811E-2</c:v>
                </c:pt>
                <c:pt idx="726">
                  <c:v>6.554292896205105E-2</c:v>
                </c:pt>
                <c:pt idx="727">
                  <c:v>5.1187750327373022E-2</c:v>
                </c:pt>
                <c:pt idx="728">
                  <c:v>4.5876427001086378E-2</c:v>
                </c:pt>
                <c:pt idx="729">
                  <c:v>3.6082252331747333E-2</c:v>
                </c:pt>
                <c:pt idx="730">
                  <c:v>3.2861872182406049E-2</c:v>
                </c:pt>
                <c:pt idx="731">
                  <c:v>2.8893109932161543E-2</c:v>
                </c:pt>
                <c:pt idx="732">
                  <c:v>2.9026495938145658E-2</c:v>
                </c:pt>
                <c:pt idx="733">
                  <c:v>3.0280879033589864E-2</c:v>
                </c:pt>
                <c:pt idx="734">
                  <c:v>6.9622728426601554E-3</c:v>
                </c:pt>
                <c:pt idx="735">
                  <c:v>-3.1013190871516383E-2</c:v>
                </c:pt>
                <c:pt idx="736">
                  <c:v>-5.2635286345174503E-2</c:v>
                </c:pt>
                <c:pt idx="737">
                  <c:v>-5.3378601912833196E-2</c:v>
                </c:pt>
                <c:pt idx="738">
                  <c:v>-4.3401945862087038E-2</c:v>
                </c:pt>
                <c:pt idx="739">
                  <c:v>-2.9724691893044053E-2</c:v>
                </c:pt>
                <c:pt idx="740">
                  <c:v>-2.8597058543526205E-2</c:v>
                </c:pt>
                <c:pt idx="741">
                  <c:v>-2.2534236594910356E-2</c:v>
                </c:pt>
                <c:pt idx="742">
                  <c:v>-2.062214829743142E-2</c:v>
                </c:pt>
                <c:pt idx="743">
                  <c:v>-1.5573917032009998E-2</c:v>
                </c:pt>
                <c:pt idx="744">
                  <c:v>-1.9695834209264268E-2</c:v>
                </c:pt>
                <c:pt idx="745">
                  <c:v>-2.3425588948817133E-2</c:v>
                </c:pt>
                <c:pt idx="746">
                  <c:v>-2.4555552787904139E-2</c:v>
                </c:pt>
                <c:pt idx="747">
                  <c:v>-3.2653822733655247E-2</c:v>
                </c:pt>
                <c:pt idx="748">
                  <c:v>-3.9271296364665892E-2</c:v>
                </c:pt>
                <c:pt idx="749">
                  <c:v>-3.4632415565284097E-2</c:v>
                </c:pt>
                <c:pt idx="750">
                  <c:v>-3.3889218755939865E-2</c:v>
                </c:pt>
                <c:pt idx="751">
                  <c:v>-3.6134012411292812E-2</c:v>
                </c:pt>
                <c:pt idx="752">
                  <c:v>-3.6845271506250651E-2</c:v>
                </c:pt>
                <c:pt idx="753">
                  <c:v>-3.8848966536896873E-2</c:v>
                </c:pt>
                <c:pt idx="754">
                  <c:v>-4.0120253573006442E-2</c:v>
                </c:pt>
                <c:pt idx="755">
                  <c:v>-4.241414327315951E-2</c:v>
                </c:pt>
                <c:pt idx="756">
                  <c:v>-3.9340398289910899E-2</c:v>
                </c:pt>
                <c:pt idx="757">
                  <c:v>-3.6277669654404224E-2</c:v>
                </c:pt>
                <c:pt idx="758">
                  <c:v>-4.2375073708028663E-2</c:v>
                </c:pt>
                <c:pt idx="759">
                  <c:v>-4.0017770909477689E-2</c:v>
                </c:pt>
                <c:pt idx="760">
                  <c:v>-2.7312504856180551E-2</c:v>
                </c:pt>
                <c:pt idx="761">
                  <c:v>-2.100076489945266E-2</c:v>
                </c:pt>
                <c:pt idx="762">
                  <c:v>-1.7572951270483014E-2</c:v>
                </c:pt>
                <c:pt idx="763">
                  <c:v>-1.4260315538762568E-2</c:v>
                </c:pt>
                <c:pt idx="764">
                  <c:v>-1.0560183017809165E-2</c:v>
                </c:pt>
                <c:pt idx="765">
                  <c:v>-6.694625596731639E-3</c:v>
                </c:pt>
                <c:pt idx="766">
                  <c:v>-2.3754084905366554E-3</c:v>
                </c:pt>
                <c:pt idx="767">
                  <c:v>3.5638076625875946E-3</c:v>
                </c:pt>
                <c:pt idx="768">
                  <c:v>6.0743935836839597E-3</c:v>
                </c:pt>
                <c:pt idx="769">
                  <c:v>7.3080337517950518E-3</c:v>
                </c:pt>
                <c:pt idx="770">
                  <c:v>1.8814678276509511E-2</c:v>
                </c:pt>
                <c:pt idx="771">
                  <c:v>2.2104048088722905E-2</c:v>
                </c:pt>
                <c:pt idx="772">
                  <c:v>1.7575572890905278E-2</c:v>
                </c:pt>
                <c:pt idx="773">
                  <c:v>1.7503600796999308E-2</c:v>
                </c:pt>
                <c:pt idx="774">
                  <c:v>2.7248394458148084E-3</c:v>
                </c:pt>
                <c:pt idx="775">
                  <c:v>5.1413468048735929E-3</c:v>
                </c:pt>
                <c:pt idx="776">
                  <c:v>6.2040128101358508E-3</c:v>
                </c:pt>
                <c:pt idx="777">
                  <c:v>5.4392155471536087E-3</c:v>
                </c:pt>
                <c:pt idx="778">
                  <c:v>7.3852260916162041E-3</c:v>
                </c:pt>
                <c:pt idx="779">
                  <c:v>5.0224303392347736E-3</c:v>
                </c:pt>
                <c:pt idx="780">
                  <c:v>7.4926221018472459E-3</c:v>
                </c:pt>
                <c:pt idx="781">
                  <c:v>9.0580953973933738E-3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3-496E-84D3-0BA557453377}"/>
            </c:ext>
          </c:extLst>
        </c:ser>
        <c:ser>
          <c:idx val="3"/>
          <c:order val="3"/>
          <c:tx>
            <c:strRef>
              <c:f>Sheet1!$T$1</c:f>
              <c:strCache>
                <c:ptCount val="1"/>
                <c:pt idx="0">
                  <c:v>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Sheet1!$T$2:$T$920</c:f>
              <c:numCache>
                <c:formatCode>General</c:formatCode>
                <c:ptCount val="919"/>
                <c:pt idx="0">
                  <c:v>9.7508540375141006E-2</c:v>
                </c:pt>
                <c:pt idx="1">
                  <c:v>9.0589611314830343E-2</c:v>
                </c:pt>
                <c:pt idx="2">
                  <c:v>6.5957967791797412E-2</c:v>
                </c:pt>
                <c:pt idx="3">
                  <c:v>7.9483110568837834E-2</c:v>
                </c:pt>
                <c:pt idx="4">
                  <c:v>8.9703270711981808E-2</c:v>
                </c:pt>
                <c:pt idx="5">
                  <c:v>8.9612158689687416E-2</c:v>
                </c:pt>
                <c:pt idx="6">
                  <c:v>9.314040432305104E-2</c:v>
                </c:pt>
                <c:pt idx="7">
                  <c:v>8.6750926408655005E-2</c:v>
                </c:pt>
                <c:pt idx="8">
                  <c:v>6.4429058053886656E-2</c:v>
                </c:pt>
                <c:pt idx="9">
                  <c:v>5.9314291862627488E-2</c:v>
                </c:pt>
                <c:pt idx="10">
                  <c:v>4.659885822570109E-2</c:v>
                </c:pt>
                <c:pt idx="11">
                  <c:v>2.6971715048950795E-2</c:v>
                </c:pt>
                <c:pt idx="12">
                  <c:v>1.3839600217357084E-2</c:v>
                </c:pt>
                <c:pt idx="13">
                  <c:v>1.0088357944340931E-2</c:v>
                </c:pt>
                <c:pt idx="14">
                  <c:v>1.7296360320119941E-2</c:v>
                </c:pt>
                <c:pt idx="15">
                  <c:v>4.189365155277347E-3</c:v>
                </c:pt>
                <c:pt idx="16">
                  <c:v>-4.173628762928594E-3</c:v>
                </c:pt>
                <c:pt idx="17">
                  <c:v>-9.5694510161505875E-3</c:v>
                </c:pt>
                <c:pt idx="18">
                  <c:v>-2.9108084158070646E-2</c:v>
                </c:pt>
                <c:pt idx="19">
                  <c:v>-3.0336837128563499E-2</c:v>
                </c:pt>
                <c:pt idx="20">
                  <c:v>-2.5359912361045733E-2</c:v>
                </c:pt>
                <c:pt idx="21">
                  <c:v>-2.6679364802139283E-2</c:v>
                </c:pt>
                <c:pt idx="22">
                  <c:v>-1.9223324925528473E-2</c:v>
                </c:pt>
                <c:pt idx="23">
                  <c:v>-1.8464645454348894E-2</c:v>
                </c:pt>
                <c:pt idx="24">
                  <c:v>-2.1044547681183801E-2</c:v>
                </c:pt>
                <c:pt idx="25">
                  <c:v>-1.2626430372812081E-2</c:v>
                </c:pt>
                <c:pt idx="26">
                  <c:v>-1.1356588932335931E-2</c:v>
                </c:pt>
                <c:pt idx="27">
                  <c:v>-1.1351814144489492E-2</c:v>
                </c:pt>
                <c:pt idx="28">
                  <c:v>-5.872500098131006E-3</c:v>
                </c:pt>
                <c:pt idx="29">
                  <c:v>-1.6736405580299873E-3</c:v>
                </c:pt>
                <c:pt idx="30">
                  <c:v>1.5491203653895003E-2</c:v>
                </c:pt>
                <c:pt idx="31">
                  <c:v>2.0877585021555234E-2</c:v>
                </c:pt>
                <c:pt idx="32">
                  <c:v>2.4538557078730872E-2</c:v>
                </c:pt>
                <c:pt idx="33">
                  <c:v>3.4464694024789022E-2</c:v>
                </c:pt>
                <c:pt idx="34">
                  <c:v>3.7271394797231405E-2</c:v>
                </c:pt>
                <c:pt idx="35">
                  <c:v>5.6405153600010305E-2</c:v>
                </c:pt>
                <c:pt idx="36">
                  <c:v>7.6535599734263382E-2</c:v>
                </c:pt>
                <c:pt idx="37">
                  <c:v>8.9866256010327827E-2</c:v>
                </c:pt>
                <c:pt idx="38">
                  <c:v>9.0530277094802436E-2</c:v>
                </c:pt>
                <c:pt idx="39">
                  <c:v>9.1651756546132113E-2</c:v>
                </c:pt>
                <c:pt idx="40">
                  <c:v>8.9287567281296276E-2</c:v>
                </c:pt>
                <c:pt idx="41">
                  <c:v>8.2359311026171778E-2</c:v>
                </c:pt>
                <c:pt idx="42">
                  <c:v>7.3662742779037949E-2</c:v>
                </c:pt>
                <c:pt idx="43">
                  <c:v>6.6344740181070616E-2</c:v>
                </c:pt>
                <c:pt idx="44">
                  <c:v>6.712863144709269E-2</c:v>
                </c:pt>
                <c:pt idx="45">
                  <c:v>6.5558409038316334E-2</c:v>
                </c:pt>
                <c:pt idx="46">
                  <c:v>6.7582663518799269E-2</c:v>
                </c:pt>
                <c:pt idx="47">
                  <c:v>5.7936511541578195E-2</c:v>
                </c:pt>
                <c:pt idx="48">
                  <c:v>4.1294696018066901E-2</c:v>
                </c:pt>
                <c:pt idx="49">
                  <c:v>2.2206119201291674E-2</c:v>
                </c:pt>
                <c:pt idx="50">
                  <c:v>1.9514680882532609E-2</c:v>
                </c:pt>
                <c:pt idx="51">
                  <c:v>2.0619287202735759E-2</c:v>
                </c:pt>
                <c:pt idx="52">
                  <c:v>1.8300167585611149E-2</c:v>
                </c:pt>
                <c:pt idx="53">
                  <c:v>2.2875568599075358E-2</c:v>
                </c:pt>
                <c:pt idx="54">
                  <c:v>2.9285226473404258E-2</c:v>
                </c:pt>
                <c:pt idx="55">
                  <c:v>3.1591590072721498E-2</c:v>
                </c:pt>
                <c:pt idx="56">
                  <c:v>2.2788680819366913E-2</c:v>
                </c:pt>
                <c:pt idx="57">
                  <c:v>2.0057436827435104E-2</c:v>
                </c:pt>
                <c:pt idx="58">
                  <c:v>1.3959856959316674E-2</c:v>
                </c:pt>
                <c:pt idx="59">
                  <c:v>9.0260108828594809E-3</c:v>
                </c:pt>
                <c:pt idx="60">
                  <c:v>7.1576873678798059E-3</c:v>
                </c:pt>
                <c:pt idx="61">
                  <c:v>6.7924789458877477E-3</c:v>
                </c:pt>
                <c:pt idx="62">
                  <c:v>9.0532493106083578E-3</c:v>
                </c:pt>
                <c:pt idx="63">
                  <c:v>8.6548047296233221E-3</c:v>
                </c:pt>
                <c:pt idx="64">
                  <c:v>8.651549167193906E-3</c:v>
                </c:pt>
                <c:pt idx="65">
                  <c:v>9.0056893826129247E-3</c:v>
                </c:pt>
                <c:pt idx="66">
                  <c:v>4.1144625090945297E-3</c:v>
                </c:pt>
                <c:pt idx="67">
                  <c:v>5.976857538440683E-3</c:v>
                </c:pt>
                <c:pt idx="68">
                  <c:v>9.7160704549326127E-3</c:v>
                </c:pt>
                <c:pt idx="69">
                  <c:v>9.6943339385733296E-3</c:v>
                </c:pt>
                <c:pt idx="70">
                  <c:v>5.976857538440683E-3</c:v>
                </c:pt>
                <c:pt idx="71">
                  <c:v>5.9723955055304145E-3</c:v>
                </c:pt>
                <c:pt idx="72">
                  <c:v>1.1198325310029844E-2</c:v>
                </c:pt>
                <c:pt idx="73">
                  <c:v>1.4931221774984849E-2</c:v>
                </c:pt>
                <c:pt idx="74">
                  <c:v>1.120250699766645E-2</c:v>
                </c:pt>
                <c:pt idx="75">
                  <c:v>6.3492276786587531E-3</c:v>
                </c:pt>
                <c:pt idx="76">
                  <c:v>8.5773414173035967E-3</c:v>
                </c:pt>
                <c:pt idx="77">
                  <c:v>6.3303134499568259E-3</c:v>
                </c:pt>
                <c:pt idx="78">
                  <c:v>2.6095075385743627E-3</c:v>
                </c:pt>
                <c:pt idx="79">
                  <c:v>0</c:v>
                </c:pt>
                <c:pt idx="80">
                  <c:v>-2.979518032905748E-3</c:v>
                </c:pt>
                <c:pt idx="81">
                  <c:v>-8.570948686561497E-3</c:v>
                </c:pt>
                <c:pt idx="82">
                  <c:v>-2.6104806918469947E-3</c:v>
                </c:pt>
                <c:pt idx="83">
                  <c:v>-3.7285650951384142E-3</c:v>
                </c:pt>
                <c:pt idx="84">
                  <c:v>-6.3303134499568259E-3</c:v>
                </c:pt>
                <c:pt idx="85">
                  <c:v>-6.318549176381083E-3</c:v>
                </c:pt>
                <c:pt idx="86">
                  <c:v>-5.2122232669900015E-3</c:v>
                </c:pt>
                <c:pt idx="87">
                  <c:v>-2.6095075385743627E-3</c:v>
                </c:pt>
                <c:pt idx="88">
                  <c:v>-5.9590492912460213E-3</c:v>
                </c:pt>
                <c:pt idx="89">
                  <c:v>-8.5741438603488263E-3</c:v>
                </c:pt>
                <c:pt idx="90">
                  <c:v>-3.7299558350638584E-3</c:v>
                </c:pt>
                <c:pt idx="91">
                  <c:v>-4.8534722864288504E-3</c:v>
                </c:pt>
                <c:pt idx="92">
                  <c:v>1.4908687070058768E-3</c:v>
                </c:pt>
                <c:pt idx="93">
                  <c:v>3.7355291850875716E-3</c:v>
                </c:pt>
                <c:pt idx="94">
                  <c:v>3.7271753919219108E-3</c:v>
                </c:pt>
                <c:pt idx="95">
                  <c:v>3.7285650951384142E-3</c:v>
                </c:pt>
                <c:pt idx="96">
                  <c:v>2.2388069052712289E-3</c:v>
                </c:pt>
                <c:pt idx="97">
                  <c:v>1.490313241559349E-3</c:v>
                </c:pt>
                <c:pt idx="98">
                  <c:v>3.7257867242561638E-3</c:v>
                </c:pt>
                <c:pt idx="99">
                  <c:v>5.2122232669900015E-3</c:v>
                </c:pt>
                <c:pt idx="100">
                  <c:v>9.6655027560950124E-3</c:v>
                </c:pt>
                <c:pt idx="101">
                  <c:v>1.6339019258075016E-2</c:v>
                </c:pt>
                <c:pt idx="102">
                  <c:v>1.9612099460219135E-2</c:v>
                </c:pt>
                <c:pt idx="103">
                  <c:v>2.1840586817168717E-2</c:v>
                </c:pt>
                <c:pt idx="104">
                  <c:v>1.8450707913116648E-2</c:v>
                </c:pt>
                <c:pt idx="105">
                  <c:v>2.5401697082950925E-2</c:v>
                </c:pt>
                <c:pt idx="106">
                  <c:v>2.316705928153473E-2</c:v>
                </c:pt>
                <c:pt idx="107">
                  <c:v>2.7891716307925307E-2</c:v>
                </c:pt>
                <c:pt idx="108">
                  <c:v>3.0828129361302192E-2</c:v>
                </c:pt>
                <c:pt idx="109">
                  <c:v>3.439782960149973E-2</c:v>
                </c:pt>
                <c:pt idx="110">
                  <c:v>3.5437498070886253E-2</c:v>
                </c:pt>
                <c:pt idx="111">
                  <c:v>3.6460473133578031E-2</c:v>
                </c:pt>
                <c:pt idx="112">
                  <c:v>3.5257149886847472E-2</c:v>
                </c:pt>
                <c:pt idx="113">
                  <c:v>3.4748338538496348E-2</c:v>
                </c:pt>
                <c:pt idx="114">
                  <c:v>3.2446970405774156E-2</c:v>
                </c:pt>
                <c:pt idx="115">
                  <c:v>3.4901905542758627E-2</c:v>
                </c:pt>
                <c:pt idx="116">
                  <c:v>3.4851739957528771E-2</c:v>
                </c:pt>
                <c:pt idx="117">
                  <c:v>2.9018693889035774E-2</c:v>
                </c:pt>
                <c:pt idx="118">
                  <c:v>3.2191620929613141E-2</c:v>
                </c:pt>
                <c:pt idx="119">
                  <c:v>2.9948762354621294E-2</c:v>
                </c:pt>
                <c:pt idx="120">
                  <c:v>3.4455548293609972E-2</c:v>
                </c:pt>
                <c:pt idx="121">
                  <c:v>3.1861102068984071E-2</c:v>
                </c:pt>
                <c:pt idx="122">
                  <c:v>3.5611025323183831E-2</c:v>
                </c:pt>
                <c:pt idx="123">
                  <c:v>3.552334124625256E-2</c:v>
                </c:pt>
                <c:pt idx="124">
                  <c:v>3.3020211028134128E-2</c:v>
                </c:pt>
                <c:pt idx="125">
                  <c:v>2.8062171109814127E-2</c:v>
                </c:pt>
                <c:pt idx="126">
                  <c:v>2.4528209352122854E-2</c:v>
                </c:pt>
                <c:pt idx="127">
                  <c:v>2.3069880174965807E-2</c:v>
                </c:pt>
                <c:pt idx="128">
                  <c:v>2.0619287202735759E-2</c:v>
                </c:pt>
                <c:pt idx="129">
                  <c:v>2.0619287202735759E-2</c:v>
                </c:pt>
                <c:pt idx="130">
                  <c:v>1.8829008152907889E-2</c:v>
                </c:pt>
                <c:pt idx="131">
                  <c:v>1.7409910491312797E-2</c:v>
                </c:pt>
                <c:pt idx="132">
                  <c:v>1.2836256040868133E-2</c:v>
                </c:pt>
                <c:pt idx="133">
                  <c:v>1.039870722089864E-2</c:v>
                </c:pt>
                <c:pt idx="134">
                  <c:v>3.4578181064155444E-3</c:v>
                </c:pt>
                <c:pt idx="135">
                  <c:v>1.3812156891983562E-3</c:v>
                </c:pt>
                <c:pt idx="136">
                  <c:v>3.4494687532573565E-3</c:v>
                </c:pt>
                <c:pt idx="137">
                  <c:v>6.8942017292772384E-3</c:v>
                </c:pt>
                <c:pt idx="138">
                  <c:v>8.9593983183573478E-3</c:v>
                </c:pt>
                <c:pt idx="139">
                  <c:v>8.2588218913017819E-3</c:v>
                </c:pt>
                <c:pt idx="140">
                  <c:v>1.1692017649610698E-2</c:v>
                </c:pt>
                <c:pt idx="141">
                  <c:v>1.5104990245850658E-2</c:v>
                </c:pt>
                <c:pt idx="142">
                  <c:v>1.3722342255101161E-2</c:v>
                </c:pt>
                <c:pt idx="143">
                  <c:v>1.5073940784644524E-2</c:v>
                </c:pt>
                <c:pt idx="144">
                  <c:v>1.2333147077216111E-2</c:v>
                </c:pt>
                <c:pt idx="145">
                  <c:v>1.4038922579429514E-2</c:v>
                </c:pt>
                <c:pt idx="146">
                  <c:v>1.5073940784644524E-2</c:v>
                </c:pt>
                <c:pt idx="147">
                  <c:v>1.9139340210697409E-2</c:v>
                </c:pt>
                <c:pt idx="148">
                  <c:v>1.8086143907790397E-2</c:v>
                </c:pt>
                <c:pt idx="149">
                  <c:v>1.7030384355968042E-2</c:v>
                </c:pt>
                <c:pt idx="150">
                  <c:v>1.3628831055605861E-2</c:v>
                </c:pt>
                <c:pt idx="151">
                  <c:v>1.4628599018860378E-2</c:v>
                </c:pt>
                <c:pt idx="152">
                  <c:v>1.2232568435634583E-2</c:v>
                </c:pt>
                <c:pt idx="153">
                  <c:v>1.3536585717533356E-2</c:v>
                </c:pt>
                <c:pt idx="154">
                  <c:v>1.4544480981757424E-2</c:v>
                </c:pt>
                <c:pt idx="155">
                  <c:v>1.3509155124076244E-2</c:v>
                </c:pt>
                <c:pt idx="156">
                  <c:v>1.587603012503136E-2</c:v>
                </c:pt>
                <c:pt idx="157">
                  <c:v>1.451502276965666E-2</c:v>
                </c:pt>
                <c:pt idx="158">
                  <c:v>1.451502276965666E-2</c:v>
                </c:pt>
                <c:pt idx="159">
                  <c:v>9.0986305867462036E-3</c:v>
                </c:pt>
                <c:pt idx="160">
                  <c:v>9.0894414711746307E-3</c:v>
                </c:pt>
                <c:pt idx="161">
                  <c:v>7.7376332220602251E-3</c:v>
                </c:pt>
                <c:pt idx="162">
                  <c:v>1.2443409254169424E-2</c:v>
                </c:pt>
                <c:pt idx="163">
                  <c:v>1.1083236877982294E-2</c:v>
                </c:pt>
                <c:pt idx="164">
                  <c:v>1.2418350560951641E-2</c:v>
                </c:pt>
                <c:pt idx="165">
                  <c:v>7.7013606828129078E-3</c:v>
                </c:pt>
                <c:pt idx="166">
                  <c:v>6.6934654185888398E-3</c:v>
                </c:pt>
                <c:pt idx="167">
                  <c:v>6.6867517622957173E-3</c:v>
                </c:pt>
                <c:pt idx="168">
                  <c:v>6.6800515603735455E-3</c:v>
                </c:pt>
                <c:pt idx="169">
                  <c:v>9.0075671580822636E-3</c:v>
                </c:pt>
                <c:pt idx="170">
                  <c:v>1.0998277835409631E-2</c:v>
                </c:pt>
                <c:pt idx="171">
                  <c:v>1.3329087708600529E-2</c:v>
                </c:pt>
                <c:pt idx="172">
                  <c:v>1.3315775975772048E-2</c:v>
                </c:pt>
                <c:pt idx="173">
                  <c:v>1.2323220063020113E-2</c:v>
                </c:pt>
                <c:pt idx="174">
                  <c:v>9.9768037383167751E-3</c:v>
                </c:pt>
                <c:pt idx="175">
                  <c:v>1.1292049577765528E-2</c:v>
                </c:pt>
                <c:pt idx="176">
                  <c:v>1.4569794156694904E-2</c:v>
                </c:pt>
                <c:pt idx="177">
                  <c:v>1.3254004493175042E-2</c:v>
                </c:pt>
                <c:pt idx="178">
                  <c:v>1.3254004493175042E-2</c:v>
                </c:pt>
                <c:pt idx="179">
                  <c:v>1.2253837715351157E-2</c:v>
                </c:pt>
                <c:pt idx="180">
                  <c:v>1.3227706097551195E-2</c:v>
                </c:pt>
                <c:pt idx="181">
                  <c:v>1.221338832480301E-2</c:v>
                </c:pt>
                <c:pt idx="182">
                  <c:v>1.1206445557608191E-2</c:v>
                </c:pt>
                <c:pt idx="183">
                  <c:v>8.8977354198651604E-3</c:v>
                </c:pt>
                <c:pt idx="184">
                  <c:v>8.8889474172457739E-3</c:v>
                </c:pt>
                <c:pt idx="185">
                  <c:v>1.3153757558740597E-2</c:v>
                </c:pt>
                <c:pt idx="186">
                  <c:v>1.5432911787051307E-2</c:v>
                </c:pt>
                <c:pt idx="187">
                  <c:v>1.5402565683278802E-2</c:v>
                </c:pt>
                <c:pt idx="188">
                  <c:v>9.8136214483246498E-3</c:v>
                </c:pt>
                <c:pt idx="189">
                  <c:v>1.2105497084899941E-2</c:v>
                </c:pt>
                <c:pt idx="190">
                  <c:v>1.3080631243106211E-2</c:v>
                </c:pt>
                <c:pt idx="191">
                  <c:v>1.6324227988948614E-2</c:v>
                </c:pt>
                <c:pt idx="192">
                  <c:v>1.6292312151434896E-2</c:v>
                </c:pt>
                <c:pt idx="193">
                  <c:v>1.4009025325579572E-2</c:v>
                </c:pt>
                <c:pt idx="194">
                  <c:v>1.3995346416341814E-2</c:v>
                </c:pt>
                <c:pt idx="195">
                  <c:v>1.5302268312159306E-2</c:v>
                </c:pt>
                <c:pt idx="196">
                  <c:v>1.5287336260144446E-2</c:v>
                </c:pt>
                <c:pt idx="197">
                  <c:v>1.2982980155036739E-2</c:v>
                </c:pt>
                <c:pt idx="198">
                  <c:v>1.0695289116747997E-2</c:v>
                </c:pt>
                <c:pt idx="199">
                  <c:v>9.7088141269612294E-3</c:v>
                </c:pt>
                <c:pt idx="200">
                  <c:v>1.1650617219975512E-2</c:v>
                </c:pt>
                <c:pt idx="201">
                  <c:v>1.1960705057664001E-2</c:v>
                </c:pt>
                <c:pt idx="202">
                  <c:v>1.3873427871955002E-2</c:v>
                </c:pt>
                <c:pt idx="203">
                  <c:v>1.1910651025835328E-2</c:v>
                </c:pt>
                <c:pt idx="204">
                  <c:v>1.0929070532190277E-2</c:v>
                </c:pt>
                <c:pt idx="205">
                  <c:v>1.1899159533085069E-2</c:v>
                </c:pt>
                <c:pt idx="206">
                  <c:v>1.1887690193394196E-2</c:v>
                </c:pt>
                <c:pt idx="207">
                  <c:v>1.3797748174281477E-2</c:v>
                </c:pt>
                <c:pt idx="208">
                  <c:v>1.6010588560479988E-2</c:v>
                </c:pt>
                <c:pt idx="209">
                  <c:v>1.916379311516847E-2</c:v>
                </c:pt>
                <c:pt idx="210">
                  <c:v>1.7891851079103294E-2</c:v>
                </c:pt>
                <c:pt idx="211">
                  <c:v>1.5974780607734385E-2</c:v>
                </c:pt>
                <c:pt idx="212">
                  <c:v>1.7225306281879238E-2</c:v>
                </c:pt>
                <c:pt idx="213">
                  <c:v>1.6887449279994637E-2</c:v>
                </c:pt>
                <c:pt idx="214">
                  <c:v>1.7154169056012858E-2</c:v>
                </c:pt>
                <c:pt idx="215">
                  <c:v>1.9018005835761631E-2</c:v>
                </c:pt>
                <c:pt idx="216">
                  <c:v>1.899993824490398E-2</c:v>
                </c:pt>
                <c:pt idx="217">
                  <c:v>2.5253867321203494E-2</c:v>
                </c:pt>
                <c:pt idx="218">
                  <c:v>2.7407606225922976E-2</c:v>
                </c:pt>
                <c:pt idx="219">
                  <c:v>2.8277096096861687E-2</c:v>
                </c:pt>
                <c:pt idx="220">
                  <c:v>2.726159739770706E-2</c:v>
                </c:pt>
                <c:pt idx="221">
                  <c:v>2.406742202196277E-2</c:v>
                </c:pt>
                <c:pt idx="222">
                  <c:v>2.7176434322603082E-2</c:v>
                </c:pt>
                <c:pt idx="223">
                  <c:v>3.4271266735217853E-2</c:v>
                </c:pt>
                <c:pt idx="224">
                  <c:v>3.5113130299934792E-2</c:v>
                </c:pt>
                <c:pt idx="225">
                  <c:v>3.7213596340434307E-2</c:v>
                </c:pt>
                <c:pt idx="226">
                  <c:v>3.4971844849278177E-2</c:v>
                </c:pt>
                <c:pt idx="227">
                  <c:v>3.3042993790696862E-2</c:v>
                </c:pt>
                <c:pt idx="228">
                  <c:v>3.1493803849311774E-2</c:v>
                </c:pt>
                <c:pt idx="229">
                  <c:v>2.8274778468166506E-2</c:v>
                </c:pt>
                <c:pt idx="230">
                  <c:v>2.5162419902243105E-2</c:v>
                </c:pt>
                <c:pt idx="231">
                  <c:v>2.5085438981269359E-2</c:v>
                </c:pt>
                <c:pt idx="232">
                  <c:v>2.2919261436107785E-2</c:v>
                </c:pt>
                <c:pt idx="233">
                  <c:v>2.8016448736909005E-2</c:v>
                </c:pt>
                <c:pt idx="234">
                  <c:v>2.8855456832555415E-2</c:v>
                </c:pt>
                <c:pt idx="235">
                  <c:v>2.5700583108580588E-2</c:v>
                </c:pt>
                <c:pt idx="236">
                  <c:v>2.5623104887897874E-2</c:v>
                </c:pt>
                <c:pt idx="237">
                  <c:v>2.5546092427696454E-2</c:v>
                </c:pt>
                <c:pt idx="238">
                  <c:v>3.0550444198425453E-2</c:v>
                </c:pt>
                <c:pt idx="239">
                  <c:v>3.2280148807292353E-2</c:v>
                </c:pt>
                <c:pt idx="240">
                  <c:v>3.5824726518145056E-2</c:v>
                </c:pt>
                <c:pt idx="241">
                  <c:v>3.5718082602079537E-2</c:v>
                </c:pt>
                <c:pt idx="242">
                  <c:v>3.8637792705413787E-2</c:v>
                </c:pt>
                <c:pt idx="243">
                  <c:v>3.8523281996335257E-2</c:v>
                </c:pt>
                <c:pt idx="244">
                  <c:v>4.1426041654296863E-2</c:v>
                </c:pt>
                <c:pt idx="245">
                  <c:v>4.1182289966415375E-2</c:v>
                </c:pt>
                <c:pt idx="246">
                  <c:v>4.3930929225727056E-2</c:v>
                </c:pt>
                <c:pt idx="247">
                  <c:v>4.3802622658392742E-2</c:v>
                </c:pt>
                <c:pt idx="248">
                  <c:v>4.367506350266126E-2</c:v>
                </c:pt>
                <c:pt idx="249">
                  <c:v>4.6385126580934966E-2</c:v>
                </c:pt>
                <c:pt idx="250">
                  <c:v>4.3296805753324286E-2</c:v>
                </c:pt>
                <c:pt idx="251">
                  <c:v>4.5985113241823417E-2</c:v>
                </c:pt>
                <c:pt idx="252">
                  <c:v>4.5853304496122238E-2</c:v>
                </c:pt>
                <c:pt idx="253">
                  <c:v>4.5722249338094656E-2</c:v>
                </c:pt>
                <c:pt idx="254">
                  <c:v>5.1147511166941051E-2</c:v>
                </c:pt>
                <c:pt idx="255">
                  <c:v>5.3761176891452322E-2</c:v>
                </c:pt>
                <c:pt idx="256">
                  <c:v>5.3609450605380804E-2</c:v>
                </c:pt>
                <c:pt idx="257">
                  <c:v>5.3308553454507024E-2</c:v>
                </c:pt>
                <c:pt idx="258">
                  <c:v>5.3011015966503816E-2</c:v>
                </c:pt>
                <c:pt idx="259">
                  <c:v>5.28634895570681E-2</c:v>
                </c:pt>
                <c:pt idx="260">
                  <c:v>5.5415839141569556E-2</c:v>
                </c:pt>
                <c:pt idx="261">
                  <c:v>5.5110362710518501E-2</c:v>
                </c:pt>
                <c:pt idx="262">
                  <c:v>5.7629112836636409E-2</c:v>
                </c:pt>
                <c:pt idx="263">
                  <c:v>5.7314456595980001E-2</c:v>
                </c:pt>
                <c:pt idx="264">
                  <c:v>5.9800423302787564E-2</c:v>
                </c:pt>
                <c:pt idx="265">
                  <c:v>6.2266388726000876E-2</c:v>
                </c:pt>
                <c:pt idx="266">
                  <c:v>5.9157030847765135E-2</c:v>
                </c:pt>
                <c:pt idx="267">
                  <c:v>5.8840500022933728E-2</c:v>
                </c:pt>
                <c:pt idx="268">
                  <c:v>5.8683501828090012E-2</c:v>
                </c:pt>
                <c:pt idx="269">
                  <c:v>5.8372006221907302E-2</c:v>
                </c:pt>
                <c:pt idx="270">
                  <c:v>5.5496405449515063E-2</c:v>
                </c:pt>
                <c:pt idx="271">
                  <c:v>5.5350095083164685E-2</c:v>
                </c:pt>
                <c:pt idx="272">
                  <c:v>5.5059777183027236E-2</c:v>
                </c:pt>
                <c:pt idx="273">
                  <c:v>5.4772489654118406E-2</c:v>
                </c:pt>
                <c:pt idx="274">
                  <c:v>5.4488185284069512E-2</c:v>
                </c:pt>
                <c:pt idx="275">
                  <c:v>5.4206817836426779E-2</c:v>
                </c:pt>
                <c:pt idx="276">
                  <c:v>5.1425211807436977E-2</c:v>
                </c:pt>
                <c:pt idx="277">
                  <c:v>4.616204176316252E-2</c:v>
                </c:pt>
                <c:pt idx="278">
                  <c:v>4.3429557927336049E-2</c:v>
                </c:pt>
                <c:pt idx="279">
                  <c:v>4.0718093018784707E-2</c:v>
                </c:pt>
                <c:pt idx="280">
                  <c:v>4.3099192481852011E-2</c:v>
                </c:pt>
                <c:pt idx="281">
                  <c:v>4.2881727483265575E-2</c:v>
                </c:pt>
                <c:pt idx="282">
                  <c:v>4.2773815983286667E-2</c:v>
                </c:pt>
                <c:pt idx="283">
                  <c:v>4.2666446318903262E-2</c:v>
                </c:pt>
                <c:pt idx="284">
                  <c:v>4.0005334613699262E-2</c:v>
                </c:pt>
                <c:pt idx="285">
                  <c:v>3.7364246744867824E-2</c:v>
                </c:pt>
                <c:pt idx="286">
                  <c:v>3.4742948443873267E-2</c:v>
                </c:pt>
                <c:pt idx="287">
                  <c:v>3.2141209211797417E-2</c:v>
                </c:pt>
                <c:pt idx="288">
                  <c:v>3.2061932459662934E-2</c:v>
                </c:pt>
                <c:pt idx="289">
                  <c:v>3.6904556935450916E-2</c:v>
                </c:pt>
                <c:pt idx="290">
                  <c:v>3.4401426717332484E-2</c:v>
                </c:pt>
                <c:pt idx="291">
                  <c:v>3.4317092924128989E-2</c:v>
                </c:pt>
                <c:pt idx="292">
                  <c:v>3.1748698314580714E-2</c:v>
                </c:pt>
                <c:pt idx="293">
                  <c:v>2.9199154692262752E-2</c:v>
                </c:pt>
                <c:pt idx="294">
                  <c:v>2.9128272923023335E-2</c:v>
                </c:pt>
                <c:pt idx="295">
                  <c:v>2.9057734479542408E-2</c:v>
                </c:pt>
                <c:pt idx="296">
                  <c:v>3.136565927821966E-2</c:v>
                </c:pt>
                <c:pt idx="297">
                  <c:v>3.1290157993210332E-2</c:v>
                </c:pt>
                <c:pt idx="298">
                  <c:v>3.3576295533604306E-2</c:v>
                </c:pt>
                <c:pt idx="299">
                  <c:v>3.3495954428182095E-2</c:v>
                </c:pt>
                <c:pt idx="300">
                  <c:v>3.5760663879098153E-2</c:v>
                </c:pt>
                <c:pt idx="301">
                  <c:v>3.7919234862293649E-2</c:v>
                </c:pt>
                <c:pt idx="302">
                  <c:v>4.7178560275090486E-2</c:v>
                </c:pt>
                <c:pt idx="303">
                  <c:v>5.1654674864892058E-2</c:v>
                </c:pt>
                <c:pt idx="304">
                  <c:v>5.3814152813907778E-2</c:v>
                </c:pt>
                <c:pt idx="305">
                  <c:v>5.8223660278896361E-2</c:v>
                </c:pt>
                <c:pt idx="306">
                  <c:v>5.5828449552941972E-2</c:v>
                </c:pt>
                <c:pt idx="307">
                  <c:v>7.1376662842227656E-2</c:v>
                </c:pt>
                <c:pt idx="308">
                  <c:v>7.1049346149850034E-2</c:v>
                </c:pt>
                <c:pt idx="309">
                  <c:v>7.7487495478374413E-2</c:v>
                </c:pt>
                <c:pt idx="310">
                  <c:v>7.9316754828587133E-2</c:v>
                </c:pt>
                <c:pt idx="311">
                  <c:v>8.5637885161816918E-2</c:v>
                </c:pt>
                <c:pt idx="312">
                  <c:v>9.168428268902229E-2</c:v>
                </c:pt>
                <c:pt idx="313">
                  <c:v>9.5310179804324768E-2</c:v>
                </c:pt>
                <c:pt idx="314">
                  <c:v>9.656619839105085E-2</c:v>
                </c:pt>
                <c:pt idx="315">
                  <c:v>9.5934075010171149E-2</c:v>
                </c:pt>
                <c:pt idx="316">
                  <c:v>0.10170921082532258</c:v>
                </c:pt>
                <c:pt idx="317">
                  <c:v>0.10309550902697406</c:v>
                </c:pt>
                <c:pt idx="318">
                  <c:v>0.10919929196499201</c:v>
                </c:pt>
                <c:pt idx="319">
                  <c:v>0.10335851298715326</c:v>
                </c:pt>
                <c:pt idx="320">
                  <c:v>0.11285448945523413</c:v>
                </c:pt>
                <c:pt idx="321">
                  <c:v>0.11191791620398517</c:v>
                </c:pt>
                <c:pt idx="322">
                  <c:v>0.11511669060319107</c:v>
                </c:pt>
                <c:pt idx="323">
                  <c:v>0.11417682907965476</c:v>
                </c:pt>
                <c:pt idx="324">
                  <c:v>0.11111316814727612</c:v>
                </c:pt>
                <c:pt idx="325">
                  <c:v>0.10620582424577707</c:v>
                </c:pt>
                <c:pt idx="326">
                  <c:v>9.9485551214805845E-2</c:v>
                </c:pt>
                <c:pt idx="327">
                  <c:v>9.7009736440406336E-2</c:v>
                </c:pt>
                <c:pt idx="328">
                  <c:v>8.8553397341445184E-2</c:v>
                </c:pt>
                <c:pt idx="329">
                  <c:v>8.7861355791334361E-2</c:v>
                </c:pt>
                <c:pt idx="330">
                  <c:v>9.1059965515630115E-2</c:v>
                </c:pt>
                <c:pt idx="331">
                  <c:v>8.2659905688127644E-2</c:v>
                </c:pt>
                <c:pt idx="332">
                  <c:v>7.6082306457439408E-2</c:v>
                </c:pt>
                <c:pt idx="333">
                  <c:v>7.3687715791158848E-2</c:v>
                </c:pt>
                <c:pt idx="334">
                  <c:v>7.1191100858598588E-2</c:v>
                </c:pt>
                <c:pt idx="335">
                  <c:v>6.8864411084693433E-2</c:v>
                </c:pt>
                <c:pt idx="336">
                  <c:v>6.4777498316387572E-2</c:v>
                </c:pt>
                <c:pt idx="337">
                  <c:v>6.0848260417389E-2</c:v>
                </c:pt>
                <c:pt idx="338">
                  <c:v>5.8840500022933728E-2</c:v>
                </c:pt>
                <c:pt idx="339">
                  <c:v>5.6843898976528973E-2</c:v>
                </c:pt>
                <c:pt idx="340">
                  <c:v>6.0292230256119961E-2</c:v>
                </c:pt>
                <c:pt idx="341">
                  <c:v>5.8092556831745856E-2</c:v>
                </c:pt>
                <c:pt idx="342">
                  <c:v>5.4067221270275745E-2</c:v>
                </c:pt>
                <c:pt idx="343">
                  <c:v>5.5619715275093462E-2</c:v>
                </c:pt>
                <c:pt idx="344">
                  <c:v>5.3488684950986354E-2</c:v>
                </c:pt>
                <c:pt idx="345">
                  <c:v>5.3204036063465132E-2</c:v>
                </c:pt>
                <c:pt idx="346">
                  <c:v>4.9392755329576765E-2</c:v>
                </c:pt>
                <c:pt idx="347">
                  <c:v>4.9132688577644856E-2</c:v>
                </c:pt>
                <c:pt idx="348">
                  <c:v>5.0665857446785978E-2</c:v>
                </c:pt>
                <c:pt idx="349">
                  <c:v>5.9044925842626661E-2</c:v>
                </c:pt>
                <c:pt idx="350">
                  <c:v>6.2303883336154442E-2</c:v>
                </c:pt>
                <c:pt idx="351">
                  <c:v>6.7208749693449477E-2</c:v>
                </c:pt>
                <c:pt idx="352">
                  <c:v>6.520319381076245E-2</c:v>
                </c:pt>
                <c:pt idx="353">
                  <c:v>6.486915430308926E-2</c:v>
                </c:pt>
                <c:pt idx="354">
                  <c:v>6.4538521137571081E-2</c:v>
                </c:pt>
                <c:pt idx="355">
                  <c:v>6.4211242456855722E-2</c:v>
                </c:pt>
                <c:pt idx="356">
                  <c:v>6.2257275240320098E-2</c:v>
                </c:pt>
                <c:pt idx="357">
                  <c:v>6.1944485960524709E-2</c:v>
                </c:pt>
                <c:pt idx="358">
                  <c:v>6.4968721187225853E-2</c:v>
                </c:pt>
                <c:pt idx="359">
                  <c:v>6.4645535959225953E-2</c:v>
                </c:pt>
                <c:pt idx="360">
                  <c:v>6.5921720804824169E-2</c:v>
                </c:pt>
                <c:pt idx="361">
                  <c:v>6.0525420387852691E-2</c:v>
                </c:pt>
                <c:pt idx="362">
                  <c:v>6.1808287371875714E-2</c:v>
                </c:pt>
                <c:pt idx="363">
                  <c:v>6.2974799161388262E-2</c:v>
                </c:pt>
                <c:pt idx="364">
                  <c:v>6.8992871486950769E-2</c:v>
                </c:pt>
                <c:pt idx="365">
                  <c:v>7.1743904858840857E-2</c:v>
                </c:pt>
                <c:pt idx="366">
                  <c:v>7.4460353669085322E-2</c:v>
                </c:pt>
                <c:pt idx="367">
                  <c:v>7.562657533091155E-2</c:v>
                </c:pt>
                <c:pt idx="368">
                  <c:v>8.1422104719642618E-2</c:v>
                </c:pt>
                <c:pt idx="369">
                  <c:v>8.5522173438161708E-2</c:v>
                </c:pt>
                <c:pt idx="370">
                  <c:v>8.4993212833392562E-2</c:v>
                </c:pt>
                <c:pt idx="371">
                  <c:v>8.6074608771243177E-2</c:v>
                </c:pt>
                <c:pt idx="372">
                  <c:v>8.8472297629304641E-2</c:v>
                </c:pt>
                <c:pt idx="373">
                  <c:v>9.3866136232091613E-2</c:v>
                </c:pt>
                <c:pt idx="374">
                  <c:v>9.760178779658446E-2</c:v>
                </c:pt>
                <c:pt idx="375">
                  <c:v>9.9710783115707358E-2</c:v>
                </c:pt>
                <c:pt idx="376">
                  <c:v>0.10163264554381257</c:v>
                </c:pt>
                <c:pt idx="377">
                  <c:v>0.10505277600314411</c:v>
                </c:pt>
                <c:pt idx="378">
                  <c:v>0.10840929850718428</c:v>
                </c:pt>
                <c:pt idx="379">
                  <c:v>0.11186435768683012</c:v>
                </c:pt>
                <c:pt idx="380">
                  <c:v>0.11225399417723825</c:v>
                </c:pt>
                <c:pt idx="381">
                  <c:v>0.113967186978158</c:v>
                </c:pt>
                <c:pt idx="382">
                  <c:v>0.11860574240784683</c:v>
                </c:pt>
                <c:pt idx="383">
                  <c:v>0.1244698419469481</c:v>
                </c:pt>
                <c:pt idx="384">
                  <c:v>0.12987508142141202</c:v>
                </c:pt>
                <c:pt idx="385">
                  <c:v>0.13244698984339731</c:v>
                </c:pt>
                <c:pt idx="386">
                  <c:v>0.13621020483454949</c:v>
                </c:pt>
                <c:pt idx="387">
                  <c:v>0.13618367956525024</c:v>
                </c:pt>
                <c:pt idx="388">
                  <c:v>0.13475613252041807</c:v>
                </c:pt>
                <c:pt idx="389">
                  <c:v>0.13335824744185398</c:v>
                </c:pt>
                <c:pt idx="390">
                  <c:v>0.1235502393785417</c:v>
                </c:pt>
                <c:pt idx="391">
                  <c:v>0.1212445486318714</c:v>
                </c:pt>
                <c:pt idx="392">
                  <c:v>0.12016967163411429</c:v>
                </c:pt>
                <c:pt idx="393">
                  <c:v>0.11896437070221477</c:v>
                </c:pt>
                <c:pt idx="394">
                  <c:v>0.11895194286136501</c:v>
                </c:pt>
                <c:pt idx="395">
                  <c:v>0.11648179929841174</c:v>
                </c:pt>
                <c:pt idx="396">
                  <c:v>0.11149550422534205</c:v>
                </c:pt>
                <c:pt idx="397">
                  <c:v>0.10788896201118536</c:v>
                </c:pt>
                <c:pt idx="398">
                  <c:v>0.10085600353672142</c:v>
                </c:pt>
                <c:pt idx="399">
                  <c:v>9.6545510412317626E-2</c:v>
                </c:pt>
                <c:pt idx="400">
                  <c:v>9.3416767198792883E-2</c:v>
                </c:pt>
                <c:pt idx="401">
                  <c:v>9.2551557365245785E-2</c:v>
                </c:pt>
                <c:pt idx="402">
                  <c:v>0.10232929175454331</c:v>
                </c:pt>
                <c:pt idx="403">
                  <c:v>0.10271278273538531</c:v>
                </c:pt>
                <c:pt idx="404">
                  <c:v>0.10404857080986041</c:v>
                </c:pt>
                <c:pt idx="405">
                  <c:v>9.7775743576788088E-2</c:v>
                </c:pt>
                <c:pt idx="406">
                  <c:v>9.1479572864482606E-2</c:v>
                </c:pt>
                <c:pt idx="407">
                  <c:v>8.5370370781324034E-2</c:v>
                </c:pt>
                <c:pt idx="408">
                  <c:v>7.9336742236521651E-2</c:v>
                </c:pt>
                <c:pt idx="409">
                  <c:v>7.3377185713825455E-2</c:v>
                </c:pt>
                <c:pt idx="410">
                  <c:v>6.658214258099715E-2</c:v>
                </c:pt>
                <c:pt idx="411">
                  <c:v>6.4117557123776869E-2</c:v>
                </c:pt>
                <c:pt idx="412">
                  <c:v>6.6835212824642554E-2</c:v>
                </c:pt>
                <c:pt idx="413">
                  <c:v>6.9361127797502142E-2</c:v>
                </c:pt>
                <c:pt idx="414">
                  <c:v>6.3513405722325444E-2</c:v>
                </c:pt>
                <c:pt idx="415">
                  <c:v>5.7941428486189217E-2</c:v>
                </c:pt>
                <c:pt idx="416">
                  <c:v>4.8227374765716036E-2</c:v>
                </c:pt>
                <c:pt idx="417">
                  <c:v>4.9096021336520579E-2</c:v>
                </c:pt>
                <c:pt idx="418">
                  <c:v>4.3802622658393631E-2</c:v>
                </c:pt>
                <c:pt idx="419">
                  <c:v>3.7543512457403061E-2</c:v>
                </c:pt>
                <c:pt idx="420">
                  <c:v>3.6405476385009017E-2</c:v>
                </c:pt>
                <c:pt idx="421">
                  <c:v>3.4253478478539989E-2</c:v>
                </c:pt>
                <c:pt idx="422">
                  <c:v>3.5273366379285243E-2</c:v>
                </c:pt>
                <c:pt idx="423">
                  <c:v>3.9220713153281572E-2</c:v>
                </c:pt>
                <c:pt idx="424">
                  <c:v>3.3832032401434731E-2</c:v>
                </c:pt>
                <c:pt idx="425">
                  <c:v>2.4441135159145588E-2</c:v>
                </c:pt>
                <c:pt idx="426">
                  <c:v>2.3315805313616877E-2</c:v>
                </c:pt>
                <c:pt idx="427">
                  <c:v>2.4268127272437212E-2</c:v>
                </c:pt>
                <c:pt idx="428">
                  <c:v>2.7260648208891958E-2</c:v>
                </c:pt>
                <c:pt idx="429">
                  <c:v>2.7150989065950704E-2</c:v>
                </c:pt>
                <c:pt idx="430">
                  <c:v>3.114264735585337E-2</c:v>
                </c:pt>
                <c:pt idx="431">
                  <c:v>3.7171532108345673E-2</c:v>
                </c:pt>
                <c:pt idx="432">
                  <c:v>4.2006175634154985E-2</c:v>
                </c:pt>
                <c:pt idx="433">
                  <c:v>4.5870454066096578E-2</c:v>
                </c:pt>
                <c:pt idx="434">
                  <c:v>4.7770276268686018E-2</c:v>
                </c:pt>
                <c:pt idx="435">
                  <c:v>4.4539771371770343E-2</c:v>
                </c:pt>
                <c:pt idx="436">
                  <c:v>4.2433598414596041E-2</c:v>
                </c:pt>
                <c:pt idx="437">
                  <c:v>4.2350001572953211E-2</c:v>
                </c:pt>
                <c:pt idx="438">
                  <c:v>4.2183792303505108E-2</c:v>
                </c:pt>
                <c:pt idx="439">
                  <c:v>4.2059989127364084E-2</c:v>
                </c:pt>
                <c:pt idx="440">
                  <c:v>4.1936910618861845E-2</c:v>
                </c:pt>
                <c:pt idx="441">
                  <c:v>4.1773922245637252E-2</c:v>
                </c:pt>
                <c:pt idx="442">
                  <c:v>4.0703293113503847E-2</c:v>
                </c:pt>
                <c:pt idx="443">
                  <c:v>3.9637861759038273E-2</c:v>
                </c:pt>
                <c:pt idx="444">
                  <c:v>3.4652167705572445E-2</c:v>
                </c:pt>
                <c:pt idx="445">
                  <c:v>3.5427352611232976E-2</c:v>
                </c:pt>
                <c:pt idx="446">
                  <c:v>3.7200283686090962E-2</c:v>
                </c:pt>
                <c:pt idx="447">
                  <c:v>3.5191458336313097E-2</c:v>
                </c:pt>
                <c:pt idx="448">
                  <c:v>3.5124635931278014E-2</c:v>
                </c:pt>
                <c:pt idx="449">
                  <c:v>3.5988732332235429E-2</c:v>
                </c:pt>
                <c:pt idx="450">
                  <c:v>3.3997608541419311E-2</c:v>
                </c:pt>
                <c:pt idx="451">
                  <c:v>3.2975196815550056E-2</c:v>
                </c:pt>
                <c:pt idx="452">
                  <c:v>3.1957606768671099E-2</c:v>
                </c:pt>
                <c:pt idx="453">
                  <c:v>3.1837895097608815E-2</c:v>
                </c:pt>
                <c:pt idx="454">
                  <c:v>3.4534463089213929E-2</c:v>
                </c:pt>
                <c:pt idx="455">
                  <c:v>3.7213596340434307E-2</c:v>
                </c:pt>
                <c:pt idx="456">
                  <c:v>3.8965968533384299E-2</c:v>
                </c:pt>
                <c:pt idx="457">
                  <c:v>3.1484081933283115E-2</c:v>
                </c:pt>
                <c:pt idx="458">
                  <c:v>2.1306966312930165E-2</c:v>
                </c:pt>
                <c:pt idx="459">
                  <c:v>1.5762959665257981E-2</c:v>
                </c:pt>
                <c:pt idx="460">
                  <c:v>1.6651633592442039E-2</c:v>
                </c:pt>
                <c:pt idx="461">
                  <c:v>1.7520042420163584E-2</c:v>
                </c:pt>
                <c:pt idx="462">
                  <c:v>1.6574965094212857E-2</c:v>
                </c:pt>
                <c:pt idx="463">
                  <c:v>1.5632502249826707E-2</c:v>
                </c:pt>
                <c:pt idx="464">
                  <c:v>1.7423641147254365E-2</c:v>
                </c:pt>
                <c:pt idx="465">
                  <c:v>1.5546723738300017E-2</c:v>
                </c:pt>
                <c:pt idx="466">
                  <c:v>1.2762251613851916E-2</c:v>
                </c:pt>
                <c:pt idx="467">
                  <c:v>1.1802225056627869E-2</c:v>
                </c:pt>
                <c:pt idx="468">
                  <c:v>1.355646608360761E-2</c:v>
                </c:pt>
                <c:pt idx="469">
                  <c:v>1.8962193439813646E-2</c:v>
                </c:pt>
                <c:pt idx="470">
                  <c:v>2.8018100249571631E-2</c:v>
                </c:pt>
                <c:pt idx="471">
                  <c:v>3.6137626918566923E-2</c:v>
                </c:pt>
                <c:pt idx="472">
                  <c:v>3.6039936483197366E-2</c:v>
                </c:pt>
                <c:pt idx="473">
                  <c:v>3.6791946933576902E-2</c:v>
                </c:pt>
                <c:pt idx="474">
                  <c:v>3.8517972435674785E-2</c:v>
                </c:pt>
                <c:pt idx="475">
                  <c:v>4.1989196286849939E-2</c:v>
                </c:pt>
                <c:pt idx="476">
                  <c:v>4.1839658342908592E-2</c:v>
                </c:pt>
                <c:pt idx="477">
                  <c:v>4.2635231644435834E-2</c:v>
                </c:pt>
                <c:pt idx="478">
                  <c:v>4.4294220231003933E-2</c:v>
                </c:pt>
                <c:pt idx="479">
                  <c:v>4.2409181925093797E-2</c:v>
                </c:pt>
                <c:pt idx="480">
                  <c:v>4.0462863613180744E-2</c:v>
                </c:pt>
                <c:pt idx="481">
                  <c:v>3.8601283696812594E-2</c:v>
                </c:pt>
                <c:pt idx="482">
                  <c:v>3.7608279917159315E-2</c:v>
                </c:pt>
                <c:pt idx="483">
                  <c:v>3.9152456097181876E-2</c:v>
                </c:pt>
                <c:pt idx="484">
                  <c:v>3.9050514871872721E-2</c:v>
                </c:pt>
                <c:pt idx="485">
                  <c:v>3.8881787544207569E-2</c:v>
                </c:pt>
                <c:pt idx="486">
                  <c:v>4.0470438882955762E-2</c:v>
                </c:pt>
                <c:pt idx="487">
                  <c:v>4.0296922310764316E-2</c:v>
                </c:pt>
                <c:pt idx="488">
                  <c:v>4.099634723624046E-2</c:v>
                </c:pt>
                <c:pt idx="489">
                  <c:v>4.1725933670218041E-2</c:v>
                </c:pt>
                <c:pt idx="490">
                  <c:v>4.1584268906634136E-2</c:v>
                </c:pt>
                <c:pt idx="491">
                  <c:v>4.3172171865208497E-2</c:v>
                </c:pt>
                <c:pt idx="492">
                  <c:v>4.3851882528849195E-2</c:v>
                </c:pt>
                <c:pt idx="493">
                  <c:v>4.5424125114255531E-2</c:v>
                </c:pt>
                <c:pt idx="494">
                  <c:v>4.776777373173946E-2</c:v>
                </c:pt>
                <c:pt idx="495">
                  <c:v>4.911515604749539E-2</c:v>
                </c:pt>
                <c:pt idx="496">
                  <c:v>5.1420945814228958E-2</c:v>
                </c:pt>
                <c:pt idx="497">
                  <c:v>5.0403067744896113E-2</c:v>
                </c:pt>
                <c:pt idx="498">
                  <c:v>4.9392755329575877E-2</c:v>
                </c:pt>
                <c:pt idx="499">
                  <c:v>4.5182222793232363E-2</c:v>
                </c:pt>
                <c:pt idx="500">
                  <c:v>4.3396084563761761E-2</c:v>
                </c:pt>
                <c:pt idx="501">
                  <c:v>4.4850566165352213E-2</c:v>
                </c:pt>
                <c:pt idx="502">
                  <c:v>4.5499318069667893E-2</c:v>
                </c:pt>
                <c:pt idx="503">
                  <c:v>4.5351901252959514E-2</c:v>
                </c:pt>
                <c:pt idx="504">
                  <c:v>5.0674290963267588E-2</c:v>
                </c:pt>
                <c:pt idx="505">
                  <c:v>5.1293294387550148E-2</c:v>
                </c:pt>
                <c:pt idx="506">
                  <c:v>5.1047765066023487E-2</c:v>
                </c:pt>
                <c:pt idx="507">
                  <c:v>4.6039876754734088E-2</c:v>
                </c:pt>
                <c:pt idx="508">
                  <c:v>4.2728018454154082E-2</c:v>
                </c:pt>
                <c:pt idx="509">
                  <c:v>4.5677231465992563E-2</c:v>
                </c:pt>
                <c:pt idx="510">
                  <c:v>4.7067510857986328E-2</c:v>
                </c:pt>
                <c:pt idx="511">
                  <c:v>5.5461302986454797E-2</c:v>
                </c:pt>
                <c:pt idx="512">
                  <c:v>5.9870189490949244E-2</c:v>
                </c:pt>
                <c:pt idx="513">
                  <c:v>6.1843505282703326E-2</c:v>
                </c:pt>
                <c:pt idx="514">
                  <c:v>6.0110543057596111E-2</c:v>
                </c:pt>
                <c:pt idx="515">
                  <c:v>6.0671195181136284E-2</c:v>
                </c:pt>
                <c:pt idx="516">
                  <c:v>5.4933718817837374E-2</c:v>
                </c:pt>
                <c:pt idx="517">
                  <c:v>5.1761934558589573E-2</c:v>
                </c:pt>
                <c:pt idx="518">
                  <c:v>4.7085386674687868E-2</c:v>
                </c:pt>
                <c:pt idx="519">
                  <c:v>4.6978335021011119E-2</c:v>
                </c:pt>
                <c:pt idx="520">
                  <c:v>4.9122077653698248E-2</c:v>
                </c:pt>
                <c:pt idx="521">
                  <c:v>4.5889962059498579E-2</c:v>
                </c:pt>
                <c:pt idx="522">
                  <c:v>4.2751166952663233E-2</c:v>
                </c:pt>
                <c:pt idx="523">
                  <c:v>3.7289928245472836E-2</c:v>
                </c:pt>
                <c:pt idx="524">
                  <c:v>3.3398280401848446E-2</c:v>
                </c:pt>
                <c:pt idx="525">
                  <c:v>2.8087581810260609E-2</c:v>
                </c:pt>
                <c:pt idx="526">
                  <c:v>3.0204874471660759E-2</c:v>
                </c:pt>
                <c:pt idx="527">
                  <c:v>2.9370686795988199E-2</c:v>
                </c:pt>
                <c:pt idx="528">
                  <c:v>2.6375155254394045E-2</c:v>
                </c:pt>
                <c:pt idx="529">
                  <c:v>2.7799888277596274E-2</c:v>
                </c:pt>
                <c:pt idx="530">
                  <c:v>3.1400900451190594E-2</c:v>
                </c:pt>
                <c:pt idx="531">
                  <c:v>3.1332253360270457E-2</c:v>
                </c:pt>
                <c:pt idx="532">
                  <c:v>2.9787890756621138E-2</c:v>
                </c:pt>
                <c:pt idx="533">
                  <c:v>2.9701567606909229E-2</c:v>
                </c:pt>
                <c:pt idx="534">
                  <c:v>3.1083095058389354E-2</c:v>
                </c:pt>
                <c:pt idx="535">
                  <c:v>3.0283496587252934E-2</c:v>
                </c:pt>
                <c:pt idx="536">
                  <c:v>2.9487933030643454E-2</c:v>
                </c:pt>
                <c:pt idx="537">
                  <c:v>3.2272431404850366E-2</c:v>
                </c:pt>
                <c:pt idx="538">
                  <c:v>3.0727676523496505E-2</c:v>
                </c:pt>
                <c:pt idx="539">
                  <c:v>2.9235593762236611E-2</c:v>
                </c:pt>
                <c:pt idx="540">
                  <c:v>3.2019811234771822E-2</c:v>
                </c:pt>
                <c:pt idx="541">
                  <c:v>3.1951599806602005E-2</c:v>
                </c:pt>
                <c:pt idx="542">
                  <c:v>2.9747235904729052E-2</c:v>
                </c:pt>
                <c:pt idx="543">
                  <c:v>3.1075946960522849E-2</c:v>
                </c:pt>
                <c:pt idx="544">
                  <c:v>3.1703958587932846E-2</c:v>
                </c:pt>
                <c:pt idx="545">
                  <c:v>2.9538012436863603E-2</c:v>
                </c:pt>
                <c:pt idx="546">
                  <c:v>2.8072018778686036E-2</c:v>
                </c:pt>
                <c:pt idx="547">
                  <c:v>2.8013036227673815E-2</c:v>
                </c:pt>
                <c:pt idx="548">
                  <c:v>2.7264883561805675E-2</c:v>
                </c:pt>
                <c:pt idx="549">
                  <c:v>2.7150989065950704E-2</c:v>
                </c:pt>
                <c:pt idx="550">
                  <c:v>2.7075586605281643E-2</c:v>
                </c:pt>
                <c:pt idx="551">
                  <c:v>2.7721802930272155E-2</c:v>
                </c:pt>
                <c:pt idx="552">
                  <c:v>2.4214258120593968E-2</c:v>
                </c:pt>
                <c:pt idx="553">
                  <c:v>2.4845998586530804E-2</c:v>
                </c:pt>
                <c:pt idx="554">
                  <c:v>2.6172292773265937E-2</c:v>
                </c:pt>
                <c:pt idx="555">
                  <c:v>2.3368761007829697E-2</c:v>
                </c:pt>
                <c:pt idx="556">
                  <c:v>2.2626950929026002E-2</c:v>
                </c:pt>
                <c:pt idx="557">
                  <c:v>2.4641903936928777E-2</c:v>
                </c:pt>
                <c:pt idx="558">
                  <c:v>2.6631823180792935E-2</c:v>
                </c:pt>
                <c:pt idx="559">
                  <c:v>2.859282599384283E-2</c:v>
                </c:pt>
                <c:pt idx="560">
                  <c:v>2.9223962124570235E-2</c:v>
                </c:pt>
                <c:pt idx="561">
                  <c:v>2.5764136936131443E-2</c:v>
                </c:pt>
                <c:pt idx="562">
                  <c:v>2.5694449374783268E-2</c:v>
                </c:pt>
                <c:pt idx="563">
                  <c:v>2.5642430613337375E-2</c:v>
                </c:pt>
                <c:pt idx="564">
                  <c:v>2.8303776162851513E-2</c:v>
                </c:pt>
                <c:pt idx="565">
                  <c:v>2.8227680624867801E-2</c:v>
                </c:pt>
                <c:pt idx="566">
                  <c:v>2.7490836138040819E-2</c:v>
                </c:pt>
                <c:pt idx="567">
                  <c:v>3.0771658666753687E-2</c:v>
                </c:pt>
                <c:pt idx="568">
                  <c:v>3.0710023485371885E-2</c:v>
                </c:pt>
                <c:pt idx="569">
                  <c:v>2.9972273535792127E-2</c:v>
                </c:pt>
                <c:pt idx="570">
                  <c:v>2.7908788117076533E-2</c:v>
                </c:pt>
                <c:pt idx="571">
                  <c:v>2.5837806989557066E-2</c:v>
                </c:pt>
                <c:pt idx="572">
                  <c:v>2.5133598118493694E-2</c:v>
                </c:pt>
                <c:pt idx="573">
                  <c:v>2.7073294328534558E-2</c:v>
                </c:pt>
                <c:pt idx="574">
                  <c:v>2.570157946143059E-2</c:v>
                </c:pt>
                <c:pt idx="575">
                  <c:v>2.500130220541763E-2</c:v>
                </c:pt>
                <c:pt idx="576">
                  <c:v>2.7524673390090015E-2</c:v>
                </c:pt>
                <c:pt idx="577">
                  <c:v>2.6807751145443426E-2</c:v>
                </c:pt>
                <c:pt idx="578">
                  <c:v>2.8042267873855664E-2</c:v>
                </c:pt>
                <c:pt idx="579">
                  <c:v>2.7932962559856556E-2</c:v>
                </c:pt>
                <c:pt idx="580">
                  <c:v>2.7878628845964037E-2</c:v>
                </c:pt>
                <c:pt idx="581">
                  <c:v>2.7824506109428881E-2</c:v>
                </c:pt>
                <c:pt idx="582">
                  <c:v>2.8425686497951297E-2</c:v>
                </c:pt>
                <c:pt idx="583">
                  <c:v>2.7734767060089816E-2</c:v>
                </c:pt>
                <c:pt idx="584">
                  <c:v>2.9603191305354493E-2</c:v>
                </c:pt>
                <c:pt idx="585">
                  <c:v>3.0159488306302329E-2</c:v>
                </c:pt>
                <c:pt idx="586">
                  <c:v>3.2012976987813246E-2</c:v>
                </c:pt>
                <c:pt idx="587">
                  <c:v>3.3229894498907342E-2</c:v>
                </c:pt>
                <c:pt idx="588">
                  <c:v>2.9929008777094701E-2</c:v>
                </c:pt>
                <c:pt idx="589">
                  <c:v>2.9871938301719858E-2</c:v>
                </c:pt>
                <c:pt idx="590">
                  <c:v>2.727730171288556E-2</c:v>
                </c:pt>
                <c:pt idx="591">
                  <c:v>2.4051792318521947E-2</c:v>
                </c:pt>
                <c:pt idx="592">
                  <c:v>2.2131791728697614E-2</c:v>
                </c:pt>
                <c:pt idx="593">
                  <c:v>2.2089885272284171E-2</c:v>
                </c:pt>
                <c:pt idx="594">
                  <c:v>2.1424890084106529E-2</c:v>
                </c:pt>
                <c:pt idx="595">
                  <c:v>2.2642476749759943E-2</c:v>
                </c:pt>
                <c:pt idx="596">
                  <c:v>2.1951336103534835E-2</c:v>
                </c:pt>
                <c:pt idx="597">
                  <c:v>2.0645087329157263E-2</c:v>
                </c:pt>
                <c:pt idx="598">
                  <c:v>1.8727139050697339E-2</c:v>
                </c:pt>
                <c:pt idx="599">
                  <c:v>1.6828069280650837E-2</c:v>
                </c:pt>
                <c:pt idx="600">
                  <c:v>1.6179568876268924E-2</c:v>
                </c:pt>
                <c:pt idx="601">
                  <c:v>1.4299280011417004E-2</c:v>
                </c:pt>
                <c:pt idx="602">
                  <c:v>1.3673301900209545E-2</c:v>
                </c:pt>
                <c:pt idx="603">
                  <c:v>1.4281521841404299E-2</c:v>
                </c:pt>
                <c:pt idx="604">
                  <c:v>1.6744577273802186E-2</c:v>
                </c:pt>
                <c:pt idx="605">
                  <c:v>1.6099418934181209E-2</c:v>
                </c:pt>
                <c:pt idx="606">
                  <c:v>1.7305747097592139E-2</c:v>
                </c:pt>
                <c:pt idx="607">
                  <c:v>1.6039825681036568E-2</c:v>
                </c:pt>
                <c:pt idx="608">
                  <c:v>1.4167160264780598E-2</c:v>
                </c:pt>
                <c:pt idx="609">
                  <c:v>1.4751343087072932E-2</c:v>
                </c:pt>
                <c:pt idx="610">
                  <c:v>1.4733231512984446E-2</c:v>
                </c:pt>
                <c:pt idx="611">
                  <c:v>1.5941477997688303E-2</c:v>
                </c:pt>
                <c:pt idx="612">
                  <c:v>1.652930195121094E-2</c:v>
                </c:pt>
                <c:pt idx="613">
                  <c:v>1.652930195121094E-2</c:v>
                </c:pt>
                <c:pt idx="614">
                  <c:v>1.713628224298791E-2</c:v>
                </c:pt>
                <c:pt idx="615">
                  <c:v>2.2555055515086408E-2</c:v>
                </c:pt>
                <c:pt idx="616">
                  <c:v>2.0694591242833127E-2</c:v>
                </c:pt>
                <c:pt idx="617">
                  <c:v>1.9465334788103306E-2</c:v>
                </c:pt>
                <c:pt idx="618">
                  <c:v>2.1219347226741903E-2</c:v>
                </c:pt>
                <c:pt idx="619">
                  <c:v>2.2391253175445769E-2</c:v>
                </c:pt>
                <c:pt idx="620">
                  <c:v>2.59598036957982E-2</c:v>
                </c:pt>
                <c:pt idx="621">
                  <c:v>2.5302554664786037E-2</c:v>
                </c:pt>
                <c:pt idx="622">
                  <c:v>2.5866103712180788E-2</c:v>
                </c:pt>
                <c:pt idx="623">
                  <c:v>2.6412099539776968E-2</c:v>
                </c:pt>
                <c:pt idx="624">
                  <c:v>2.7546651955494994E-2</c:v>
                </c:pt>
                <c:pt idx="625">
                  <c:v>3.1672799866667489E-2</c:v>
                </c:pt>
                <c:pt idx="626">
                  <c:v>3.6930939027288723E-2</c:v>
                </c:pt>
                <c:pt idx="627">
                  <c:v>2.9693392925146611E-2</c:v>
                </c:pt>
                <c:pt idx="628">
                  <c:v>3.0844675351097806E-2</c:v>
                </c:pt>
                <c:pt idx="629">
                  <c:v>3.6668803637086356E-2</c:v>
                </c:pt>
                <c:pt idx="630">
                  <c:v>3.5360195395884197E-2</c:v>
                </c:pt>
                <c:pt idx="631">
                  <c:v>3.296354955128411E-2</c:v>
                </c:pt>
                <c:pt idx="632">
                  <c:v>3.3981008193143758E-2</c:v>
                </c:pt>
                <c:pt idx="633">
                  <c:v>3.3921380945667323E-2</c:v>
                </c:pt>
                <c:pt idx="634">
                  <c:v>3.3861962610176377E-2</c:v>
                </c:pt>
                <c:pt idx="635">
                  <c:v>3.3783061243644497E-2</c:v>
                </c:pt>
                <c:pt idx="636">
                  <c:v>3.6536392061926826E-2</c:v>
                </c:pt>
                <c:pt idx="637">
                  <c:v>3.4685557987889304E-2</c:v>
                </c:pt>
                <c:pt idx="638">
                  <c:v>2.9388458999499711E-2</c:v>
                </c:pt>
                <c:pt idx="639">
                  <c:v>3.1675553451145255E-2</c:v>
                </c:pt>
                <c:pt idx="640">
                  <c:v>3.5010749372521133E-2</c:v>
                </c:pt>
                <c:pt idx="641">
                  <c:v>3.1440143166975965E-2</c:v>
                </c:pt>
                <c:pt idx="642">
                  <c:v>2.6851084722846252E-2</c:v>
                </c:pt>
                <c:pt idx="643">
                  <c:v>2.6851084722846252E-2</c:v>
                </c:pt>
                <c:pt idx="644">
                  <c:v>2.5591388069366339E-2</c:v>
                </c:pt>
                <c:pt idx="645">
                  <c:v>2.1053409197832273E-2</c:v>
                </c:pt>
                <c:pt idx="646">
                  <c:v>1.8766544497068161E-2</c:v>
                </c:pt>
                <c:pt idx="647">
                  <c:v>1.5909426469977284E-2</c:v>
                </c:pt>
                <c:pt idx="648">
                  <c:v>1.1888053959589584E-2</c:v>
                </c:pt>
                <c:pt idx="649">
                  <c:v>1.1299555253933669E-2</c:v>
                </c:pt>
                <c:pt idx="650">
                  <c:v>1.3536585717533356E-2</c:v>
                </c:pt>
                <c:pt idx="651">
                  <c:v>1.6306237038396176E-2</c:v>
                </c:pt>
                <c:pt idx="652">
                  <c:v>1.2331994848170602E-2</c:v>
                </c:pt>
                <c:pt idx="653">
                  <c:v>1.0635420707493459E-2</c:v>
                </c:pt>
                <c:pt idx="654">
                  <c:v>1.45497810147317E-2</c:v>
                </c:pt>
                <c:pt idx="655">
                  <c:v>1.7323707897457297E-2</c:v>
                </c:pt>
                <c:pt idx="656">
                  <c:v>1.504625766246015E-2</c:v>
                </c:pt>
                <c:pt idx="657">
                  <c:v>2.0067563050809589E-2</c:v>
                </c:pt>
                <c:pt idx="658">
                  <c:v>2.2285044789434494E-2</c:v>
                </c:pt>
                <c:pt idx="659">
                  <c:v>2.4500111867899577E-2</c:v>
                </c:pt>
                <c:pt idx="660">
                  <c:v>2.7201233000262448E-2</c:v>
                </c:pt>
                <c:pt idx="661">
                  <c:v>3.0975927894305144E-2</c:v>
                </c:pt>
                <c:pt idx="662">
                  <c:v>2.9803530390582367E-2</c:v>
                </c:pt>
                <c:pt idx="663">
                  <c:v>2.1518071628943147E-2</c:v>
                </c:pt>
                <c:pt idx="664">
                  <c:v>1.8764347468486875E-2</c:v>
                </c:pt>
                <c:pt idx="665">
                  <c:v>1.9300295812365142E-2</c:v>
                </c:pt>
                <c:pt idx="666">
                  <c:v>2.0347141330869789E-2</c:v>
                </c:pt>
                <c:pt idx="667">
                  <c:v>2.1918685707645658E-2</c:v>
                </c:pt>
                <c:pt idx="668">
                  <c:v>2.3504771621375653E-2</c:v>
                </c:pt>
                <c:pt idx="669">
                  <c:v>2.0213744784199683E-2</c:v>
                </c:pt>
                <c:pt idx="670">
                  <c:v>1.910017137341935E-2</c:v>
                </c:pt>
                <c:pt idx="671">
                  <c:v>2.0147700304111282E-2</c:v>
                </c:pt>
                <c:pt idx="672">
                  <c:v>2.0060309446674474E-2</c:v>
                </c:pt>
                <c:pt idx="673">
                  <c:v>1.6743572361286319E-2</c:v>
                </c:pt>
                <c:pt idx="674">
                  <c:v>1.7251101669768509E-2</c:v>
                </c:pt>
                <c:pt idx="675">
                  <c:v>2.2666917564291289E-2</c:v>
                </c:pt>
                <c:pt idx="676">
                  <c:v>2.8565671754459565E-2</c:v>
                </c:pt>
                <c:pt idx="677">
                  <c:v>3.1185322826999595E-2</c:v>
                </c:pt>
                <c:pt idx="678">
                  <c:v>2.8971983443331517E-2</c:v>
                </c:pt>
                <c:pt idx="679">
                  <c:v>2.515519313719583E-2</c:v>
                </c:pt>
                <c:pt idx="680">
                  <c:v>2.5074666596375472E-2</c:v>
                </c:pt>
                <c:pt idx="681">
                  <c:v>3.1410620621107554E-2</c:v>
                </c:pt>
                <c:pt idx="682">
                  <c:v>3.5575824973274273E-2</c:v>
                </c:pt>
                <c:pt idx="683">
                  <c:v>3.2876768004109103E-2</c:v>
                </c:pt>
                <c:pt idx="684">
                  <c:v>2.8051587929216915E-2</c:v>
                </c:pt>
                <c:pt idx="685">
                  <c:v>3.0073487683929478E-2</c:v>
                </c:pt>
                <c:pt idx="686">
                  <c:v>3.1564956154424451E-2</c:v>
                </c:pt>
                <c:pt idx="687">
                  <c:v>3.3065200608628942E-2</c:v>
                </c:pt>
                <c:pt idx="688">
                  <c:v>2.8288947691197386E-2</c:v>
                </c:pt>
                <c:pt idx="689">
                  <c:v>2.5092795905486298E-2</c:v>
                </c:pt>
                <c:pt idx="690">
                  <c:v>3.0210630849103026E-2</c:v>
                </c:pt>
                <c:pt idx="691">
                  <c:v>3.5820076584522909E-2</c:v>
                </c:pt>
                <c:pt idx="692">
                  <c:v>4.6328408046646175E-2</c:v>
                </c:pt>
                <c:pt idx="693">
                  <c:v>4.2581452055964419E-2</c:v>
                </c:pt>
                <c:pt idx="694">
                  <c:v>3.2840303652906577E-2</c:v>
                </c:pt>
                <c:pt idx="695">
                  <c:v>3.2840303652906577E-2</c:v>
                </c:pt>
                <c:pt idx="696">
                  <c:v>3.9401361681989044E-2</c:v>
                </c:pt>
                <c:pt idx="697">
                  <c:v>3.5736319296131747E-2</c:v>
                </c:pt>
                <c:pt idx="698">
                  <c:v>3.3608050987300686E-2</c:v>
                </c:pt>
                <c:pt idx="699">
                  <c:v>3.5500685389341591E-2</c:v>
                </c:pt>
                <c:pt idx="700">
                  <c:v>3.90021578032691E-2</c:v>
                </c:pt>
                <c:pt idx="701">
                  <c:v>4.0966537506558431E-2</c:v>
                </c:pt>
                <c:pt idx="702">
                  <c:v>4.022664031825407E-2</c:v>
                </c:pt>
                <c:pt idx="703">
                  <c:v>3.8514387586324084E-2</c:v>
                </c:pt>
                <c:pt idx="704">
                  <c:v>1.992097749455457E-2</c:v>
                </c:pt>
                <c:pt idx="705">
                  <c:v>1.3965314248641114E-2</c:v>
                </c:pt>
                <c:pt idx="706">
                  <c:v>1.9495743696699819E-2</c:v>
                </c:pt>
                <c:pt idx="707">
                  <c:v>2.4926514881833839E-2</c:v>
                </c:pt>
                <c:pt idx="708">
                  <c:v>2.0545147423822741E-2</c:v>
                </c:pt>
                <c:pt idx="709">
                  <c:v>2.3914366248373398E-2</c:v>
                </c:pt>
                <c:pt idx="710">
                  <c:v>2.759763084754141E-2</c:v>
                </c:pt>
                <c:pt idx="711">
                  <c:v>2.559878494901735E-2</c:v>
                </c:pt>
                <c:pt idx="712">
                  <c:v>2.6738184762487016E-2</c:v>
                </c:pt>
                <c:pt idx="713">
                  <c:v>2.6571481668183239E-2</c:v>
                </c:pt>
                <c:pt idx="714">
                  <c:v>2.2914355222604321E-2</c:v>
                </c:pt>
                <c:pt idx="715">
                  <c:v>1.8796714465866948E-2</c:v>
                </c:pt>
                <c:pt idx="716">
                  <c:v>2.7944163782901654E-2</c:v>
                </c:pt>
                <c:pt idx="717">
                  <c:v>3.5470404582237158E-2</c:v>
                </c:pt>
                <c:pt idx="718">
                  <c:v>4.2803396582697495E-2</c:v>
                </c:pt>
                <c:pt idx="719">
                  <c:v>4.0266448800512222E-2</c:v>
                </c:pt>
                <c:pt idx="720">
                  <c:v>4.2050318111453322E-2</c:v>
                </c:pt>
                <c:pt idx="721">
                  <c:v>4.0594377615367883E-2</c:v>
                </c:pt>
                <c:pt idx="722">
                  <c:v>3.8979372014913416E-2</c:v>
                </c:pt>
                <c:pt idx="723">
                  <c:v>3.8294909498422847E-2</c:v>
                </c:pt>
                <c:pt idx="724">
                  <c:v>4.0070484909622728E-2</c:v>
                </c:pt>
                <c:pt idx="725">
                  <c:v>4.8180131527329806E-2</c:v>
                </c:pt>
                <c:pt idx="726">
                  <c:v>5.3517184454153544E-2</c:v>
                </c:pt>
                <c:pt idx="727">
                  <c:v>5.1719366645739839E-2</c:v>
                </c:pt>
                <c:pt idx="728">
                  <c:v>4.8345492699974457E-2</c:v>
                </c:pt>
                <c:pt idx="729">
                  <c:v>3.6631381899317361E-2</c:v>
                </c:pt>
                <c:pt idx="730">
                  <c:v>1.0939123723625599E-2</c:v>
                </c:pt>
                <c:pt idx="731">
                  <c:v>-2.2230473340467682E-4</c:v>
                </c:pt>
                <c:pt idx="732">
                  <c:v>-1.1365057683114799E-3</c:v>
                </c:pt>
                <c:pt idx="733">
                  <c:v>8.4627825679639557E-5</c:v>
                </c:pt>
                <c:pt idx="734">
                  <c:v>-4.4747846083383891E-3</c:v>
                </c:pt>
                <c:pt idx="735">
                  <c:v>-5.779915821649162E-3</c:v>
                </c:pt>
                <c:pt idx="736">
                  <c:v>-1.0209555557125327E-2</c:v>
                </c:pt>
                <c:pt idx="737">
                  <c:v>-1.2367914498850219E-2</c:v>
                </c:pt>
                <c:pt idx="738">
                  <c:v>-1.9781989747510664E-2</c:v>
                </c:pt>
                <c:pt idx="739">
                  <c:v>-1.4949545348335924E-2</c:v>
                </c:pt>
                <c:pt idx="740">
                  <c:v>-1.3875246181172862E-2</c:v>
                </c:pt>
                <c:pt idx="741">
                  <c:v>-2.2421947830295608E-3</c:v>
                </c:pt>
                <c:pt idx="742">
                  <c:v>1.8964895854719721E-2</c:v>
                </c:pt>
                <c:pt idx="743">
                  <c:v>2.7752542063598895E-2</c:v>
                </c:pt>
                <c:pt idx="744">
                  <c:v>2.5873489607178612E-2</c:v>
                </c:pt>
                <c:pt idx="745">
                  <c:v>2.1285217498988374E-2</c:v>
                </c:pt>
                <c:pt idx="746">
                  <c:v>2.2604301286158091E-2</c:v>
                </c:pt>
                <c:pt idx="747">
                  <c:v>2.1827739611836705E-2</c:v>
                </c:pt>
                <c:pt idx="748">
                  <c:v>1.983742011461409E-2</c:v>
                </c:pt>
                <c:pt idx="749">
                  <c:v>1.1153177381444834E-2</c:v>
                </c:pt>
                <c:pt idx="750">
                  <c:v>1.3318695897958754E-2</c:v>
                </c:pt>
                <c:pt idx="751">
                  <c:v>1.1436132834318435E-2</c:v>
                </c:pt>
                <c:pt idx="752">
                  <c:v>1.1121053678139425E-2</c:v>
                </c:pt>
                <c:pt idx="753">
                  <c:v>1.1599417381349397E-2</c:v>
                </c:pt>
                <c:pt idx="754">
                  <c:v>1.0787057695652358E-2</c:v>
                </c:pt>
                <c:pt idx="755">
                  <c:v>1.4275547979703873E-2</c:v>
                </c:pt>
                <c:pt idx="756">
                  <c:v>1.6864820984663353E-2</c:v>
                </c:pt>
                <c:pt idx="757">
                  <c:v>2.1026370112833703E-2</c:v>
                </c:pt>
                <c:pt idx="758">
                  <c:v>2.5855268252593433E-2</c:v>
                </c:pt>
                <c:pt idx="759">
                  <c:v>3.0308370223773196E-2</c:v>
                </c:pt>
                <c:pt idx="760">
                  <c:v>3.4004941179468062E-2</c:v>
                </c:pt>
                <c:pt idx="761">
                  <c:v>3.4423824057196128E-2</c:v>
                </c:pt>
                <c:pt idx="762">
                  <c:v>3.5172925914501718E-2</c:v>
                </c:pt>
                <c:pt idx="763">
                  <c:v>3.6862126476173707E-2</c:v>
                </c:pt>
                <c:pt idx="764">
                  <c:v>3.7417373621400074E-2</c:v>
                </c:pt>
                <c:pt idx="765">
                  <c:v>3.4616554596579974E-2</c:v>
                </c:pt>
                <c:pt idx="766">
                  <c:v>3.3932062617840764E-2</c:v>
                </c:pt>
                <c:pt idx="767">
                  <c:v>3.0161211420960399E-2</c:v>
                </c:pt>
                <c:pt idx="768">
                  <c:v>2.9643908697416066E-2</c:v>
                </c:pt>
                <c:pt idx="769">
                  <c:v>2.8569754482858478E-2</c:v>
                </c:pt>
                <c:pt idx="770">
                  <c:v>2.5500825228600199E-2</c:v>
                </c:pt>
                <c:pt idx="771">
                  <c:v>2.2477119945619073E-2</c:v>
                </c:pt>
                <c:pt idx="772">
                  <c:v>1.7230134384217166E-2</c:v>
                </c:pt>
                <c:pt idx="773">
                  <c:v>1.6403429586643092E-2</c:v>
                </c:pt>
                <c:pt idx="774">
                  <c:v>1.407558729848013E-2</c:v>
                </c:pt>
                <c:pt idx="775">
                  <c:v>1.67188077526923E-2</c:v>
                </c:pt>
                <c:pt idx="776">
                  <c:v>1.9309534160266928E-2</c:v>
                </c:pt>
                <c:pt idx="777">
                  <c:v>2.1327719237691944E-2</c:v>
                </c:pt>
                <c:pt idx="778">
                  <c:v>1.7800818183119738E-2</c:v>
                </c:pt>
                <c:pt idx="779">
                  <c:v>1.7442049005504501E-2</c:v>
                </c:pt>
                <c:pt idx="780">
                  <c:v>1.6700386614722618E-2</c:v>
                </c:pt>
                <c:pt idx="781">
                  <c:v>1.9980459426809816E-2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B3-496E-84D3-0BA55745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726751"/>
        <c:axId val="368720991"/>
      </c:lineChart>
      <c:dateAx>
        <c:axId val="3687267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0991"/>
        <c:crosses val="autoZero"/>
        <c:auto val="1"/>
        <c:lblOffset val="100"/>
        <c:baseTimeUnit val="months"/>
      </c:dateAx>
      <c:valAx>
        <c:axId val="36872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Data!$AE$1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Data!$AD$2:$AD$920</c:f>
              <c:numCache>
                <c:formatCode>m/d/yyyy</c:formatCode>
                <c:ptCount val="91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  <c:pt idx="891">
                  <c:v>44652</c:v>
                </c:pt>
                <c:pt idx="892">
                  <c:v>44682</c:v>
                </c:pt>
                <c:pt idx="893">
                  <c:v>44713</c:v>
                </c:pt>
                <c:pt idx="894">
                  <c:v>44743</c:v>
                </c:pt>
                <c:pt idx="895">
                  <c:v>44774</c:v>
                </c:pt>
                <c:pt idx="896">
                  <c:v>44805</c:v>
                </c:pt>
                <c:pt idx="897">
                  <c:v>44835</c:v>
                </c:pt>
                <c:pt idx="898">
                  <c:v>44866</c:v>
                </c:pt>
                <c:pt idx="899">
                  <c:v>44896</c:v>
                </c:pt>
                <c:pt idx="900">
                  <c:v>44927</c:v>
                </c:pt>
                <c:pt idx="901">
                  <c:v>44958</c:v>
                </c:pt>
                <c:pt idx="902">
                  <c:v>44986</c:v>
                </c:pt>
                <c:pt idx="903">
                  <c:v>45017</c:v>
                </c:pt>
                <c:pt idx="904">
                  <c:v>45047</c:v>
                </c:pt>
                <c:pt idx="905">
                  <c:v>45078</c:v>
                </c:pt>
                <c:pt idx="906">
                  <c:v>45108</c:v>
                </c:pt>
                <c:pt idx="907">
                  <c:v>45139</c:v>
                </c:pt>
                <c:pt idx="908">
                  <c:v>45170</c:v>
                </c:pt>
                <c:pt idx="909">
                  <c:v>45200</c:v>
                </c:pt>
                <c:pt idx="910">
                  <c:v>45231</c:v>
                </c:pt>
                <c:pt idx="911">
                  <c:v>45261</c:v>
                </c:pt>
                <c:pt idx="912">
                  <c:v>45292</c:v>
                </c:pt>
                <c:pt idx="913">
                  <c:v>45323</c:v>
                </c:pt>
                <c:pt idx="914">
                  <c:v>45352</c:v>
                </c:pt>
                <c:pt idx="915">
                  <c:v>45383</c:v>
                </c:pt>
                <c:pt idx="916">
                  <c:v>45413</c:v>
                </c:pt>
                <c:pt idx="917">
                  <c:v>45444</c:v>
                </c:pt>
                <c:pt idx="918">
                  <c:v>45474</c:v>
                </c:pt>
              </c:numCache>
            </c:numRef>
          </c:cat>
          <c:val>
            <c:numRef>
              <c:f>Data!$AE$2:$AE$920</c:f>
              <c:numCache>
                <c:formatCode>General</c:formatCode>
                <c:ptCount val="919"/>
                <c:pt idx="0">
                  <c:v>9.7508540375141006E-2</c:v>
                </c:pt>
                <c:pt idx="1">
                  <c:v>9.0589611314830343E-2</c:v>
                </c:pt>
                <c:pt idx="2">
                  <c:v>6.5957967791797412E-2</c:v>
                </c:pt>
                <c:pt idx="3">
                  <c:v>7.9483110568837834E-2</c:v>
                </c:pt>
                <c:pt idx="4">
                  <c:v>8.9703270711981808E-2</c:v>
                </c:pt>
                <c:pt idx="5">
                  <c:v>8.9612158689687416E-2</c:v>
                </c:pt>
                <c:pt idx="6">
                  <c:v>9.314040432305104E-2</c:v>
                </c:pt>
                <c:pt idx="7">
                  <c:v>8.6750926408655005E-2</c:v>
                </c:pt>
                <c:pt idx="8">
                  <c:v>6.4429058053886656E-2</c:v>
                </c:pt>
                <c:pt idx="9">
                  <c:v>5.9314291862627488E-2</c:v>
                </c:pt>
                <c:pt idx="10">
                  <c:v>4.659885822570109E-2</c:v>
                </c:pt>
                <c:pt idx="11">
                  <c:v>2.6971715048950795E-2</c:v>
                </c:pt>
                <c:pt idx="12">
                  <c:v>1.3839600217357084E-2</c:v>
                </c:pt>
                <c:pt idx="13">
                  <c:v>1.0088357944340931E-2</c:v>
                </c:pt>
                <c:pt idx="14">
                  <c:v>1.7296360320119941E-2</c:v>
                </c:pt>
                <c:pt idx="15">
                  <c:v>4.189365155277347E-3</c:v>
                </c:pt>
                <c:pt idx="16">
                  <c:v>-4.173628762928594E-3</c:v>
                </c:pt>
                <c:pt idx="17">
                  <c:v>-9.5694510161505875E-3</c:v>
                </c:pt>
                <c:pt idx="18">
                  <c:v>-2.9108084158070646E-2</c:v>
                </c:pt>
                <c:pt idx="19">
                  <c:v>-3.0336837128563499E-2</c:v>
                </c:pt>
                <c:pt idx="20">
                  <c:v>-2.5359912361045733E-2</c:v>
                </c:pt>
                <c:pt idx="21">
                  <c:v>-2.6679364802139283E-2</c:v>
                </c:pt>
                <c:pt idx="22">
                  <c:v>-1.9223324925528473E-2</c:v>
                </c:pt>
                <c:pt idx="23">
                  <c:v>-1.8464645454348894E-2</c:v>
                </c:pt>
                <c:pt idx="24">
                  <c:v>-2.1044547681183801E-2</c:v>
                </c:pt>
                <c:pt idx="25">
                  <c:v>-1.2626430372812081E-2</c:v>
                </c:pt>
                <c:pt idx="26">
                  <c:v>-1.1356588932335931E-2</c:v>
                </c:pt>
                <c:pt idx="27">
                  <c:v>-1.1351814144489492E-2</c:v>
                </c:pt>
                <c:pt idx="28">
                  <c:v>-5.872500098131006E-3</c:v>
                </c:pt>
                <c:pt idx="29">
                  <c:v>-1.6736405580299873E-3</c:v>
                </c:pt>
                <c:pt idx="30">
                  <c:v>1.5491203653895003E-2</c:v>
                </c:pt>
                <c:pt idx="31">
                  <c:v>2.0877585021555234E-2</c:v>
                </c:pt>
                <c:pt idx="32">
                  <c:v>2.4538557078730872E-2</c:v>
                </c:pt>
                <c:pt idx="33">
                  <c:v>3.4464694024789022E-2</c:v>
                </c:pt>
                <c:pt idx="34">
                  <c:v>3.7271394797231405E-2</c:v>
                </c:pt>
                <c:pt idx="35">
                  <c:v>5.6405153600010305E-2</c:v>
                </c:pt>
                <c:pt idx="36">
                  <c:v>7.6535599734263382E-2</c:v>
                </c:pt>
                <c:pt idx="37">
                  <c:v>8.9866256010327827E-2</c:v>
                </c:pt>
                <c:pt idx="38">
                  <c:v>9.0530277094802436E-2</c:v>
                </c:pt>
                <c:pt idx="39">
                  <c:v>9.1651756546132113E-2</c:v>
                </c:pt>
                <c:pt idx="40">
                  <c:v>8.9287567281296276E-2</c:v>
                </c:pt>
                <c:pt idx="41">
                  <c:v>8.2359311026171778E-2</c:v>
                </c:pt>
                <c:pt idx="42">
                  <c:v>7.3662742779037949E-2</c:v>
                </c:pt>
                <c:pt idx="43">
                  <c:v>6.6344740181070616E-2</c:v>
                </c:pt>
                <c:pt idx="44">
                  <c:v>6.712863144709269E-2</c:v>
                </c:pt>
                <c:pt idx="45">
                  <c:v>6.5558409038316334E-2</c:v>
                </c:pt>
                <c:pt idx="46">
                  <c:v>6.7582663518799269E-2</c:v>
                </c:pt>
                <c:pt idx="47">
                  <c:v>5.7936511541578195E-2</c:v>
                </c:pt>
                <c:pt idx="48">
                  <c:v>4.1294696018066901E-2</c:v>
                </c:pt>
                <c:pt idx="49">
                  <c:v>2.2206119201291674E-2</c:v>
                </c:pt>
                <c:pt idx="50">
                  <c:v>1.9514680882532609E-2</c:v>
                </c:pt>
                <c:pt idx="51">
                  <c:v>2.0619287202735759E-2</c:v>
                </c:pt>
                <c:pt idx="52">
                  <c:v>1.8300167585611149E-2</c:v>
                </c:pt>
                <c:pt idx="53">
                  <c:v>2.2875568599075358E-2</c:v>
                </c:pt>
                <c:pt idx="54">
                  <c:v>2.9285226473404258E-2</c:v>
                </c:pt>
                <c:pt idx="55">
                  <c:v>3.1591590072721498E-2</c:v>
                </c:pt>
                <c:pt idx="56">
                  <c:v>2.2788680819366913E-2</c:v>
                </c:pt>
                <c:pt idx="57">
                  <c:v>2.0057436827435104E-2</c:v>
                </c:pt>
                <c:pt idx="58">
                  <c:v>1.3959856959316674E-2</c:v>
                </c:pt>
                <c:pt idx="59">
                  <c:v>9.0260108828594809E-3</c:v>
                </c:pt>
                <c:pt idx="60">
                  <c:v>7.1576873678798059E-3</c:v>
                </c:pt>
                <c:pt idx="61">
                  <c:v>6.7924789458877477E-3</c:v>
                </c:pt>
                <c:pt idx="62">
                  <c:v>9.0532493106083578E-3</c:v>
                </c:pt>
                <c:pt idx="63">
                  <c:v>8.6548047296233221E-3</c:v>
                </c:pt>
                <c:pt idx="64">
                  <c:v>8.651549167193906E-3</c:v>
                </c:pt>
                <c:pt idx="65">
                  <c:v>9.0056893826129247E-3</c:v>
                </c:pt>
                <c:pt idx="66">
                  <c:v>4.1144625090945297E-3</c:v>
                </c:pt>
                <c:pt idx="67">
                  <c:v>5.976857538440683E-3</c:v>
                </c:pt>
                <c:pt idx="68">
                  <c:v>9.7160704549326127E-3</c:v>
                </c:pt>
                <c:pt idx="69">
                  <c:v>9.6943339385733296E-3</c:v>
                </c:pt>
                <c:pt idx="70">
                  <c:v>5.976857538440683E-3</c:v>
                </c:pt>
                <c:pt idx="71">
                  <c:v>5.9723955055304145E-3</c:v>
                </c:pt>
                <c:pt idx="72">
                  <c:v>1.1198325310029844E-2</c:v>
                </c:pt>
                <c:pt idx="73">
                  <c:v>1.4931221774984849E-2</c:v>
                </c:pt>
                <c:pt idx="74">
                  <c:v>1.120250699766645E-2</c:v>
                </c:pt>
                <c:pt idx="75">
                  <c:v>6.3492276786587531E-3</c:v>
                </c:pt>
                <c:pt idx="76">
                  <c:v>8.5773414173035967E-3</c:v>
                </c:pt>
                <c:pt idx="77">
                  <c:v>6.3303134499568259E-3</c:v>
                </c:pt>
                <c:pt idx="78">
                  <c:v>2.6095075385743627E-3</c:v>
                </c:pt>
                <c:pt idx="79">
                  <c:v>0</c:v>
                </c:pt>
                <c:pt idx="80">
                  <c:v>-2.979518032905748E-3</c:v>
                </c:pt>
                <c:pt idx="81">
                  <c:v>-8.570948686561497E-3</c:v>
                </c:pt>
                <c:pt idx="82">
                  <c:v>-2.6104806918469947E-3</c:v>
                </c:pt>
                <c:pt idx="83">
                  <c:v>-3.7285650951384142E-3</c:v>
                </c:pt>
                <c:pt idx="84">
                  <c:v>-6.3303134499568259E-3</c:v>
                </c:pt>
                <c:pt idx="85">
                  <c:v>-6.318549176381083E-3</c:v>
                </c:pt>
                <c:pt idx="86">
                  <c:v>-5.2122232669900015E-3</c:v>
                </c:pt>
                <c:pt idx="87">
                  <c:v>-2.6095075385743627E-3</c:v>
                </c:pt>
                <c:pt idx="88">
                  <c:v>-5.9590492912460213E-3</c:v>
                </c:pt>
                <c:pt idx="89">
                  <c:v>-8.5741438603488263E-3</c:v>
                </c:pt>
                <c:pt idx="90">
                  <c:v>-3.7299558350638584E-3</c:v>
                </c:pt>
                <c:pt idx="91">
                  <c:v>-4.8534722864288504E-3</c:v>
                </c:pt>
                <c:pt idx="92">
                  <c:v>1.4908687070058768E-3</c:v>
                </c:pt>
                <c:pt idx="93">
                  <c:v>3.7355291850875716E-3</c:v>
                </c:pt>
                <c:pt idx="94">
                  <c:v>3.7271753919219108E-3</c:v>
                </c:pt>
                <c:pt idx="95">
                  <c:v>3.7285650951384142E-3</c:v>
                </c:pt>
                <c:pt idx="96">
                  <c:v>2.2388069052712289E-3</c:v>
                </c:pt>
                <c:pt idx="97">
                  <c:v>1.490313241559349E-3</c:v>
                </c:pt>
                <c:pt idx="98">
                  <c:v>3.7257867242561638E-3</c:v>
                </c:pt>
                <c:pt idx="99">
                  <c:v>5.2122232669900015E-3</c:v>
                </c:pt>
                <c:pt idx="100">
                  <c:v>9.6655027560950124E-3</c:v>
                </c:pt>
                <c:pt idx="101">
                  <c:v>1.6339019258075016E-2</c:v>
                </c:pt>
                <c:pt idx="102">
                  <c:v>1.9612099460219135E-2</c:v>
                </c:pt>
                <c:pt idx="103">
                  <c:v>2.1840586817168717E-2</c:v>
                </c:pt>
                <c:pt idx="104">
                  <c:v>1.8450707913116648E-2</c:v>
                </c:pt>
                <c:pt idx="105">
                  <c:v>2.5401697082950925E-2</c:v>
                </c:pt>
                <c:pt idx="106">
                  <c:v>2.316705928153473E-2</c:v>
                </c:pt>
                <c:pt idx="107">
                  <c:v>2.7891716307925307E-2</c:v>
                </c:pt>
                <c:pt idx="108">
                  <c:v>3.0828129361302192E-2</c:v>
                </c:pt>
                <c:pt idx="109">
                  <c:v>3.439782960149973E-2</c:v>
                </c:pt>
                <c:pt idx="110">
                  <c:v>3.5437498070886253E-2</c:v>
                </c:pt>
                <c:pt idx="111">
                  <c:v>3.6460473133578031E-2</c:v>
                </c:pt>
                <c:pt idx="112">
                  <c:v>3.5257149886847472E-2</c:v>
                </c:pt>
                <c:pt idx="113">
                  <c:v>3.4748338538496348E-2</c:v>
                </c:pt>
                <c:pt idx="114">
                  <c:v>3.2446970405774156E-2</c:v>
                </c:pt>
                <c:pt idx="115">
                  <c:v>3.4901905542758627E-2</c:v>
                </c:pt>
                <c:pt idx="116">
                  <c:v>3.4851739957528771E-2</c:v>
                </c:pt>
                <c:pt idx="117">
                  <c:v>2.9018693889035774E-2</c:v>
                </c:pt>
                <c:pt idx="118">
                  <c:v>3.2191620929613141E-2</c:v>
                </c:pt>
                <c:pt idx="119">
                  <c:v>2.9948762354621294E-2</c:v>
                </c:pt>
                <c:pt idx="120">
                  <c:v>3.4455548293609972E-2</c:v>
                </c:pt>
                <c:pt idx="121">
                  <c:v>3.1861102068984071E-2</c:v>
                </c:pt>
                <c:pt idx="122">
                  <c:v>3.5611025323183831E-2</c:v>
                </c:pt>
                <c:pt idx="123">
                  <c:v>3.552334124625256E-2</c:v>
                </c:pt>
                <c:pt idx="124">
                  <c:v>3.3020211028134128E-2</c:v>
                </c:pt>
                <c:pt idx="125">
                  <c:v>2.8062171109814127E-2</c:v>
                </c:pt>
                <c:pt idx="126">
                  <c:v>2.4528209352122854E-2</c:v>
                </c:pt>
                <c:pt idx="127">
                  <c:v>2.3069880174965807E-2</c:v>
                </c:pt>
                <c:pt idx="128">
                  <c:v>2.0619287202735759E-2</c:v>
                </c:pt>
                <c:pt idx="129">
                  <c:v>2.0619287202735759E-2</c:v>
                </c:pt>
                <c:pt idx="130">
                  <c:v>1.8829008152907889E-2</c:v>
                </c:pt>
                <c:pt idx="131">
                  <c:v>1.7409910491312797E-2</c:v>
                </c:pt>
                <c:pt idx="132">
                  <c:v>1.2836256040868133E-2</c:v>
                </c:pt>
                <c:pt idx="133">
                  <c:v>1.039870722089864E-2</c:v>
                </c:pt>
                <c:pt idx="134">
                  <c:v>3.4578181064155444E-3</c:v>
                </c:pt>
                <c:pt idx="135">
                  <c:v>1.3812156891983562E-3</c:v>
                </c:pt>
                <c:pt idx="136">
                  <c:v>3.4494687532573565E-3</c:v>
                </c:pt>
                <c:pt idx="137">
                  <c:v>6.8942017292772384E-3</c:v>
                </c:pt>
                <c:pt idx="138">
                  <c:v>8.9593983183573478E-3</c:v>
                </c:pt>
                <c:pt idx="139">
                  <c:v>8.2588218913017819E-3</c:v>
                </c:pt>
                <c:pt idx="140">
                  <c:v>1.1692017649610698E-2</c:v>
                </c:pt>
                <c:pt idx="141">
                  <c:v>1.5104990245850658E-2</c:v>
                </c:pt>
                <c:pt idx="142">
                  <c:v>1.3722342255101161E-2</c:v>
                </c:pt>
                <c:pt idx="143">
                  <c:v>1.5073940784644524E-2</c:v>
                </c:pt>
                <c:pt idx="144">
                  <c:v>1.2333147077216111E-2</c:v>
                </c:pt>
                <c:pt idx="145">
                  <c:v>1.4038922579429514E-2</c:v>
                </c:pt>
                <c:pt idx="146">
                  <c:v>1.5073940784644524E-2</c:v>
                </c:pt>
                <c:pt idx="147">
                  <c:v>1.9139340210697409E-2</c:v>
                </c:pt>
                <c:pt idx="148">
                  <c:v>1.8086143907790397E-2</c:v>
                </c:pt>
                <c:pt idx="149">
                  <c:v>1.7030384355968042E-2</c:v>
                </c:pt>
                <c:pt idx="150">
                  <c:v>1.3628831055605861E-2</c:v>
                </c:pt>
                <c:pt idx="151">
                  <c:v>1.4628599018860378E-2</c:v>
                </c:pt>
                <c:pt idx="152">
                  <c:v>1.2232568435634583E-2</c:v>
                </c:pt>
                <c:pt idx="153">
                  <c:v>1.3536585717533356E-2</c:v>
                </c:pt>
                <c:pt idx="154">
                  <c:v>1.4544480981757424E-2</c:v>
                </c:pt>
                <c:pt idx="155">
                  <c:v>1.3509155124076244E-2</c:v>
                </c:pt>
                <c:pt idx="156">
                  <c:v>1.587603012503136E-2</c:v>
                </c:pt>
                <c:pt idx="157">
                  <c:v>1.451502276965666E-2</c:v>
                </c:pt>
                <c:pt idx="158">
                  <c:v>1.451502276965666E-2</c:v>
                </c:pt>
                <c:pt idx="159">
                  <c:v>9.0986305867462036E-3</c:v>
                </c:pt>
                <c:pt idx="160">
                  <c:v>9.0894414711746307E-3</c:v>
                </c:pt>
                <c:pt idx="161">
                  <c:v>7.7376332220602251E-3</c:v>
                </c:pt>
                <c:pt idx="162">
                  <c:v>1.2443409254169424E-2</c:v>
                </c:pt>
                <c:pt idx="163">
                  <c:v>1.1083236877982294E-2</c:v>
                </c:pt>
                <c:pt idx="164">
                  <c:v>1.2418350560951641E-2</c:v>
                </c:pt>
                <c:pt idx="165">
                  <c:v>7.7013606828129078E-3</c:v>
                </c:pt>
                <c:pt idx="166">
                  <c:v>6.6934654185888398E-3</c:v>
                </c:pt>
                <c:pt idx="167">
                  <c:v>6.6867517622957173E-3</c:v>
                </c:pt>
                <c:pt idx="168">
                  <c:v>6.6800515603735455E-3</c:v>
                </c:pt>
                <c:pt idx="169">
                  <c:v>9.0075671580822636E-3</c:v>
                </c:pt>
                <c:pt idx="170">
                  <c:v>1.0998277835409631E-2</c:v>
                </c:pt>
                <c:pt idx="171">
                  <c:v>1.3329087708600529E-2</c:v>
                </c:pt>
                <c:pt idx="172">
                  <c:v>1.3315775975772048E-2</c:v>
                </c:pt>
                <c:pt idx="173">
                  <c:v>1.2323220063020113E-2</c:v>
                </c:pt>
                <c:pt idx="174">
                  <c:v>9.9768037383167751E-3</c:v>
                </c:pt>
                <c:pt idx="175">
                  <c:v>1.1292049577765528E-2</c:v>
                </c:pt>
                <c:pt idx="176">
                  <c:v>1.4569794156694904E-2</c:v>
                </c:pt>
                <c:pt idx="177">
                  <c:v>1.3254004493175042E-2</c:v>
                </c:pt>
                <c:pt idx="178">
                  <c:v>1.3254004493175042E-2</c:v>
                </c:pt>
                <c:pt idx="179">
                  <c:v>1.2253837715351157E-2</c:v>
                </c:pt>
                <c:pt idx="180">
                  <c:v>1.3227706097551195E-2</c:v>
                </c:pt>
                <c:pt idx="181">
                  <c:v>1.221338832480301E-2</c:v>
                </c:pt>
                <c:pt idx="182">
                  <c:v>1.1206445557608191E-2</c:v>
                </c:pt>
                <c:pt idx="183">
                  <c:v>8.8977354198651604E-3</c:v>
                </c:pt>
                <c:pt idx="184">
                  <c:v>8.8889474172457739E-3</c:v>
                </c:pt>
                <c:pt idx="185">
                  <c:v>1.3153757558740597E-2</c:v>
                </c:pt>
                <c:pt idx="186">
                  <c:v>1.5432911787051307E-2</c:v>
                </c:pt>
                <c:pt idx="187">
                  <c:v>1.5402565683278802E-2</c:v>
                </c:pt>
                <c:pt idx="188">
                  <c:v>9.8136214483246498E-3</c:v>
                </c:pt>
                <c:pt idx="189">
                  <c:v>1.2105497084899941E-2</c:v>
                </c:pt>
                <c:pt idx="190">
                  <c:v>1.3080631243106211E-2</c:v>
                </c:pt>
                <c:pt idx="191">
                  <c:v>1.6324227988948614E-2</c:v>
                </c:pt>
                <c:pt idx="192">
                  <c:v>1.6292312151434896E-2</c:v>
                </c:pt>
                <c:pt idx="193">
                  <c:v>1.4009025325579572E-2</c:v>
                </c:pt>
                <c:pt idx="194">
                  <c:v>1.3995346416341814E-2</c:v>
                </c:pt>
                <c:pt idx="195">
                  <c:v>1.5302268312159306E-2</c:v>
                </c:pt>
                <c:pt idx="196">
                  <c:v>1.5287336260144446E-2</c:v>
                </c:pt>
                <c:pt idx="197">
                  <c:v>1.2982980155036739E-2</c:v>
                </c:pt>
                <c:pt idx="198">
                  <c:v>1.0695289116747997E-2</c:v>
                </c:pt>
                <c:pt idx="199">
                  <c:v>9.7088141269612294E-3</c:v>
                </c:pt>
                <c:pt idx="200">
                  <c:v>1.1650617219975512E-2</c:v>
                </c:pt>
                <c:pt idx="201">
                  <c:v>1.1960705057664001E-2</c:v>
                </c:pt>
                <c:pt idx="202">
                  <c:v>1.3873427871955002E-2</c:v>
                </c:pt>
                <c:pt idx="203">
                  <c:v>1.1910651025835328E-2</c:v>
                </c:pt>
                <c:pt idx="204">
                  <c:v>1.0929070532190277E-2</c:v>
                </c:pt>
                <c:pt idx="205">
                  <c:v>1.1899159533085069E-2</c:v>
                </c:pt>
                <c:pt idx="206">
                  <c:v>1.1887690193394196E-2</c:v>
                </c:pt>
                <c:pt idx="207">
                  <c:v>1.3797748174281477E-2</c:v>
                </c:pt>
                <c:pt idx="208">
                  <c:v>1.6010588560479988E-2</c:v>
                </c:pt>
                <c:pt idx="209">
                  <c:v>1.916379311516847E-2</c:v>
                </c:pt>
                <c:pt idx="210">
                  <c:v>1.7891851079103294E-2</c:v>
                </c:pt>
                <c:pt idx="211">
                  <c:v>1.5974780607734385E-2</c:v>
                </c:pt>
                <c:pt idx="212">
                  <c:v>1.7225306281879238E-2</c:v>
                </c:pt>
                <c:pt idx="213">
                  <c:v>1.6887449279994637E-2</c:v>
                </c:pt>
                <c:pt idx="214">
                  <c:v>1.7154169056012858E-2</c:v>
                </c:pt>
                <c:pt idx="215">
                  <c:v>1.9018005835761631E-2</c:v>
                </c:pt>
                <c:pt idx="216">
                  <c:v>1.899993824490398E-2</c:v>
                </c:pt>
                <c:pt idx="217">
                  <c:v>2.5253867321203494E-2</c:v>
                </c:pt>
                <c:pt idx="218">
                  <c:v>2.7407606225922976E-2</c:v>
                </c:pt>
                <c:pt idx="219">
                  <c:v>2.8277096096861687E-2</c:v>
                </c:pt>
                <c:pt idx="220">
                  <c:v>2.726159739770706E-2</c:v>
                </c:pt>
                <c:pt idx="221">
                  <c:v>2.406742202196277E-2</c:v>
                </c:pt>
                <c:pt idx="222">
                  <c:v>2.7176434322603082E-2</c:v>
                </c:pt>
                <c:pt idx="223">
                  <c:v>3.4271266735217853E-2</c:v>
                </c:pt>
                <c:pt idx="224">
                  <c:v>3.5113130299934792E-2</c:v>
                </c:pt>
                <c:pt idx="225">
                  <c:v>3.7213596340434307E-2</c:v>
                </c:pt>
                <c:pt idx="226">
                  <c:v>3.4971844849278177E-2</c:v>
                </c:pt>
                <c:pt idx="227">
                  <c:v>3.3042993790696862E-2</c:v>
                </c:pt>
                <c:pt idx="228">
                  <c:v>3.1493803849311774E-2</c:v>
                </c:pt>
                <c:pt idx="229">
                  <c:v>2.8274778468166506E-2</c:v>
                </c:pt>
                <c:pt idx="230">
                  <c:v>2.5162419902243105E-2</c:v>
                </c:pt>
                <c:pt idx="231">
                  <c:v>2.5085438981269359E-2</c:v>
                </c:pt>
                <c:pt idx="232">
                  <c:v>2.2919261436107785E-2</c:v>
                </c:pt>
                <c:pt idx="233">
                  <c:v>2.8016448736909005E-2</c:v>
                </c:pt>
                <c:pt idx="234">
                  <c:v>2.8855456832555415E-2</c:v>
                </c:pt>
                <c:pt idx="235">
                  <c:v>2.5700583108580588E-2</c:v>
                </c:pt>
                <c:pt idx="236">
                  <c:v>2.5623104887897874E-2</c:v>
                </c:pt>
                <c:pt idx="237">
                  <c:v>2.5546092427696454E-2</c:v>
                </c:pt>
                <c:pt idx="238">
                  <c:v>3.0550444198425453E-2</c:v>
                </c:pt>
                <c:pt idx="239">
                  <c:v>3.2280148807292353E-2</c:v>
                </c:pt>
                <c:pt idx="240">
                  <c:v>3.5824726518145056E-2</c:v>
                </c:pt>
                <c:pt idx="241">
                  <c:v>3.5718082602079537E-2</c:v>
                </c:pt>
                <c:pt idx="242">
                  <c:v>3.8637792705413787E-2</c:v>
                </c:pt>
                <c:pt idx="243">
                  <c:v>3.8523281996335257E-2</c:v>
                </c:pt>
                <c:pt idx="244">
                  <c:v>4.1426041654296863E-2</c:v>
                </c:pt>
                <c:pt idx="245">
                  <c:v>4.1182289966415375E-2</c:v>
                </c:pt>
                <c:pt idx="246">
                  <c:v>4.3930929225727056E-2</c:v>
                </c:pt>
                <c:pt idx="247">
                  <c:v>4.3802622658392742E-2</c:v>
                </c:pt>
                <c:pt idx="248">
                  <c:v>4.367506350266126E-2</c:v>
                </c:pt>
                <c:pt idx="249">
                  <c:v>4.6385126580934966E-2</c:v>
                </c:pt>
                <c:pt idx="250">
                  <c:v>4.3296805753324286E-2</c:v>
                </c:pt>
                <c:pt idx="251">
                  <c:v>4.5985113241823417E-2</c:v>
                </c:pt>
                <c:pt idx="252">
                  <c:v>4.5853304496122238E-2</c:v>
                </c:pt>
                <c:pt idx="253">
                  <c:v>4.5722249338094656E-2</c:v>
                </c:pt>
                <c:pt idx="254">
                  <c:v>5.1147511166941051E-2</c:v>
                </c:pt>
                <c:pt idx="255">
                  <c:v>5.3761176891452322E-2</c:v>
                </c:pt>
                <c:pt idx="256">
                  <c:v>5.3609450605380804E-2</c:v>
                </c:pt>
                <c:pt idx="257">
                  <c:v>5.3308553454507024E-2</c:v>
                </c:pt>
                <c:pt idx="258">
                  <c:v>5.3011015966503816E-2</c:v>
                </c:pt>
                <c:pt idx="259">
                  <c:v>5.28634895570681E-2</c:v>
                </c:pt>
                <c:pt idx="260">
                  <c:v>5.5415839141569556E-2</c:v>
                </c:pt>
                <c:pt idx="261">
                  <c:v>5.5110362710518501E-2</c:v>
                </c:pt>
                <c:pt idx="262">
                  <c:v>5.7629112836636409E-2</c:v>
                </c:pt>
                <c:pt idx="263">
                  <c:v>5.7314456595980001E-2</c:v>
                </c:pt>
                <c:pt idx="264">
                  <c:v>5.9800423302787564E-2</c:v>
                </c:pt>
                <c:pt idx="265">
                  <c:v>6.2266388726000876E-2</c:v>
                </c:pt>
                <c:pt idx="266">
                  <c:v>5.9157030847765135E-2</c:v>
                </c:pt>
                <c:pt idx="267">
                  <c:v>5.8840500022933728E-2</c:v>
                </c:pt>
                <c:pt idx="268">
                  <c:v>5.8683501828090012E-2</c:v>
                </c:pt>
                <c:pt idx="269">
                  <c:v>5.8372006221907302E-2</c:v>
                </c:pt>
                <c:pt idx="270">
                  <c:v>5.5496405449515063E-2</c:v>
                </c:pt>
                <c:pt idx="271">
                  <c:v>5.5350095083164685E-2</c:v>
                </c:pt>
                <c:pt idx="272">
                  <c:v>5.5059777183027236E-2</c:v>
                </c:pt>
                <c:pt idx="273">
                  <c:v>5.4772489654118406E-2</c:v>
                </c:pt>
                <c:pt idx="274">
                  <c:v>5.4488185284069512E-2</c:v>
                </c:pt>
                <c:pt idx="275">
                  <c:v>5.4206817836426779E-2</c:v>
                </c:pt>
                <c:pt idx="276">
                  <c:v>5.1425211807436977E-2</c:v>
                </c:pt>
                <c:pt idx="277">
                  <c:v>4.616204176316252E-2</c:v>
                </c:pt>
                <c:pt idx="278">
                  <c:v>4.3429557927336049E-2</c:v>
                </c:pt>
                <c:pt idx="279">
                  <c:v>4.0718093018784707E-2</c:v>
                </c:pt>
                <c:pt idx="280">
                  <c:v>4.3099192481852011E-2</c:v>
                </c:pt>
                <c:pt idx="281">
                  <c:v>4.2881727483265575E-2</c:v>
                </c:pt>
                <c:pt idx="282">
                  <c:v>4.2773815983286667E-2</c:v>
                </c:pt>
                <c:pt idx="283">
                  <c:v>4.2666446318903262E-2</c:v>
                </c:pt>
                <c:pt idx="284">
                  <c:v>4.0005334613699262E-2</c:v>
                </c:pt>
                <c:pt idx="285">
                  <c:v>3.7364246744867824E-2</c:v>
                </c:pt>
                <c:pt idx="286">
                  <c:v>3.4742948443873267E-2</c:v>
                </c:pt>
                <c:pt idx="287">
                  <c:v>3.2141209211797417E-2</c:v>
                </c:pt>
                <c:pt idx="288">
                  <c:v>3.2061932459662934E-2</c:v>
                </c:pt>
                <c:pt idx="289">
                  <c:v>3.6904556935450916E-2</c:v>
                </c:pt>
                <c:pt idx="290">
                  <c:v>3.4401426717332484E-2</c:v>
                </c:pt>
                <c:pt idx="291">
                  <c:v>3.4317092924128989E-2</c:v>
                </c:pt>
                <c:pt idx="292">
                  <c:v>3.1748698314580714E-2</c:v>
                </c:pt>
                <c:pt idx="293">
                  <c:v>2.9199154692262752E-2</c:v>
                </c:pt>
                <c:pt idx="294">
                  <c:v>2.9128272923023335E-2</c:v>
                </c:pt>
                <c:pt idx="295">
                  <c:v>2.9057734479542408E-2</c:v>
                </c:pt>
                <c:pt idx="296">
                  <c:v>3.136565927821966E-2</c:v>
                </c:pt>
                <c:pt idx="297">
                  <c:v>3.1290157993210332E-2</c:v>
                </c:pt>
                <c:pt idx="298">
                  <c:v>3.3576295533604306E-2</c:v>
                </c:pt>
                <c:pt idx="299">
                  <c:v>3.3495954428182095E-2</c:v>
                </c:pt>
                <c:pt idx="300">
                  <c:v>3.5760663879098153E-2</c:v>
                </c:pt>
                <c:pt idx="301">
                  <c:v>3.7919234862293649E-2</c:v>
                </c:pt>
                <c:pt idx="302">
                  <c:v>4.7178560275090486E-2</c:v>
                </c:pt>
                <c:pt idx="303">
                  <c:v>5.1654674864892058E-2</c:v>
                </c:pt>
                <c:pt idx="304">
                  <c:v>5.3814152813907778E-2</c:v>
                </c:pt>
                <c:pt idx="305">
                  <c:v>5.8223660278896361E-2</c:v>
                </c:pt>
                <c:pt idx="306">
                  <c:v>5.5828449552941972E-2</c:v>
                </c:pt>
                <c:pt idx="307">
                  <c:v>7.1376662842227656E-2</c:v>
                </c:pt>
                <c:pt idx="308">
                  <c:v>7.1049346149850034E-2</c:v>
                </c:pt>
                <c:pt idx="309">
                  <c:v>7.7487495478374413E-2</c:v>
                </c:pt>
                <c:pt idx="310">
                  <c:v>7.9316754828587133E-2</c:v>
                </c:pt>
                <c:pt idx="311">
                  <c:v>8.5637885161816918E-2</c:v>
                </c:pt>
                <c:pt idx="312">
                  <c:v>9.168428268902229E-2</c:v>
                </c:pt>
                <c:pt idx="313">
                  <c:v>9.5310179804324768E-2</c:v>
                </c:pt>
                <c:pt idx="314">
                  <c:v>9.656619839105085E-2</c:v>
                </c:pt>
                <c:pt idx="315">
                  <c:v>9.5934075010171149E-2</c:v>
                </c:pt>
                <c:pt idx="316">
                  <c:v>0.10170921082532258</c:v>
                </c:pt>
                <c:pt idx="317">
                  <c:v>0.10309550902697406</c:v>
                </c:pt>
                <c:pt idx="318">
                  <c:v>0.10919929196499201</c:v>
                </c:pt>
                <c:pt idx="319">
                  <c:v>0.10335851298715326</c:v>
                </c:pt>
                <c:pt idx="320">
                  <c:v>0.11285448945523413</c:v>
                </c:pt>
                <c:pt idx="321">
                  <c:v>0.11191791620398517</c:v>
                </c:pt>
                <c:pt idx="322">
                  <c:v>0.11511669060319107</c:v>
                </c:pt>
                <c:pt idx="323">
                  <c:v>0.11417682907965476</c:v>
                </c:pt>
                <c:pt idx="324">
                  <c:v>0.11111316814727612</c:v>
                </c:pt>
                <c:pt idx="325">
                  <c:v>0.10620582424577707</c:v>
                </c:pt>
                <c:pt idx="326">
                  <c:v>9.9485551214805845E-2</c:v>
                </c:pt>
                <c:pt idx="327">
                  <c:v>9.7009736440406336E-2</c:v>
                </c:pt>
                <c:pt idx="328">
                  <c:v>8.8553397341445184E-2</c:v>
                </c:pt>
                <c:pt idx="329">
                  <c:v>8.7861355791334361E-2</c:v>
                </c:pt>
                <c:pt idx="330">
                  <c:v>9.1059965515630115E-2</c:v>
                </c:pt>
                <c:pt idx="331">
                  <c:v>8.2659905688127644E-2</c:v>
                </c:pt>
                <c:pt idx="332">
                  <c:v>7.6082306457439408E-2</c:v>
                </c:pt>
                <c:pt idx="333">
                  <c:v>7.3687715791158848E-2</c:v>
                </c:pt>
                <c:pt idx="334">
                  <c:v>7.1191100858598588E-2</c:v>
                </c:pt>
                <c:pt idx="335">
                  <c:v>6.8864411084693433E-2</c:v>
                </c:pt>
                <c:pt idx="336">
                  <c:v>6.4777498316387572E-2</c:v>
                </c:pt>
                <c:pt idx="337">
                  <c:v>6.0848260417389E-2</c:v>
                </c:pt>
                <c:pt idx="338">
                  <c:v>5.8840500022933728E-2</c:v>
                </c:pt>
                <c:pt idx="339">
                  <c:v>5.6843898976528973E-2</c:v>
                </c:pt>
                <c:pt idx="340">
                  <c:v>6.0292230256119961E-2</c:v>
                </c:pt>
                <c:pt idx="341">
                  <c:v>5.8092556831745856E-2</c:v>
                </c:pt>
                <c:pt idx="342">
                  <c:v>5.4067221270275745E-2</c:v>
                </c:pt>
                <c:pt idx="343">
                  <c:v>5.5619715275093462E-2</c:v>
                </c:pt>
                <c:pt idx="344">
                  <c:v>5.3488684950986354E-2</c:v>
                </c:pt>
                <c:pt idx="345">
                  <c:v>5.3204036063465132E-2</c:v>
                </c:pt>
                <c:pt idx="346">
                  <c:v>4.9392755329576765E-2</c:v>
                </c:pt>
                <c:pt idx="347">
                  <c:v>4.9132688577644856E-2</c:v>
                </c:pt>
                <c:pt idx="348">
                  <c:v>5.0665857446785978E-2</c:v>
                </c:pt>
                <c:pt idx="349">
                  <c:v>5.9044925842626661E-2</c:v>
                </c:pt>
                <c:pt idx="350">
                  <c:v>6.2303883336154442E-2</c:v>
                </c:pt>
                <c:pt idx="351">
                  <c:v>6.7208749693449477E-2</c:v>
                </c:pt>
                <c:pt idx="352">
                  <c:v>6.520319381076245E-2</c:v>
                </c:pt>
                <c:pt idx="353">
                  <c:v>6.486915430308926E-2</c:v>
                </c:pt>
                <c:pt idx="354">
                  <c:v>6.4538521137571081E-2</c:v>
                </c:pt>
                <c:pt idx="355">
                  <c:v>6.4211242456855722E-2</c:v>
                </c:pt>
                <c:pt idx="356">
                  <c:v>6.2257275240320098E-2</c:v>
                </c:pt>
                <c:pt idx="357">
                  <c:v>6.1944485960524709E-2</c:v>
                </c:pt>
                <c:pt idx="358">
                  <c:v>6.4968721187225853E-2</c:v>
                </c:pt>
                <c:pt idx="359">
                  <c:v>6.4645535959225953E-2</c:v>
                </c:pt>
                <c:pt idx="360">
                  <c:v>6.5921720804824169E-2</c:v>
                </c:pt>
                <c:pt idx="361">
                  <c:v>6.0525420387852691E-2</c:v>
                </c:pt>
                <c:pt idx="362">
                  <c:v>6.1808287371875714E-2</c:v>
                </c:pt>
                <c:pt idx="363">
                  <c:v>6.2974799161388262E-2</c:v>
                </c:pt>
                <c:pt idx="364">
                  <c:v>6.8992871486950769E-2</c:v>
                </c:pt>
                <c:pt idx="365">
                  <c:v>7.1743904858840857E-2</c:v>
                </c:pt>
                <c:pt idx="366">
                  <c:v>7.4460353669085322E-2</c:v>
                </c:pt>
                <c:pt idx="367">
                  <c:v>7.562657533091155E-2</c:v>
                </c:pt>
                <c:pt idx="368">
                  <c:v>8.1422104719642618E-2</c:v>
                </c:pt>
                <c:pt idx="369">
                  <c:v>8.5522173438161708E-2</c:v>
                </c:pt>
                <c:pt idx="370">
                  <c:v>8.4993212833392562E-2</c:v>
                </c:pt>
                <c:pt idx="371">
                  <c:v>8.6074608771243177E-2</c:v>
                </c:pt>
                <c:pt idx="372">
                  <c:v>8.8472297629304641E-2</c:v>
                </c:pt>
                <c:pt idx="373">
                  <c:v>9.3866136232091613E-2</c:v>
                </c:pt>
                <c:pt idx="374">
                  <c:v>9.760178779658446E-2</c:v>
                </c:pt>
                <c:pt idx="375">
                  <c:v>9.9710783115707358E-2</c:v>
                </c:pt>
                <c:pt idx="376">
                  <c:v>0.10163264554381257</c:v>
                </c:pt>
                <c:pt idx="377">
                  <c:v>0.10505277600314411</c:v>
                </c:pt>
                <c:pt idx="378">
                  <c:v>0.10840929850718428</c:v>
                </c:pt>
                <c:pt idx="379">
                  <c:v>0.11186435768683012</c:v>
                </c:pt>
                <c:pt idx="380">
                  <c:v>0.11225399417723825</c:v>
                </c:pt>
                <c:pt idx="381">
                  <c:v>0.113967186978158</c:v>
                </c:pt>
                <c:pt idx="382">
                  <c:v>0.11860574240784683</c:v>
                </c:pt>
                <c:pt idx="383">
                  <c:v>0.1244698419469481</c:v>
                </c:pt>
                <c:pt idx="384">
                  <c:v>0.12987508142141202</c:v>
                </c:pt>
                <c:pt idx="385">
                  <c:v>0.13244698984339731</c:v>
                </c:pt>
                <c:pt idx="386">
                  <c:v>0.13621020483454949</c:v>
                </c:pt>
                <c:pt idx="387">
                  <c:v>0.13618367956525024</c:v>
                </c:pt>
                <c:pt idx="388">
                  <c:v>0.13475613252041807</c:v>
                </c:pt>
                <c:pt idx="389">
                  <c:v>0.13335824744185398</c:v>
                </c:pt>
                <c:pt idx="390">
                  <c:v>0.1235502393785417</c:v>
                </c:pt>
                <c:pt idx="391">
                  <c:v>0.1212445486318714</c:v>
                </c:pt>
                <c:pt idx="392">
                  <c:v>0.12016967163411429</c:v>
                </c:pt>
                <c:pt idx="393">
                  <c:v>0.11896437070221477</c:v>
                </c:pt>
                <c:pt idx="394">
                  <c:v>0.11895194286136501</c:v>
                </c:pt>
                <c:pt idx="395">
                  <c:v>0.11648179929841174</c:v>
                </c:pt>
                <c:pt idx="396">
                  <c:v>0.11149550422534205</c:v>
                </c:pt>
                <c:pt idx="397">
                  <c:v>0.10788896201118536</c:v>
                </c:pt>
                <c:pt idx="398">
                  <c:v>0.10085600353672142</c:v>
                </c:pt>
                <c:pt idx="399">
                  <c:v>9.6545510412317626E-2</c:v>
                </c:pt>
                <c:pt idx="400">
                  <c:v>9.3416767198792883E-2</c:v>
                </c:pt>
                <c:pt idx="401">
                  <c:v>9.2551557365245785E-2</c:v>
                </c:pt>
                <c:pt idx="402">
                  <c:v>0.10232929175454331</c:v>
                </c:pt>
                <c:pt idx="403">
                  <c:v>0.10271278273538531</c:v>
                </c:pt>
                <c:pt idx="404">
                  <c:v>0.10404857080986041</c:v>
                </c:pt>
                <c:pt idx="405">
                  <c:v>9.7775743576788088E-2</c:v>
                </c:pt>
                <c:pt idx="406">
                  <c:v>9.1479572864482606E-2</c:v>
                </c:pt>
                <c:pt idx="407">
                  <c:v>8.5370370781324034E-2</c:v>
                </c:pt>
                <c:pt idx="408">
                  <c:v>7.9336742236521651E-2</c:v>
                </c:pt>
                <c:pt idx="409">
                  <c:v>7.3377185713825455E-2</c:v>
                </c:pt>
                <c:pt idx="410">
                  <c:v>6.658214258099715E-2</c:v>
                </c:pt>
                <c:pt idx="411">
                  <c:v>6.4117557123776869E-2</c:v>
                </c:pt>
                <c:pt idx="412">
                  <c:v>6.6835212824642554E-2</c:v>
                </c:pt>
                <c:pt idx="413">
                  <c:v>6.9361127797502142E-2</c:v>
                </c:pt>
                <c:pt idx="414">
                  <c:v>6.3513405722325444E-2</c:v>
                </c:pt>
                <c:pt idx="415">
                  <c:v>5.7941428486189217E-2</c:v>
                </c:pt>
                <c:pt idx="416">
                  <c:v>4.8227374765716036E-2</c:v>
                </c:pt>
                <c:pt idx="417">
                  <c:v>4.9096021336520579E-2</c:v>
                </c:pt>
                <c:pt idx="418">
                  <c:v>4.3802622658393631E-2</c:v>
                </c:pt>
                <c:pt idx="419">
                  <c:v>3.7543512457403061E-2</c:v>
                </c:pt>
                <c:pt idx="420">
                  <c:v>3.6405476385009017E-2</c:v>
                </c:pt>
                <c:pt idx="421">
                  <c:v>3.4253478478539989E-2</c:v>
                </c:pt>
                <c:pt idx="422">
                  <c:v>3.5273366379285243E-2</c:v>
                </c:pt>
                <c:pt idx="423">
                  <c:v>3.9220713153281572E-2</c:v>
                </c:pt>
                <c:pt idx="424">
                  <c:v>3.3832032401434731E-2</c:v>
                </c:pt>
                <c:pt idx="425">
                  <c:v>2.4441135159145588E-2</c:v>
                </c:pt>
                <c:pt idx="426">
                  <c:v>2.3315805313616877E-2</c:v>
                </c:pt>
                <c:pt idx="427">
                  <c:v>2.4268127272437212E-2</c:v>
                </c:pt>
                <c:pt idx="428">
                  <c:v>2.7260648208891958E-2</c:v>
                </c:pt>
                <c:pt idx="429">
                  <c:v>2.7150989065950704E-2</c:v>
                </c:pt>
                <c:pt idx="430">
                  <c:v>3.114264735585337E-2</c:v>
                </c:pt>
                <c:pt idx="431">
                  <c:v>3.7171532108345673E-2</c:v>
                </c:pt>
                <c:pt idx="432">
                  <c:v>4.2006175634154985E-2</c:v>
                </c:pt>
                <c:pt idx="433">
                  <c:v>4.5870454066096578E-2</c:v>
                </c:pt>
                <c:pt idx="434">
                  <c:v>4.7770276268686018E-2</c:v>
                </c:pt>
                <c:pt idx="435">
                  <c:v>4.4539771371770343E-2</c:v>
                </c:pt>
                <c:pt idx="436">
                  <c:v>4.2433598414596041E-2</c:v>
                </c:pt>
                <c:pt idx="437">
                  <c:v>4.2350001572953211E-2</c:v>
                </c:pt>
                <c:pt idx="438">
                  <c:v>4.2183792303505108E-2</c:v>
                </c:pt>
                <c:pt idx="439">
                  <c:v>4.2059989127364084E-2</c:v>
                </c:pt>
                <c:pt idx="440">
                  <c:v>4.1936910618861845E-2</c:v>
                </c:pt>
                <c:pt idx="441">
                  <c:v>4.1773922245637252E-2</c:v>
                </c:pt>
                <c:pt idx="442">
                  <c:v>4.0703293113503847E-2</c:v>
                </c:pt>
                <c:pt idx="443">
                  <c:v>3.9637861759038273E-2</c:v>
                </c:pt>
                <c:pt idx="444">
                  <c:v>3.4652167705572445E-2</c:v>
                </c:pt>
                <c:pt idx="445">
                  <c:v>3.5427352611232976E-2</c:v>
                </c:pt>
                <c:pt idx="446">
                  <c:v>3.7200283686090962E-2</c:v>
                </c:pt>
                <c:pt idx="447">
                  <c:v>3.5191458336313097E-2</c:v>
                </c:pt>
                <c:pt idx="448">
                  <c:v>3.5124635931278014E-2</c:v>
                </c:pt>
                <c:pt idx="449">
                  <c:v>3.5988732332235429E-2</c:v>
                </c:pt>
                <c:pt idx="450">
                  <c:v>3.3997608541419311E-2</c:v>
                </c:pt>
                <c:pt idx="451">
                  <c:v>3.2975196815550056E-2</c:v>
                </c:pt>
                <c:pt idx="452">
                  <c:v>3.1957606768671099E-2</c:v>
                </c:pt>
                <c:pt idx="453">
                  <c:v>3.1837895097608815E-2</c:v>
                </c:pt>
                <c:pt idx="454">
                  <c:v>3.4534463089213929E-2</c:v>
                </c:pt>
                <c:pt idx="455">
                  <c:v>3.7213596340434307E-2</c:v>
                </c:pt>
                <c:pt idx="456">
                  <c:v>3.8965968533384299E-2</c:v>
                </c:pt>
                <c:pt idx="457">
                  <c:v>3.1484081933283115E-2</c:v>
                </c:pt>
                <c:pt idx="458">
                  <c:v>2.1306966312930165E-2</c:v>
                </c:pt>
                <c:pt idx="459">
                  <c:v>1.5762959665257981E-2</c:v>
                </c:pt>
                <c:pt idx="460">
                  <c:v>1.6651633592442039E-2</c:v>
                </c:pt>
                <c:pt idx="461">
                  <c:v>1.7520042420163584E-2</c:v>
                </c:pt>
                <c:pt idx="462">
                  <c:v>1.6574965094212857E-2</c:v>
                </c:pt>
                <c:pt idx="463">
                  <c:v>1.5632502249826707E-2</c:v>
                </c:pt>
                <c:pt idx="464">
                  <c:v>1.7423641147254365E-2</c:v>
                </c:pt>
                <c:pt idx="465">
                  <c:v>1.5546723738300017E-2</c:v>
                </c:pt>
                <c:pt idx="466">
                  <c:v>1.2762251613851916E-2</c:v>
                </c:pt>
                <c:pt idx="467">
                  <c:v>1.1802225056627869E-2</c:v>
                </c:pt>
                <c:pt idx="468">
                  <c:v>1.355646608360761E-2</c:v>
                </c:pt>
                <c:pt idx="469">
                  <c:v>1.8962193439813646E-2</c:v>
                </c:pt>
                <c:pt idx="470">
                  <c:v>2.8018100249571631E-2</c:v>
                </c:pt>
                <c:pt idx="471">
                  <c:v>3.6137626918566923E-2</c:v>
                </c:pt>
                <c:pt idx="472">
                  <c:v>3.6039936483197366E-2</c:v>
                </c:pt>
                <c:pt idx="473">
                  <c:v>3.6791946933576902E-2</c:v>
                </c:pt>
                <c:pt idx="474">
                  <c:v>3.8517972435674785E-2</c:v>
                </c:pt>
                <c:pt idx="475">
                  <c:v>4.1989196286849939E-2</c:v>
                </c:pt>
                <c:pt idx="476">
                  <c:v>4.1839658342908592E-2</c:v>
                </c:pt>
                <c:pt idx="477">
                  <c:v>4.2635231644435834E-2</c:v>
                </c:pt>
                <c:pt idx="478">
                  <c:v>4.4294220231003933E-2</c:v>
                </c:pt>
                <c:pt idx="479">
                  <c:v>4.2409181925093797E-2</c:v>
                </c:pt>
                <c:pt idx="480">
                  <c:v>4.0462863613180744E-2</c:v>
                </c:pt>
                <c:pt idx="481">
                  <c:v>3.8601283696812594E-2</c:v>
                </c:pt>
                <c:pt idx="482">
                  <c:v>3.7608279917159315E-2</c:v>
                </c:pt>
                <c:pt idx="483">
                  <c:v>3.9152456097181876E-2</c:v>
                </c:pt>
                <c:pt idx="484">
                  <c:v>3.9050514871872721E-2</c:v>
                </c:pt>
                <c:pt idx="485">
                  <c:v>3.8881787544207569E-2</c:v>
                </c:pt>
                <c:pt idx="486">
                  <c:v>4.0470438882955762E-2</c:v>
                </c:pt>
                <c:pt idx="487">
                  <c:v>4.0296922310764316E-2</c:v>
                </c:pt>
                <c:pt idx="488">
                  <c:v>4.099634723624046E-2</c:v>
                </c:pt>
                <c:pt idx="489">
                  <c:v>4.1725933670218041E-2</c:v>
                </c:pt>
                <c:pt idx="490">
                  <c:v>4.1584268906634136E-2</c:v>
                </c:pt>
                <c:pt idx="491">
                  <c:v>4.3172171865208497E-2</c:v>
                </c:pt>
                <c:pt idx="492">
                  <c:v>4.3851882528849195E-2</c:v>
                </c:pt>
                <c:pt idx="493">
                  <c:v>4.5424125114255531E-2</c:v>
                </c:pt>
                <c:pt idx="494">
                  <c:v>4.776777373173946E-2</c:v>
                </c:pt>
                <c:pt idx="495">
                  <c:v>4.911515604749539E-2</c:v>
                </c:pt>
                <c:pt idx="496">
                  <c:v>5.1420945814228958E-2</c:v>
                </c:pt>
                <c:pt idx="497">
                  <c:v>5.0403067744896113E-2</c:v>
                </c:pt>
                <c:pt idx="498">
                  <c:v>4.9392755329575877E-2</c:v>
                </c:pt>
                <c:pt idx="499">
                  <c:v>4.5182222793232363E-2</c:v>
                </c:pt>
                <c:pt idx="500">
                  <c:v>4.3396084563761761E-2</c:v>
                </c:pt>
                <c:pt idx="501">
                  <c:v>4.4850566165352213E-2</c:v>
                </c:pt>
                <c:pt idx="502">
                  <c:v>4.5499318069667893E-2</c:v>
                </c:pt>
                <c:pt idx="503">
                  <c:v>4.5351901252959514E-2</c:v>
                </c:pt>
                <c:pt idx="504">
                  <c:v>5.0674290963267588E-2</c:v>
                </c:pt>
                <c:pt idx="505">
                  <c:v>5.1293294387550148E-2</c:v>
                </c:pt>
                <c:pt idx="506">
                  <c:v>5.1047765066023487E-2</c:v>
                </c:pt>
                <c:pt idx="507">
                  <c:v>4.6039876754734088E-2</c:v>
                </c:pt>
                <c:pt idx="508">
                  <c:v>4.2728018454154082E-2</c:v>
                </c:pt>
                <c:pt idx="509">
                  <c:v>4.5677231465992563E-2</c:v>
                </c:pt>
                <c:pt idx="510">
                  <c:v>4.7067510857986328E-2</c:v>
                </c:pt>
                <c:pt idx="511">
                  <c:v>5.5461302986454797E-2</c:v>
                </c:pt>
                <c:pt idx="512">
                  <c:v>5.9870189490949244E-2</c:v>
                </c:pt>
                <c:pt idx="513">
                  <c:v>6.1843505282703326E-2</c:v>
                </c:pt>
                <c:pt idx="514">
                  <c:v>6.0110543057596111E-2</c:v>
                </c:pt>
                <c:pt idx="515">
                  <c:v>6.0671195181136284E-2</c:v>
                </c:pt>
                <c:pt idx="516">
                  <c:v>5.4933718817837374E-2</c:v>
                </c:pt>
                <c:pt idx="517">
                  <c:v>5.1761934558589573E-2</c:v>
                </c:pt>
                <c:pt idx="518">
                  <c:v>4.7085386674687868E-2</c:v>
                </c:pt>
                <c:pt idx="519">
                  <c:v>4.6978335021011119E-2</c:v>
                </c:pt>
                <c:pt idx="520">
                  <c:v>4.9122077653698248E-2</c:v>
                </c:pt>
                <c:pt idx="521">
                  <c:v>4.5889962059498579E-2</c:v>
                </c:pt>
                <c:pt idx="522">
                  <c:v>4.2751166952663233E-2</c:v>
                </c:pt>
                <c:pt idx="523">
                  <c:v>3.7289928245472836E-2</c:v>
                </c:pt>
                <c:pt idx="524">
                  <c:v>3.3398280401848446E-2</c:v>
                </c:pt>
                <c:pt idx="525">
                  <c:v>2.8087581810260609E-2</c:v>
                </c:pt>
                <c:pt idx="526">
                  <c:v>3.0204874471660759E-2</c:v>
                </c:pt>
                <c:pt idx="527">
                  <c:v>2.9370686795988199E-2</c:v>
                </c:pt>
                <c:pt idx="528">
                  <c:v>2.6375155254394045E-2</c:v>
                </c:pt>
                <c:pt idx="529">
                  <c:v>2.7799888277596274E-2</c:v>
                </c:pt>
                <c:pt idx="530">
                  <c:v>3.1400900451190594E-2</c:v>
                </c:pt>
                <c:pt idx="531">
                  <c:v>3.1332253360270457E-2</c:v>
                </c:pt>
                <c:pt idx="532">
                  <c:v>2.9787890756621138E-2</c:v>
                </c:pt>
                <c:pt idx="533">
                  <c:v>2.9701567606909229E-2</c:v>
                </c:pt>
                <c:pt idx="534">
                  <c:v>3.1083095058389354E-2</c:v>
                </c:pt>
                <c:pt idx="535">
                  <c:v>3.0283496587252934E-2</c:v>
                </c:pt>
                <c:pt idx="536">
                  <c:v>2.9487933030643454E-2</c:v>
                </c:pt>
                <c:pt idx="537">
                  <c:v>3.2272431404850366E-2</c:v>
                </c:pt>
                <c:pt idx="538">
                  <c:v>3.0727676523496505E-2</c:v>
                </c:pt>
                <c:pt idx="539">
                  <c:v>2.9235593762236611E-2</c:v>
                </c:pt>
                <c:pt idx="540">
                  <c:v>3.2019811234771822E-2</c:v>
                </c:pt>
                <c:pt idx="541">
                  <c:v>3.1951599806602005E-2</c:v>
                </c:pt>
                <c:pt idx="542">
                  <c:v>2.9747235904729052E-2</c:v>
                </c:pt>
                <c:pt idx="543">
                  <c:v>3.1075946960522849E-2</c:v>
                </c:pt>
                <c:pt idx="544">
                  <c:v>3.1703958587932846E-2</c:v>
                </c:pt>
                <c:pt idx="545">
                  <c:v>2.9538012436863603E-2</c:v>
                </c:pt>
                <c:pt idx="546">
                  <c:v>2.8072018778686036E-2</c:v>
                </c:pt>
                <c:pt idx="547">
                  <c:v>2.8013036227673815E-2</c:v>
                </c:pt>
                <c:pt idx="548">
                  <c:v>2.7264883561805675E-2</c:v>
                </c:pt>
                <c:pt idx="549">
                  <c:v>2.7150989065950704E-2</c:v>
                </c:pt>
                <c:pt idx="550">
                  <c:v>2.7075586605281643E-2</c:v>
                </c:pt>
                <c:pt idx="551">
                  <c:v>2.7721802930272155E-2</c:v>
                </c:pt>
                <c:pt idx="552">
                  <c:v>2.4214258120593968E-2</c:v>
                </c:pt>
                <c:pt idx="553">
                  <c:v>2.4845998586530804E-2</c:v>
                </c:pt>
                <c:pt idx="554">
                  <c:v>2.6172292773265937E-2</c:v>
                </c:pt>
                <c:pt idx="555">
                  <c:v>2.3368761007829697E-2</c:v>
                </c:pt>
                <c:pt idx="556">
                  <c:v>2.2626950929026002E-2</c:v>
                </c:pt>
                <c:pt idx="557">
                  <c:v>2.4641903936928777E-2</c:v>
                </c:pt>
                <c:pt idx="558">
                  <c:v>2.6631823180792935E-2</c:v>
                </c:pt>
                <c:pt idx="559">
                  <c:v>2.859282599384283E-2</c:v>
                </c:pt>
                <c:pt idx="560">
                  <c:v>2.9223962124570235E-2</c:v>
                </c:pt>
                <c:pt idx="561">
                  <c:v>2.5764136936131443E-2</c:v>
                </c:pt>
                <c:pt idx="562">
                  <c:v>2.5694449374783268E-2</c:v>
                </c:pt>
                <c:pt idx="563">
                  <c:v>2.5642430613337375E-2</c:v>
                </c:pt>
                <c:pt idx="564">
                  <c:v>2.8303776162851513E-2</c:v>
                </c:pt>
                <c:pt idx="565">
                  <c:v>2.8227680624867801E-2</c:v>
                </c:pt>
                <c:pt idx="566">
                  <c:v>2.7490836138040819E-2</c:v>
                </c:pt>
                <c:pt idx="567">
                  <c:v>3.0771658666753687E-2</c:v>
                </c:pt>
                <c:pt idx="568">
                  <c:v>3.0710023485371885E-2</c:v>
                </c:pt>
                <c:pt idx="569">
                  <c:v>2.9972273535792127E-2</c:v>
                </c:pt>
                <c:pt idx="570">
                  <c:v>2.7908788117076533E-2</c:v>
                </c:pt>
                <c:pt idx="571">
                  <c:v>2.5837806989557066E-2</c:v>
                </c:pt>
                <c:pt idx="572">
                  <c:v>2.5133598118493694E-2</c:v>
                </c:pt>
                <c:pt idx="573">
                  <c:v>2.7073294328534558E-2</c:v>
                </c:pt>
                <c:pt idx="574">
                  <c:v>2.570157946143059E-2</c:v>
                </c:pt>
                <c:pt idx="575">
                  <c:v>2.500130220541763E-2</c:v>
                </c:pt>
                <c:pt idx="576">
                  <c:v>2.7524673390090015E-2</c:v>
                </c:pt>
                <c:pt idx="577">
                  <c:v>2.6807751145443426E-2</c:v>
                </c:pt>
                <c:pt idx="578">
                  <c:v>2.8042267873855664E-2</c:v>
                </c:pt>
                <c:pt idx="579">
                  <c:v>2.7932962559856556E-2</c:v>
                </c:pt>
                <c:pt idx="580">
                  <c:v>2.7878628845964037E-2</c:v>
                </c:pt>
                <c:pt idx="581">
                  <c:v>2.7824506109428881E-2</c:v>
                </c:pt>
                <c:pt idx="582">
                  <c:v>2.8425686497951297E-2</c:v>
                </c:pt>
                <c:pt idx="583">
                  <c:v>2.7734767060089816E-2</c:v>
                </c:pt>
                <c:pt idx="584">
                  <c:v>2.9603191305354493E-2</c:v>
                </c:pt>
                <c:pt idx="585">
                  <c:v>3.0159488306302329E-2</c:v>
                </c:pt>
                <c:pt idx="586">
                  <c:v>3.2012976987813246E-2</c:v>
                </c:pt>
                <c:pt idx="587">
                  <c:v>3.3229894498907342E-2</c:v>
                </c:pt>
                <c:pt idx="588">
                  <c:v>2.9929008777094701E-2</c:v>
                </c:pt>
                <c:pt idx="589">
                  <c:v>2.9871938301719858E-2</c:v>
                </c:pt>
                <c:pt idx="590">
                  <c:v>2.727730171288556E-2</c:v>
                </c:pt>
                <c:pt idx="591">
                  <c:v>2.4051792318521947E-2</c:v>
                </c:pt>
                <c:pt idx="592">
                  <c:v>2.2131791728697614E-2</c:v>
                </c:pt>
                <c:pt idx="593">
                  <c:v>2.2089885272284171E-2</c:v>
                </c:pt>
                <c:pt idx="594">
                  <c:v>2.1424890084106529E-2</c:v>
                </c:pt>
                <c:pt idx="595">
                  <c:v>2.2642476749759943E-2</c:v>
                </c:pt>
                <c:pt idx="596">
                  <c:v>2.1951336103534835E-2</c:v>
                </c:pt>
                <c:pt idx="597">
                  <c:v>2.0645087329157263E-2</c:v>
                </c:pt>
                <c:pt idx="598">
                  <c:v>1.8727139050697339E-2</c:v>
                </c:pt>
                <c:pt idx="599">
                  <c:v>1.6828069280650837E-2</c:v>
                </c:pt>
                <c:pt idx="600">
                  <c:v>1.6179568876268924E-2</c:v>
                </c:pt>
                <c:pt idx="601">
                  <c:v>1.4299280011417004E-2</c:v>
                </c:pt>
                <c:pt idx="602">
                  <c:v>1.3673301900209545E-2</c:v>
                </c:pt>
                <c:pt idx="603">
                  <c:v>1.4281521841404299E-2</c:v>
                </c:pt>
                <c:pt idx="604">
                  <c:v>1.6744577273802186E-2</c:v>
                </c:pt>
                <c:pt idx="605">
                  <c:v>1.6099418934181209E-2</c:v>
                </c:pt>
                <c:pt idx="606">
                  <c:v>1.7305747097592139E-2</c:v>
                </c:pt>
                <c:pt idx="607">
                  <c:v>1.6039825681036568E-2</c:v>
                </c:pt>
                <c:pt idx="608">
                  <c:v>1.4167160264780598E-2</c:v>
                </c:pt>
                <c:pt idx="609">
                  <c:v>1.4751343087072932E-2</c:v>
                </c:pt>
                <c:pt idx="610">
                  <c:v>1.4733231512984446E-2</c:v>
                </c:pt>
                <c:pt idx="611">
                  <c:v>1.5941477997688303E-2</c:v>
                </c:pt>
                <c:pt idx="612">
                  <c:v>1.652930195121094E-2</c:v>
                </c:pt>
                <c:pt idx="613">
                  <c:v>1.652930195121094E-2</c:v>
                </c:pt>
                <c:pt idx="614">
                  <c:v>1.713628224298791E-2</c:v>
                </c:pt>
                <c:pt idx="615">
                  <c:v>2.2555055515086408E-2</c:v>
                </c:pt>
                <c:pt idx="616">
                  <c:v>2.0694591242833127E-2</c:v>
                </c:pt>
                <c:pt idx="617">
                  <c:v>1.9465334788103306E-2</c:v>
                </c:pt>
                <c:pt idx="618">
                  <c:v>2.1219347226741903E-2</c:v>
                </c:pt>
                <c:pt idx="619">
                  <c:v>2.2391253175445769E-2</c:v>
                </c:pt>
                <c:pt idx="620">
                  <c:v>2.59598036957982E-2</c:v>
                </c:pt>
                <c:pt idx="621">
                  <c:v>2.5302554664786037E-2</c:v>
                </c:pt>
                <c:pt idx="622">
                  <c:v>2.5866103712180788E-2</c:v>
                </c:pt>
                <c:pt idx="623">
                  <c:v>2.6412099539776968E-2</c:v>
                </c:pt>
                <c:pt idx="624">
                  <c:v>2.7546651955494994E-2</c:v>
                </c:pt>
                <c:pt idx="625">
                  <c:v>3.1672799866667489E-2</c:v>
                </c:pt>
                <c:pt idx="626">
                  <c:v>3.6930939027288723E-2</c:v>
                </c:pt>
                <c:pt idx="627">
                  <c:v>2.9693392925146611E-2</c:v>
                </c:pt>
                <c:pt idx="628">
                  <c:v>3.0844675351097806E-2</c:v>
                </c:pt>
                <c:pt idx="629">
                  <c:v>3.6668803637086356E-2</c:v>
                </c:pt>
                <c:pt idx="630">
                  <c:v>3.5360195395884197E-2</c:v>
                </c:pt>
                <c:pt idx="631">
                  <c:v>3.296354955128411E-2</c:v>
                </c:pt>
                <c:pt idx="632">
                  <c:v>3.3981008193143758E-2</c:v>
                </c:pt>
                <c:pt idx="633">
                  <c:v>3.3921380945667323E-2</c:v>
                </c:pt>
                <c:pt idx="634">
                  <c:v>3.3861962610176377E-2</c:v>
                </c:pt>
                <c:pt idx="635">
                  <c:v>3.3783061243644497E-2</c:v>
                </c:pt>
                <c:pt idx="636">
                  <c:v>3.6536392061926826E-2</c:v>
                </c:pt>
                <c:pt idx="637">
                  <c:v>3.4685557987889304E-2</c:v>
                </c:pt>
                <c:pt idx="638">
                  <c:v>2.9388458999499711E-2</c:v>
                </c:pt>
                <c:pt idx="639">
                  <c:v>3.1675553451145255E-2</c:v>
                </c:pt>
                <c:pt idx="640">
                  <c:v>3.5010749372521133E-2</c:v>
                </c:pt>
                <c:pt idx="641">
                  <c:v>3.1440143166975965E-2</c:v>
                </c:pt>
                <c:pt idx="642">
                  <c:v>2.6851084722846252E-2</c:v>
                </c:pt>
                <c:pt idx="643">
                  <c:v>2.6851084722846252E-2</c:v>
                </c:pt>
                <c:pt idx="644">
                  <c:v>2.5591388069366339E-2</c:v>
                </c:pt>
                <c:pt idx="645">
                  <c:v>2.1053409197832273E-2</c:v>
                </c:pt>
                <c:pt idx="646">
                  <c:v>1.8766544497068161E-2</c:v>
                </c:pt>
                <c:pt idx="647">
                  <c:v>1.5909426469977284E-2</c:v>
                </c:pt>
                <c:pt idx="648">
                  <c:v>1.1888053959589584E-2</c:v>
                </c:pt>
                <c:pt idx="649">
                  <c:v>1.1299555253933669E-2</c:v>
                </c:pt>
                <c:pt idx="650">
                  <c:v>1.3536585717533356E-2</c:v>
                </c:pt>
                <c:pt idx="651">
                  <c:v>1.6306237038396176E-2</c:v>
                </c:pt>
                <c:pt idx="652">
                  <c:v>1.2331994848170602E-2</c:v>
                </c:pt>
                <c:pt idx="653">
                  <c:v>1.0635420707493459E-2</c:v>
                </c:pt>
                <c:pt idx="654">
                  <c:v>1.45497810147317E-2</c:v>
                </c:pt>
                <c:pt idx="655">
                  <c:v>1.7323707897457297E-2</c:v>
                </c:pt>
                <c:pt idx="656">
                  <c:v>1.504625766246015E-2</c:v>
                </c:pt>
                <c:pt idx="657">
                  <c:v>2.0067563050809589E-2</c:v>
                </c:pt>
                <c:pt idx="658">
                  <c:v>2.2285044789434494E-2</c:v>
                </c:pt>
                <c:pt idx="659">
                  <c:v>2.4500111867899577E-2</c:v>
                </c:pt>
                <c:pt idx="660">
                  <c:v>2.7201233000262448E-2</c:v>
                </c:pt>
                <c:pt idx="661">
                  <c:v>3.0975927894305144E-2</c:v>
                </c:pt>
                <c:pt idx="662">
                  <c:v>2.9803530390582367E-2</c:v>
                </c:pt>
                <c:pt idx="663">
                  <c:v>2.1518071628943147E-2</c:v>
                </c:pt>
                <c:pt idx="664">
                  <c:v>1.8764347468486875E-2</c:v>
                </c:pt>
                <c:pt idx="665">
                  <c:v>1.9300295812365142E-2</c:v>
                </c:pt>
                <c:pt idx="666">
                  <c:v>2.0347141330869789E-2</c:v>
                </c:pt>
                <c:pt idx="667">
                  <c:v>2.1918685707645658E-2</c:v>
                </c:pt>
                <c:pt idx="668">
                  <c:v>2.3504771621375653E-2</c:v>
                </c:pt>
                <c:pt idx="669">
                  <c:v>2.0213744784199683E-2</c:v>
                </c:pt>
                <c:pt idx="670">
                  <c:v>1.910017137341935E-2</c:v>
                </c:pt>
                <c:pt idx="671">
                  <c:v>2.0147700304111282E-2</c:v>
                </c:pt>
                <c:pt idx="672">
                  <c:v>2.0060309446674474E-2</c:v>
                </c:pt>
                <c:pt idx="673">
                  <c:v>1.6743572361286319E-2</c:v>
                </c:pt>
                <c:pt idx="674">
                  <c:v>1.7251101669768509E-2</c:v>
                </c:pt>
                <c:pt idx="675">
                  <c:v>2.2666917564291289E-2</c:v>
                </c:pt>
                <c:pt idx="676">
                  <c:v>2.8565671754459565E-2</c:v>
                </c:pt>
                <c:pt idx="677">
                  <c:v>3.1185322826999595E-2</c:v>
                </c:pt>
                <c:pt idx="678">
                  <c:v>2.8971983443331517E-2</c:v>
                </c:pt>
                <c:pt idx="679">
                  <c:v>2.515519313719583E-2</c:v>
                </c:pt>
                <c:pt idx="680">
                  <c:v>2.5074666596375472E-2</c:v>
                </c:pt>
                <c:pt idx="681">
                  <c:v>3.1410620621107554E-2</c:v>
                </c:pt>
                <c:pt idx="682">
                  <c:v>3.5575824973274273E-2</c:v>
                </c:pt>
                <c:pt idx="683">
                  <c:v>3.2876768004109103E-2</c:v>
                </c:pt>
                <c:pt idx="684">
                  <c:v>2.8051587929216915E-2</c:v>
                </c:pt>
                <c:pt idx="685">
                  <c:v>3.0073487683929478E-2</c:v>
                </c:pt>
                <c:pt idx="686">
                  <c:v>3.1564956154424451E-2</c:v>
                </c:pt>
                <c:pt idx="687">
                  <c:v>3.3065200608628942E-2</c:v>
                </c:pt>
                <c:pt idx="688">
                  <c:v>2.8288947691197386E-2</c:v>
                </c:pt>
                <c:pt idx="689">
                  <c:v>2.5092795905486298E-2</c:v>
                </c:pt>
                <c:pt idx="690">
                  <c:v>3.0210630849103026E-2</c:v>
                </c:pt>
                <c:pt idx="691">
                  <c:v>3.5820076584522909E-2</c:v>
                </c:pt>
                <c:pt idx="692">
                  <c:v>4.6328408046646175E-2</c:v>
                </c:pt>
                <c:pt idx="693">
                  <c:v>4.2581452055964419E-2</c:v>
                </c:pt>
                <c:pt idx="694">
                  <c:v>3.2840303652906577E-2</c:v>
                </c:pt>
                <c:pt idx="695">
                  <c:v>3.2840303652906577E-2</c:v>
                </c:pt>
                <c:pt idx="696">
                  <c:v>3.9401361681989044E-2</c:v>
                </c:pt>
                <c:pt idx="697">
                  <c:v>3.5736319296131747E-2</c:v>
                </c:pt>
                <c:pt idx="698">
                  <c:v>3.3608050987300686E-2</c:v>
                </c:pt>
                <c:pt idx="699">
                  <c:v>3.5500685389341591E-2</c:v>
                </c:pt>
                <c:pt idx="700">
                  <c:v>3.90021578032691E-2</c:v>
                </c:pt>
                <c:pt idx="701">
                  <c:v>4.0966537506558431E-2</c:v>
                </c:pt>
                <c:pt idx="702">
                  <c:v>4.022664031825407E-2</c:v>
                </c:pt>
                <c:pt idx="703">
                  <c:v>3.8514387586324084E-2</c:v>
                </c:pt>
                <c:pt idx="704">
                  <c:v>1.992097749455457E-2</c:v>
                </c:pt>
                <c:pt idx="705">
                  <c:v>1.3965314248641114E-2</c:v>
                </c:pt>
                <c:pt idx="706">
                  <c:v>1.9495743696699819E-2</c:v>
                </c:pt>
                <c:pt idx="707">
                  <c:v>2.4926514881833839E-2</c:v>
                </c:pt>
                <c:pt idx="708">
                  <c:v>2.0545147423822741E-2</c:v>
                </c:pt>
                <c:pt idx="709">
                  <c:v>2.3914366248373398E-2</c:v>
                </c:pt>
                <c:pt idx="710">
                  <c:v>2.759763084754141E-2</c:v>
                </c:pt>
                <c:pt idx="711">
                  <c:v>2.559878494901735E-2</c:v>
                </c:pt>
                <c:pt idx="712">
                  <c:v>2.6738184762487016E-2</c:v>
                </c:pt>
                <c:pt idx="713">
                  <c:v>2.6571481668183239E-2</c:v>
                </c:pt>
                <c:pt idx="714">
                  <c:v>2.2914355222604321E-2</c:v>
                </c:pt>
                <c:pt idx="715">
                  <c:v>1.8796714465866948E-2</c:v>
                </c:pt>
                <c:pt idx="716">
                  <c:v>2.7944163782901654E-2</c:v>
                </c:pt>
                <c:pt idx="717">
                  <c:v>3.5470404582237158E-2</c:v>
                </c:pt>
                <c:pt idx="718">
                  <c:v>4.2803396582697495E-2</c:v>
                </c:pt>
                <c:pt idx="719">
                  <c:v>4.0266448800512222E-2</c:v>
                </c:pt>
                <c:pt idx="720">
                  <c:v>4.2050318111453322E-2</c:v>
                </c:pt>
                <c:pt idx="721">
                  <c:v>4.0594377615367883E-2</c:v>
                </c:pt>
                <c:pt idx="722">
                  <c:v>3.8979372014913416E-2</c:v>
                </c:pt>
                <c:pt idx="723">
                  <c:v>3.8294909498422847E-2</c:v>
                </c:pt>
                <c:pt idx="724">
                  <c:v>4.0070484909622728E-2</c:v>
                </c:pt>
                <c:pt idx="725">
                  <c:v>4.8180131527329806E-2</c:v>
                </c:pt>
                <c:pt idx="726">
                  <c:v>5.3517184454153544E-2</c:v>
                </c:pt>
                <c:pt idx="727">
                  <c:v>5.1719366645739839E-2</c:v>
                </c:pt>
                <c:pt idx="728">
                  <c:v>4.8345492699974457E-2</c:v>
                </c:pt>
                <c:pt idx="729">
                  <c:v>3.6631381899317361E-2</c:v>
                </c:pt>
                <c:pt idx="730">
                  <c:v>1.0939123723625599E-2</c:v>
                </c:pt>
                <c:pt idx="731">
                  <c:v>-2.2230473340467682E-4</c:v>
                </c:pt>
                <c:pt idx="732">
                  <c:v>-1.1365057683114799E-3</c:v>
                </c:pt>
                <c:pt idx="733">
                  <c:v>8.4627825679639557E-5</c:v>
                </c:pt>
                <c:pt idx="734">
                  <c:v>-4.4747846083383891E-3</c:v>
                </c:pt>
                <c:pt idx="735">
                  <c:v>-5.779915821649162E-3</c:v>
                </c:pt>
                <c:pt idx="736">
                  <c:v>-1.0209555557125327E-2</c:v>
                </c:pt>
                <c:pt idx="737">
                  <c:v>-1.2367914498850219E-2</c:v>
                </c:pt>
                <c:pt idx="738">
                  <c:v>-1.9781989747510664E-2</c:v>
                </c:pt>
                <c:pt idx="739">
                  <c:v>-1.4949545348335924E-2</c:v>
                </c:pt>
                <c:pt idx="740">
                  <c:v>-1.3875246181172862E-2</c:v>
                </c:pt>
                <c:pt idx="741">
                  <c:v>-2.2421947830295608E-3</c:v>
                </c:pt>
                <c:pt idx="742">
                  <c:v>1.8964895854719721E-2</c:v>
                </c:pt>
                <c:pt idx="743">
                  <c:v>2.7752542063598895E-2</c:v>
                </c:pt>
                <c:pt idx="744">
                  <c:v>2.5873489607178612E-2</c:v>
                </c:pt>
                <c:pt idx="745">
                  <c:v>2.1285217498988374E-2</c:v>
                </c:pt>
                <c:pt idx="746">
                  <c:v>2.2604301286158091E-2</c:v>
                </c:pt>
                <c:pt idx="747">
                  <c:v>2.1827739611836705E-2</c:v>
                </c:pt>
                <c:pt idx="748">
                  <c:v>1.983742011461409E-2</c:v>
                </c:pt>
                <c:pt idx="749">
                  <c:v>1.1153177381444834E-2</c:v>
                </c:pt>
                <c:pt idx="750">
                  <c:v>1.3318695897958754E-2</c:v>
                </c:pt>
                <c:pt idx="751">
                  <c:v>1.1436132834318435E-2</c:v>
                </c:pt>
                <c:pt idx="752">
                  <c:v>1.1121053678139425E-2</c:v>
                </c:pt>
                <c:pt idx="753">
                  <c:v>1.1599417381349397E-2</c:v>
                </c:pt>
                <c:pt idx="754">
                  <c:v>1.0787057695652358E-2</c:v>
                </c:pt>
                <c:pt idx="755">
                  <c:v>1.4275547979703873E-2</c:v>
                </c:pt>
                <c:pt idx="756">
                  <c:v>1.6864820984663353E-2</c:v>
                </c:pt>
                <c:pt idx="757">
                  <c:v>2.1026370112833703E-2</c:v>
                </c:pt>
                <c:pt idx="758">
                  <c:v>2.5855268252593433E-2</c:v>
                </c:pt>
                <c:pt idx="759">
                  <c:v>3.0308370223773196E-2</c:v>
                </c:pt>
                <c:pt idx="760">
                  <c:v>3.4004941179468062E-2</c:v>
                </c:pt>
                <c:pt idx="761">
                  <c:v>3.4423824057196128E-2</c:v>
                </c:pt>
                <c:pt idx="762">
                  <c:v>3.5172925914501718E-2</c:v>
                </c:pt>
                <c:pt idx="763">
                  <c:v>3.6862126476173707E-2</c:v>
                </c:pt>
                <c:pt idx="764">
                  <c:v>3.7417373621400074E-2</c:v>
                </c:pt>
                <c:pt idx="765">
                  <c:v>3.4616554596579974E-2</c:v>
                </c:pt>
                <c:pt idx="766">
                  <c:v>3.3932062617840764E-2</c:v>
                </c:pt>
                <c:pt idx="767">
                  <c:v>3.0161211420960399E-2</c:v>
                </c:pt>
                <c:pt idx="768">
                  <c:v>2.9643908697416066E-2</c:v>
                </c:pt>
                <c:pt idx="769">
                  <c:v>2.8569754482858478E-2</c:v>
                </c:pt>
                <c:pt idx="770">
                  <c:v>2.5500825228600199E-2</c:v>
                </c:pt>
                <c:pt idx="771">
                  <c:v>2.2477119945619073E-2</c:v>
                </c:pt>
                <c:pt idx="772">
                  <c:v>1.7230134384217166E-2</c:v>
                </c:pt>
                <c:pt idx="773">
                  <c:v>1.6403429586643092E-2</c:v>
                </c:pt>
                <c:pt idx="774">
                  <c:v>1.407558729848013E-2</c:v>
                </c:pt>
                <c:pt idx="775">
                  <c:v>1.67188077526923E-2</c:v>
                </c:pt>
                <c:pt idx="776">
                  <c:v>1.9309534160266928E-2</c:v>
                </c:pt>
                <c:pt idx="777">
                  <c:v>2.1327719237691944E-2</c:v>
                </c:pt>
                <c:pt idx="778">
                  <c:v>1.7800818183119738E-2</c:v>
                </c:pt>
                <c:pt idx="779">
                  <c:v>1.7442049005504501E-2</c:v>
                </c:pt>
                <c:pt idx="780">
                  <c:v>1.6700386614722618E-2</c:v>
                </c:pt>
                <c:pt idx="781">
                  <c:v>1.9980459426809816E-2</c:v>
                </c:pt>
                <c:pt idx="782">
                  <c:v>1.5073297321459123E-2</c:v>
                </c:pt>
                <c:pt idx="783">
                  <c:v>1.1323724421044012E-2</c:v>
                </c:pt>
                <c:pt idx="784">
                  <c:v>1.3808115942114618E-2</c:v>
                </c:pt>
                <c:pt idx="785">
                  <c:v>1.7012400261643634E-2</c:v>
                </c:pt>
                <c:pt idx="786">
                  <c:v>1.8679171018338714E-2</c:v>
                </c:pt>
                <c:pt idx="787">
                  <c:v>1.5270898906586616E-2</c:v>
                </c:pt>
                <c:pt idx="788">
                  <c:v>1.088785270925996E-2</c:v>
                </c:pt>
                <c:pt idx="789">
                  <c:v>8.729775818349772E-3</c:v>
                </c:pt>
                <c:pt idx="790">
                  <c:v>1.2253322438004588E-2</c:v>
                </c:pt>
                <c:pt idx="791">
                  <c:v>1.5015090867017022E-2</c:v>
                </c:pt>
                <c:pt idx="792">
                  <c:v>1.545750281811209E-2</c:v>
                </c:pt>
                <c:pt idx="793">
                  <c:v>1.1142438176857894E-2</c:v>
                </c:pt>
                <c:pt idx="794">
                  <c:v>1.5998291291059452E-2</c:v>
                </c:pt>
                <c:pt idx="795">
                  <c:v>1.995090359296281E-2</c:v>
                </c:pt>
                <c:pt idx="796">
                  <c:v>2.1438031323914863E-2</c:v>
                </c:pt>
                <c:pt idx="797">
                  <c:v>2.0380712080756425E-2</c:v>
                </c:pt>
                <c:pt idx="798">
                  <c:v>1.9550025496311463E-2</c:v>
                </c:pt>
                <c:pt idx="799">
                  <c:v>1.7005565715979998E-2</c:v>
                </c:pt>
                <c:pt idx="800">
                  <c:v>1.6700280492135455E-2</c:v>
                </c:pt>
                <c:pt idx="801">
                  <c:v>1.596725913786301E-2</c:v>
                </c:pt>
                <c:pt idx="802">
                  <c:v>1.2240034107743547E-2</c:v>
                </c:pt>
                <c:pt idx="803">
                  <c:v>6.5099779562531879E-3</c:v>
                </c:pt>
                <c:pt idx="804">
                  <c:v>-2.3019572538087729E-3</c:v>
                </c:pt>
                <c:pt idx="805">
                  <c:v>-8.7069357301139405E-4</c:v>
                </c:pt>
                <c:pt idx="806">
                  <c:v>-2.203371166791257E-4</c:v>
                </c:pt>
                <c:pt idx="807">
                  <c:v>-1.0408513918598317E-3</c:v>
                </c:pt>
                <c:pt idx="808">
                  <c:v>3.5027083045324758E-4</c:v>
                </c:pt>
                <c:pt idx="809">
                  <c:v>1.7941077233718516E-3</c:v>
                </c:pt>
                <c:pt idx="810">
                  <c:v>2.2543182246153037E-3</c:v>
                </c:pt>
                <c:pt idx="811">
                  <c:v>2.4101312842326195E-3</c:v>
                </c:pt>
                <c:pt idx="812">
                  <c:v>8.8425706673334048E-5</c:v>
                </c:pt>
                <c:pt idx="813">
                  <c:v>1.2753519995021279E-3</c:v>
                </c:pt>
                <c:pt idx="814">
                  <c:v>4.3536910873953616E-3</c:v>
                </c:pt>
                <c:pt idx="815">
                  <c:v>6.366935496003201E-3</c:v>
                </c:pt>
                <c:pt idx="816">
                  <c:v>1.2299080308038057E-2</c:v>
                </c:pt>
                <c:pt idx="817">
                  <c:v>8.4370832933036155E-3</c:v>
                </c:pt>
                <c:pt idx="818">
                  <c:v>8.8766467056498044E-3</c:v>
                </c:pt>
                <c:pt idx="819">
                  <c:v>1.1658037736477667E-2</c:v>
                </c:pt>
                <c:pt idx="820">
                  <c:v>1.0727023823578818E-2</c:v>
                </c:pt>
                <c:pt idx="821">
                  <c:v>1.0735038085898374E-2</c:v>
                </c:pt>
                <c:pt idx="822">
                  <c:v>8.6461475385908315E-3</c:v>
                </c:pt>
                <c:pt idx="823">
                  <c:v>1.0497862708119143E-2</c:v>
                </c:pt>
                <c:pt idx="824">
                  <c:v>1.5367755028160346E-2</c:v>
                </c:pt>
                <c:pt idx="825">
                  <c:v>1.6718709909869567E-2</c:v>
                </c:pt>
                <c:pt idx="826">
                  <c:v>1.6703058710160867E-2</c:v>
                </c:pt>
                <c:pt idx="827">
                  <c:v>2.0300531865359517E-2</c:v>
                </c:pt>
                <c:pt idx="828">
                  <c:v>2.4794005969470234E-2</c:v>
                </c:pt>
                <c:pt idx="829">
                  <c:v>2.7715956519004159E-2</c:v>
                </c:pt>
                <c:pt idx="830">
                  <c:v>2.411875271120234E-2</c:v>
                </c:pt>
                <c:pt idx="831">
                  <c:v>2.1528817669152822E-2</c:v>
                </c:pt>
                <c:pt idx="832">
                  <c:v>1.8393234242362055E-2</c:v>
                </c:pt>
                <c:pt idx="833">
                  <c:v>1.6272539252383034E-2</c:v>
                </c:pt>
                <c:pt idx="834">
                  <c:v>1.7103963201701156E-2</c:v>
                </c:pt>
                <c:pt idx="835">
                  <c:v>1.9097688270304225E-2</c:v>
                </c:pt>
                <c:pt idx="836">
                  <c:v>2.1571309611642775E-2</c:v>
                </c:pt>
                <c:pt idx="837">
                  <c:v>2.0006113975012063E-2</c:v>
                </c:pt>
                <c:pt idx="838">
                  <c:v>2.1492315285689401E-2</c:v>
                </c:pt>
                <c:pt idx="839">
                  <c:v>2.1075647246180829E-2</c:v>
                </c:pt>
                <c:pt idx="840">
                  <c:v>2.1285046284350351E-2</c:v>
                </c:pt>
                <c:pt idx="841">
                  <c:v>2.2382325747230425E-2</c:v>
                </c:pt>
                <c:pt idx="842">
                  <c:v>2.30419804576103E-2</c:v>
                </c:pt>
                <c:pt idx="843">
                  <c:v>2.4409609642525254E-2</c:v>
                </c:pt>
                <c:pt idx="844">
                  <c:v>2.7439291721927717E-2</c:v>
                </c:pt>
                <c:pt idx="845">
                  <c:v>2.7688614662420008E-2</c:v>
                </c:pt>
                <c:pt idx="846">
                  <c:v>2.8141534173609095E-2</c:v>
                </c:pt>
                <c:pt idx="847">
                  <c:v>2.6086020438052415E-2</c:v>
                </c:pt>
                <c:pt idx="848">
                  <c:v>2.3052782030269725E-2</c:v>
                </c:pt>
                <c:pt idx="849">
                  <c:v>2.4614877571210947E-2</c:v>
                </c:pt>
                <c:pt idx="850">
                  <c:v>2.1245982977308842E-2</c:v>
                </c:pt>
                <c:pt idx="851">
                  <c:v>1.9825969223167483E-2</c:v>
                </c:pt>
                <c:pt idx="852">
                  <c:v>1.4766332681220184E-2</c:v>
                </c:pt>
                <c:pt idx="853">
                  <c:v>1.5074423162215744E-2</c:v>
                </c:pt>
                <c:pt idx="854">
                  <c:v>1.865673916713817E-2</c:v>
                </c:pt>
                <c:pt idx="855">
                  <c:v>1.9808347575986041E-2</c:v>
                </c:pt>
                <c:pt idx="856">
                  <c:v>1.779974595956002E-2</c:v>
                </c:pt>
                <c:pt idx="857">
                  <c:v>1.6573840904157144E-2</c:v>
                </c:pt>
                <c:pt idx="858">
                  <c:v>1.8098542197341416E-2</c:v>
                </c:pt>
                <c:pt idx="859">
                  <c:v>1.7227168654438962E-2</c:v>
                </c:pt>
                <c:pt idx="860">
                  <c:v>1.6704673825508998E-2</c:v>
                </c:pt>
                <c:pt idx="861">
                  <c:v>1.7191119291485535E-2</c:v>
                </c:pt>
                <c:pt idx="862">
                  <c:v>2.0707025997130479E-2</c:v>
                </c:pt>
                <c:pt idx="863">
                  <c:v>2.2930353112747603E-2</c:v>
                </c:pt>
                <c:pt idx="864">
                  <c:v>2.4812257762911294E-2</c:v>
                </c:pt>
                <c:pt idx="865">
                  <c:v>2.3127853803888598E-2</c:v>
                </c:pt>
                <c:pt idx="866">
                  <c:v>1.5116587344980559E-2</c:v>
                </c:pt>
                <c:pt idx="867">
                  <c:v>3.4926574394233967E-3</c:v>
                </c:pt>
                <c:pt idx="868">
                  <c:v>2.1598618572857831E-3</c:v>
                </c:pt>
                <c:pt idx="869">
                  <c:v>6.9931583643469963E-3</c:v>
                </c:pt>
                <c:pt idx="870">
                  <c:v>1.0136023459060617E-2</c:v>
                </c:pt>
                <c:pt idx="871">
                  <c:v>1.2922131994971053E-2</c:v>
                </c:pt>
                <c:pt idx="872">
                  <c:v>1.3637428833770393E-2</c:v>
                </c:pt>
                <c:pt idx="873">
                  <c:v>1.1959849092290753E-2</c:v>
                </c:pt>
                <c:pt idx="874">
                  <c:v>1.1627544865932649E-2</c:v>
                </c:pt>
                <c:pt idx="875">
                  <c:v>1.2965118658522456E-2</c:v>
                </c:pt>
                <c:pt idx="876">
                  <c:v>1.3854589649349158E-2</c:v>
                </c:pt>
                <c:pt idx="877">
                  <c:v>1.6590891026516452E-2</c:v>
                </c:pt>
                <c:pt idx="878">
                  <c:v>2.5849334334224316E-2</c:v>
                </c:pt>
                <c:pt idx="879">
                  <c:v>4.0649876915713534E-2</c:v>
                </c:pt>
                <c:pt idx="880">
                  <c:v>4.8088608877541184E-2</c:v>
                </c:pt>
                <c:pt idx="881">
                  <c:v>5.1786550251852859E-2</c:v>
                </c:pt>
                <c:pt idx="882">
                  <c:v>5.1240276047643363E-2</c:v>
                </c:pt>
                <c:pt idx="883">
                  <c:v>5.0458410987920033E-2</c:v>
                </c:pt>
                <c:pt idx="884">
                  <c:v>5.2222460849106866E-2</c:v>
                </c:pt>
                <c:pt idx="885">
                  <c:v>6.03332294301131E-2</c:v>
                </c:pt>
                <c:pt idx="886">
                  <c:v>6.6373064551135563E-2</c:v>
                </c:pt>
                <c:pt idx="887">
                  <c:v>6.9307574225847546E-2</c:v>
                </c:pt>
                <c:pt idx="888">
                  <c:v>7.2969443117901989E-2</c:v>
                </c:pt>
                <c:pt idx="889">
                  <c:v>7.6487959952141082E-2</c:v>
                </c:pt>
                <c:pt idx="890">
                  <c:v>8.2017045413636858E-2</c:v>
                </c:pt>
                <c:pt idx="891">
                  <c:v>7.9290357698398317E-2</c:v>
                </c:pt>
                <c:pt idx="892">
                  <c:v>8.1884056775519021E-2</c:v>
                </c:pt>
                <c:pt idx="893">
                  <c:v>8.6083597697570902E-2</c:v>
                </c:pt>
                <c:pt idx="894">
                  <c:v>8.1117379969441572E-2</c:v>
                </c:pt>
                <c:pt idx="895">
                  <c:v>7.8984977490766717E-2</c:v>
                </c:pt>
                <c:pt idx="896">
                  <c:v>7.8795205712089533E-2</c:v>
                </c:pt>
                <c:pt idx="897">
                  <c:v>7.466155479419978E-2</c:v>
                </c:pt>
                <c:pt idx="898">
                  <c:v>6.8774530274252399E-2</c:v>
                </c:pt>
                <c:pt idx="899">
                  <c:v>6.2143451320502585E-2</c:v>
                </c:pt>
                <c:pt idx="900">
                  <c:v>6.167934356325766E-2</c:v>
                </c:pt>
                <c:pt idx="901">
                  <c:v>5.7943597621188836E-2</c:v>
                </c:pt>
                <c:pt idx="902">
                  <c:v>4.8171784696489972E-2</c:v>
                </c:pt>
                <c:pt idx="903">
                  <c:v>4.8228664984886649E-2</c:v>
                </c:pt>
                <c:pt idx="904">
                  <c:v>4.0380517205052868E-2</c:v>
                </c:pt>
                <c:pt idx="905">
                  <c:v>3.0075772852725002E-2</c:v>
                </c:pt>
                <c:pt idx="906">
                  <c:v>3.2193972872251564E-2</c:v>
                </c:pt>
                <c:pt idx="907">
                  <c:v>3.6512446344684868E-2</c:v>
                </c:pt>
                <c:pt idx="908">
                  <c:v>3.627460030834051E-2</c:v>
                </c:pt>
                <c:pt idx="909">
                  <c:v>3.1942245920578038E-2</c:v>
                </c:pt>
                <c:pt idx="910">
                  <c:v>3.0912079662114955E-2</c:v>
                </c:pt>
                <c:pt idx="911">
                  <c:v>3.2691363580503285E-2</c:v>
                </c:pt>
                <c:pt idx="912">
                  <c:v>3.0587214047342215E-2</c:v>
                </c:pt>
                <c:pt idx="913">
                  <c:v>3.1166664079222528E-2</c:v>
                </c:pt>
                <c:pt idx="914">
                  <c:v>3.416111994331672E-2</c:v>
                </c:pt>
                <c:pt idx="915">
                  <c:v>3.3025903309011895E-2</c:v>
                </c:pt>
                <c:pt idx="916">
                  <c:v>3.1985081133276694E-2</c:v>
                </c:pt>
                <c:pt idx="917">
                  <c:v>2.9322158029740031E-2</c:v>
                </c:pt>
                <c:pt idx="918">
                  <c:v>2.8816447072076201E-2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7-442B-B81C-371A7EE02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350239"/>
        <c:axId val="60482271"/>
      </c:lineChart>
      <c:dateAx>
        <c:axId val="1079350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2271"/>
        <c:crosses val="autoZero"/>
        <c:auto val="1"/>
        <c:lblOffset val="100"/>
        <c:baseTimeUnit val="months"/>
      </c:dateAx>
      <c:valAx>
        <c:axId val="604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35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52387</xdr:rowOff>
    </xdr:from>
    <xdr:to>
      <xdr:col>17</xdr:col>
      <xdr:colOff>581025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A851B-5B47-E4FC-200E-8AD0160B3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18</xdr:row>
      <xdr:rowOff>147637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5A7139-F1F7-A028-AEF3-1BCC497A8CE8}"/>
            </a:ext>
          </a:extLst>
        </xdr:cNvPr>
        <xdr:cNvSpPr txBox="1"/>
      </xdr:nvSpPr>
      <xdr:spPr>
        <a:xfrm>
          <a:off x="8458200" y="3576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361950</xdr:colOff>
      <xdr:row>22</xdr:row>
      <xdr:rowOff>111125</xdr:rowOff>
    </xdr:from>
    <xdr:to>
      <xdr:col>22</xdr:col>
      <xdr:colOff>323850</xdr:colOff>
      <xdr:row>54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D69481-7F8A-7030-34D8-B1EA81C7E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38100</xdr:colOff>
      <xdr:row>892</xdr:row>
      <xdr:rowOff>147637</xdr:rowOff>
    </xdr:from>
    <xdr:to>
      <xdr:col>30</xdr:col>
      <xdr:colOff>323850</xdr:colOff>
      <xdr:row>907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C5A1-C133-9B6E-9FAB-363EAA80F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B4469B-C056-49A1-AE71-38AF8E384DF2}">
  <we:reference id="wa200003692" version="1.0.0.1" store="en-US" storeType="OMEX"/>
  <we:alternateReferences>
    <we:reference id="wa200003692" version="1.0.0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53C6-5551-4A77-83D1-73CA780C289C}">
  <dimension ref="B1:U51"/>
  <sheetViews>
    <sheetView workbookViewId="0">
      <selection activeCell="H3" sqref="H3"/>
    </sheetView>
  </sheetViews>
  <sheetFormatPr defaultRowHeight="15" x14ac:dyDescent="0.25"/>
  <cols>
    <col min="16" max="16" width="13" customWidth="1"/>
  </cols>
  <sheetData>
    <row r="1" spans="2:21" x14ac:dyDescent="0.25">
      <c r="C1" s="1" t="s">
        <v>29</v>
      </c>
      <c r="D1" s="1" t="s">
        <v>1</v>
      </c>
      <c r="E1" s="1" t="s">
        <v>30</v>
      </c>
      <c r="F1" s="1" t="s">
        <v>31</v>
      </c>
      <c r="G1" s="1" t="s">
        <v>0</v>
      </c>
      <c r="H1" s="1" t="s">
        <v>32</v>
      </c>
      <c r="I1" s="1" t="s">
        <v>2</v>
      </c>
      <c r="J1" s="1" t="s">
        <v>3</v>
      </c>
      <c r="K1">
        <v>0.6</v>
      </c>
      <c r="Q1" t="s">
        <v>29</v>
      </c>
      <c r="R1" t="s">
        <v>31</v>
      </c>
      <c r="S1" t="s">
        <v>32</v>
      </c>
    </row>
    <row r="2" spans="2:21" x14ac:dyDescent="0.25">
      <c r="B2">
        <f>1</f>
        <v>1</v>
      </c>
      <c r="C2">
        <f>0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/>
      <c r="P2">
        <v>1</v>
      </c>
      <c r="Q2">
        <f>C2</f>
        <v>0</v>
      </c>
      <c r="R2">
        <f>F2</f>
        <v>0</v>
      </c>
      <c r="S2">
        <f>H2</f>
        <v>0</v>
      </c>
    </row>
    <row r="3" spans="2:21" x14ac:dyDescent="0.25">
      <c r="B3">
        <f>B2+1</f>
        <v>2</v>
      </c>
      <c r="C3">
        <v>0.05</v>
      </c>
      <c r="D3">
        <f>D2 +C3</f>
        <v>0.05</v>
      </c>
      <c r="E3">
        <f>D3</f>
        <v>0.05</v>
      </c>
      <c r="F3">
        <f>$K$1*(E3-G2)</f>
        <v>0.03</v>
      </c>
      <c r="G3">
        <f>G2 + F3</f>
        <v>0.03</v>
      </c>
      <c r="H3">
        <f>C3-F3</f>
        <v>2.0000000000000004E-2</v>
      </c>
      <c r="I3">
        <f>I2+H3</f>
        <v>2.0000000000000004E-2</v>
      </c>
      <c r="J3" s="1"/>
      <c r="P3">
        <v>2</v>
      </c>
      <c r="Q3">
        <f t="shared" ref="Q3:Q51" si="0">C3</f>
        <v>0.05</v>
      </c>
      <c r="R3">
        <f t="shared" ref="R3:R51" si="1">F3</f>
        <v>0.03</v>
      </c>
      <c r="S3">
        <f t="shared" ref="S3:S51" si="2">H3</f>
        <v>2.0000000000000004E-2</v>
      </c>
      <c r="U3" t="s">
        <v>33</v>
      </c>
    </row>
    <row r="4" spans="2:21" x14ac:dyDescent="0.25">
      <c r="B4">
        <f t="shared" ref="B4:B51" si="3">B3+1</f>
        <v>3</v>
      </c>
      <c r="C4">
        <v>0.05</v>
      </c>
      <c r="D4">
        <f t="shared" ref="D4:D51" si="4">D3 +C4</f>
        <v>0.1</v>
      </c>
      <c r="E4">
        <f t="shared" ref="E4:E51" si="5">D4</f>
        <v>0.1</v>
      </c>
      <c r="F4">
        <f t="shared" ref="F4:F51" si="6">$K$1*(E4-G3)</f>
        <v>4.2000000000000003E-2</v>
      </c>
      <c r="G4">
        <f t="shared" ref="G4:G51" si="7">G3 + F4</f>
        <v>7.2000000000000008E-2</v>
      </c>
      <c r="H4">
        <f t="shared" ref="H4:H51" si="8">C4-F4</f>
        <v>8.0000000000000002E-3</v>
      </c>
      <c r="I4">
        <f t="shared" ref="I4:I51" si="9">I3+H4</f>
        <v>2.8000000000000004E-2</v>
      </c>
      <c r="P4">
        <v>3</v>
      </c>
      <c r="Q4">
        <f t="shared" si="0"/>
        <v>0.05</v>
      </c>
      <c r="R4">
        <f t="shared" si="1"/>
        <v>4.2000000000000003E-2</v>
      </c>
      <c r="S4">
        <f t="shared" si="2"/>
        <v>8.0000000000000002E-3</v>
      </c>
      <c r="U4" t="s">
        <v>34</v>
      </c>
    </row>
    <row r="5" spans="2:21" x14ac:dyDescent="0.25">
      <c r="B5">
        <f t="shared" si="3"/>
        <v>4</v>
      </c>
      <c r="C5">
        <v>0.05</v>
      </c>
      <c r="D5">
        <f t="shared" si="4"/>
        <v>0.15000000000000002</v>
      </c>
      <c r="E5">
        <f t="shared" si="5"/>
        <v>0.15000000000000002</v>
      </c>
      <c r="F5">
        <f t="shared" si="6"/>
        <v>4.6800000000000008E-2</v>
      </c>
      <c r="G5">
        <f t="shared" si="7"/>
        <v>0.11880000000000002</v>
      </c>
      <c r="H5">
        <f t="shared" si="8"/>
        <v>3.1999999999999945E-3</v>
      </c>
      <c r="I5">
        <f t="shared" si="9"/>
        <v>3.1199999999999999E-2</v>
      </c>
      <c r="P5">
        <v>4</v>
      </c>
      <c r="Q5">
        <f t="shared" si="0"/>
        <v>0.05</v>
      </c>
      <c r="R5">
        <f t="shared" si="1"/>
        <v>4.6800000000000008E-2</v>
      </c>
      <c r="S5">
        <f t="shared" si="2"/>
        <v>3.1999999999999945E-3</v>
      </c>
      <c r="U5" t="s">
        <v>35</v>
      </c>
    </row>
    <row r="6" spans="2:21" x14ac:dyDescent="0.25">
      <c r="B6">
        <f t="shared" si="3"/>
        <v>5</v>
      </c>
      <c r="C6">
        <v>0.05</v>
      </c>
      <c r="D6">
        <f t="shared" si="4"/>
        <v>0.2</v>
      </c>
      <c r="E6">
        <f t="shared" si="5"/>
        <v>0.2</v>
      </c>
      <c r="F6">
        <f t="shared" si="6"/>
        <v>4.8719999999999992E-2</v>
      </c>
      <c r="G6">
        <f t="shared" si="7"/>
        <v>0.16752</v>
      </c>
      <c r="H6">
        <f t="shared" si="8"/>
        <v>1.2800000000000103E-3</v>
      </c>
      <c r="I6">
        <f t="shared" si="9"/>
        <v>3.2480000000000009E-2</v>
      </c>
      <c r="P6">
        <v>5</v>
      </c>
      <c r="Q6">
        <f t="shared" si="0"/>
        <v>0.05</v>
      </c>
      <c r="R6">
        <f t="shared" si="1"/>
        <v>4.8719999999999992E-2</v>
      </c>
      <c r="S6">
        <f t="shared" si="2"/>
        <v>1.2800000000000103E-3</v>
      </c>
    </row>
    <row r="7" spans="2:21" x14ac:dyDescent="0.25">
      <c r="B7">
        <f t="shared" si="3"/>
        <v>6</v>
      </c>
      <c r="C7">
        <v>0.05</v>
      </c>
      <c r="D7">
        <f t="shared" si="4"/>
        <v>0.25</v>
      </c>
      <c r="E7">
        <f t="shared" si="5"/>
        <v>0.25</v>
      </c>
      <c r="F7">
        <f t="shared" si="6"/>
        <v>4.9487999999999997E-2</v>
      </c>
      <c r="G7">
        <f t="shared" si="7"/>
        <v>0.21700800000000001</v>
      </c>
      <c r="H7">
        <f t="shared" si="8"/>
        <v>5.1200000000000551E-4</v>
      </c>
      <c r="I7">
        <f t="shared" si="9"/>
        <v>3.2992000000000014E-2</v>
      </c>
      <c r="P7">
        <v>6</v>
      </c>
      <c r="Q7">
        <f t="shared" si="0"/>
        <v>0.05</v>
      </c>
      <c r="R7">
        <f t="shared" si="1"/>
        <v>4.9487999999999997E-2</v>
      </c>
      <c r="S7">
        <f t="shared" si="2"/>
        <v>5.1200000000000551E-4</v>
      </c>
    </row>
    <row r="8" spans="2:21" x14ac:dyDescent="0.25">
      <c r="B8">
        <f t="shared" si="3"/>
        <v>7</v>
      </c>
      <c r="C8">
        <v>0.05</v>
      </c>
      <c r="D8">
        <f t="shared" si="4"/>
        <v>0.3</v>
      </c>
      <c r="E8">
        <f t="shared" si="5"/>
        <v>0.3</v>
      </c>
      <c r="F8">
        <f t="shared" si="6"/>
        <v>4.9795199999999991E-2</v>
      </c>
      <c r="G8">
        <f t="shared" si="7"/>
        <v>0.26680320000000002</v>
      </c>
      <c r="H8">
        <f t="shared" si="8"/>
        <v>2.0480000000001192E-4</v>
      </c>
      <c r="I8">
        <f t="shared" si="9"/>
        <v>3.3196800000000026E-2</v>
      </c>
      <c r="P8">
        <v>7</v>
      </c>
      <c r="Q8">
        <f t="shared" si="0"/>
        <v>0.05</v>
      </c>
      <c r="R8">
        <f t="shared" si="1"/>
        <v>4.9795199999999991E-2</v>
      </c>
      <c r="S8">
        <f t="shared" si="2"/>
        <v>2.0480000000001192E-4</v>
      </c>
    </row>
    <row r="9" spans="2:21" x14ac:dyDescent="0.25">
      <c r="B9">
        <f t="shared" si="3"/>
        <v>8</v>
      </c>
      <c r="C9">
        <v>0.05</v>
      </c>
      <c r="D9">
        <f t="shared" si="4"/>
        <v>0.35</v>
      </c>
      <c r="E9">
        <f t="shared" si="5"/>
        <v>0.35</v>
      </c>
      <c r="F9">
        <f t="shared" si="6"/>
        <v>4.9918079999999976E-2</v>
      </c>
      <c r="G9">
        <f t="shared" si="7"/>
        <v>0.31672127999999999</v>
      </c>
      <c r="H9">
        <f t="shared" si="8"/>
        <v>8.1920000000026971E-5</v>
      </c>
      <c r="I9">
        <f t="shared" si="9"/>
        <v>3.3278720000000053E-2</v>
      </c>
      <c r="P9">
        <v>8</v>
      </c>
      <c r="Q9">
        <f t="shared" si="0"/>
        <v>0.05</v>
      </c>
      <c r="R9">
        <f t="shared" si="1"/>
        <v>4.9918079999999976E-2</v>
      </c>
      <c r="S9">
        <f t="shared" si="2"/>
        <v>8.1920000000026971E-5</v>
      </c>
    </row>
    <row r="10" spans="2:21" x14ac:dyDescent="0.25">
      <c r="B10">
        <f t="shared" si="3"/>
        <v>9</v>
      </c>
      <c r="C10">
        <v>0.05</v>
      </c>
      <c r="D10">
        <f t="shared" si="4"/>
        <v>0.39999999999999997</v>
      </c>
      <c r="E10">
        <f t="shared" si="5"/>
        <v>0.39999999999999997</v>
      </c>
      <c r="F10">
        <f t="shared" si="6"/>
        <v>4.9967231999999979E-2</v>
      </c>
      <c r="G10">
        <f t="shared" si="7"/>
        <v>0.36668851199999997</v>
      </c>
      <c r="H10">
        <f t="shared" si="8"/>
        <v>3.2768000000023279E-5</v>
      </c>
      <c r="I10">
        <f t="shared" si="9"/>
        <v>3.3311488000000077E-2</v>
      </c>
      <c r="P10">
        <v>9</v>
      </c>
      <c r="Q10">
        <f t="shared" si="0"/>
        <v>0.05</v>
      </c>
      <c r="R10">
        <f t="shared" si="1"/>
        <v>4.9967231999999979E-2</v>
      </c>
      <c r="S10">
        <f t="shared" si="2"/>
        <v>3.2768000000023279E-5</v>
      </c>
    </row>
    <row r="11" spans="2:21" x14ac:dyDescent="0.25">
      <c r="B11">
        <f t="shared" si="3"/>
        <v>10</v>
      </c>
      <c r="C11">
        <v>0.05</v>
      </c>
      <c r="D11">
        <f t="shared" si="4"/>
        <v>0.44999999999999996</v>
      </c>
      <c r="E11">
        <f t="shared" si="5"/>
        <v>0.44999999999999996</v>
      </c>
      <c r="F11">
        <f t="shared" si="6"/>
        <v>4.9986892799999995E-2</v>
      </c>
      <c r="G11">
        <f t="shared" si="7"/>
        <v>0.41667540479999998</v>
      </c>
      <c r="H11">
        <f t="shared" si="8"/>
        <v>1.3107200000007924E-5</v>
      </c>
      <c r="I11">
        <f t="shared" si="9"/>
        <v>3.3324595200000084E-2</v>
      </c>
      <c r="P11">
        <v>10</v>
      </c>
      <c r="Q11">
        <f t="shared" si="0"/>
        <v>0.05</v>
      </c>
      <c r="R11">
        <f t="shared" si="1"/>
        <v>4.9986892799999995E-2</v>
      </c>
      <c r="S11">
        <f t="shared" si="2"/>
        <v>1.3107200000007924E-5</v>
      </c>
    </row>
    <row r="12" spans="2:21" x14ac:dyDescent="0.25">
      <c r="B12">
        <f t="shared" si="3"/>
        <v>11</v>
      </c>
      <c r="C12">
        <v>0.05</v>
      </c>
      <c r="D12">
        <f t="shared" si="4"/>
        <v>0.49999999999999994</v>
      </c>
      <c r="E12">
        <f t="shared" si="5"/>
        <v>0.49999999999999994</v>
      </c>
      <c r="F12">
        <f t="shared" si="6"/>
        <v>4.9994757119999976E-2</v>
      </c>
      <c r="G12">
        <f t="shared" si="7"/>
        <v>0.46667016191999994</v>
      </c>
      <c r="H12">
        <f t="shared" si="8"/>
        <v>5.2428800000267617E-6</v>
      </c>
      <c r="I12">
        <f t="shared" si="9"/>
        <v>3.3329838080000111E-2</v>
      </c>
      <c r="P12">
        <v>11</v>
      </c>
      <c r="Q12">
        <f t="shared" si="0"/>
        <v>0.05</v>
      </c>
      <c r="R12">
        <f t="shared" si="1"/>
        <v>4.9994757119999976E-2</v>
      </c>
      <c r="S12">
        <f t="shared" si="2"/>
        <v>5.2428800000267617E-6</v>
      </c>
    </row>
    <row r="13" spans="2:21" x14ac:dyDescent="0.25">
      <c r="B13">
        <f t="shared" si="3"/>
        <v>12</v>
      </c>
      <c r="C13">
        <v>0.05</v>
      </c>
      <c r="D13">
        <f t="shared" si="4"/>
        <v>0.54999999999999993</v>
      </c>
      <c r="E13">
        <f t="shared" si="5"/>
        <v>0.54999999999999993</v>
      </c>
      <c r="F13">
        <f t="shared" si="6"/>
        <v>4.9997902847999993E-2</v>
      </c>
      <c r="G13">
        <f t="shared" si="7"/>
        <v>0.51666806476799998</v>
      </c>
      <c r="H13">
        <f t="shared" si="8"/>
        <v>2.0971520000093169E-6</v>
      </c>
      <c r="I13">
        <f t="shared" si="9"/>
        <v>3.3331935232000121E-2</v>
      </c>
      <c r="P13">
        <v>12</v>
      </c>
      <c r="Q13">
        <f t="shared" si="0"/>
        <v>0.05</v>
      </c>
      <c r="R13">
        <f t="shared" si="1"/>
        <v>4.9997902847999993E-2</v>
      </c>
      <c r="S13">
        <f t="shared" si="2"/>
        <v>2.0971520000093169E-6</v>
      </c>
    </row>
    <row r="14" spans="2:21" x14ac:dyDescent="0.25">
      <c r="B14">
        <f t="shared" si="3"/>
        <v>13</v>
      </c>
      <c r="C14">
        <v>0.05</v>
      </c>
      <c r="D14">
        <f t="shared" si="4"/>
        <v>0.6</v>
      </c>
      <c r="E14">
        <f t="shared" si="5"/>
        <v>0.6</v>
      </c>
      <c r="F14">
        <f t="shared" si="6"/>
        <v>4.9999161139199999E-2</v>
      </c>
      <c r="G14">
        <f t="shared" si="7"/>
        <v>0.56666722590719998</v>
      </c>
      <c r="H14">
        <f t="shared" si="8"/>
        <v>8.3886080000372676E-7</v>
      </c>
      <c r="I14">
        <f t="shared" si="9"/>
        <v>3.3332774092800124E-2</v>
      </c>
      <c r="P14">
        <v>13</v>
      </c>
      <c r="Q14">
        <f t="shared" si="0"/>
        <v>0.05</v>
      </c>
      <c r="R14">
        <f t="shared" si="1"/>
        <v>4.9999161139199999E-2</v>
      </c>
      <c r="S14">
        <f t="shared" si="2"/>
        <v>8.3886080000372676E-7</v>
      </c>
    </row>
    <row r="15" spans="2:21" x14ac:dyDescent="0.25">
      <c r="B15">
        <f t="shared" si="3"/>
        <v>14</v>
      </c>
      <c r="C15">
        <v>0.05</v>
      </c>
      <c r="D15">
        <f t="shared" si="4"/>
        <v>0.65</v>
      </c>
      <c r="E15">
        <f t="shared" si="5"/>
        <v>0.65</v>
      </c>
      <c r="F15">
        <f t="shared" si="6"/>
        <v>4.9999664455680028E-2</v>
      </c>
      <c r="G15">
        <f t="shared" si="7"/>
        <v>0.61666689036288003</v>
      </c>
      <c r="H15">
        <f t="shared" si="8"/>
        <v>3.3554431997512291E-7</v>
      </c>
      <c r="I15">
        <f t="shared" si="9"/>
        <v>3.3333109637120099E-2</v>
      </c>
      <c r="P15">
        <v>14</v>
      </c>
      <c r="Q15">
        <f t="shared" si="0"/>
        <v>0.05</v>
      </c>
      <c r="R15">
        <f t="shared" si="1"/>
        <v>4.9999664455680028E-2</v>
      </c>
      <c r="S15">
        <f t="shared" si="2"/>
        <v>3.3554431997512291E-7</v>
      </c>
    </row>
    <row r="16" spans="2:21" x14ac:dyDescent="0.25">
      <c r="B16">
        <f t="shared" si="3"/>
        <v>15</v>
      </c>
      <c r="C16">
        <v>0.05</v>
      </c>
      <c r="D16">
        <f t="shared" si="4"/>
        <v>0.70000000000000007</v>
      </c>
      <c r="E16">
        <f t="shared" si="5"/>
        <v>0.70000000000000007</v>
      </c>
      <c r="F16">
        <f t="shared" si="6"/>
        <v>4.9999865782272022E-2</v>
      </c>
      <c r="G16">
        <f t="shared" si="7"/>
        <v>0.66666675614515203</v>
      </c>
      <c r="H16">
        <f t="shared" si="8"/>
        <v>1.3421772798033471E-7</v>
      </c>
      <c r="I16">
        <f t="shared" si="9"/>
        <v>3.333324385484808E-2</v>
      </c>
      <c r="P16">
        <v>15</v>
      </c>
      <c r="Q16">
        <f t="shared" si="0"/>
        <v>0.05</v>
      </c>
      <c r="R16">
        <f t="shared" si="1"/>
        <v>4.9999865782272022E-2</v>
      </c>
      <c r="S16">
        <f t="shared" si="2"/>
        <v>1.3421772798033471E-7</v>
      </c>
    </row>
    <row r="17" spans="2:19" x14ac:dyDescent="0.25">
      <c r="B17">
        <f t="shared" si="3"/>
        <v>16</v>
      </c>
      <c r="C17">
        <v>0.05</v>
      </c>
      <c r="D17">
        <f t="shared" si="4"/>
        <v>0.75000000000000011</v>
      </c>
      <c r="E17">
        <f t="shared" si="5"/>
        <v>0.75000000000000011</v>
      </c>
      <c r="F17">
        <f t="shared" si="6"/>
        <v>4.9999946312908848E-2</v>
      </c>
      <c r="G17">
        <f t="shared" si="7"/>
        <v>0.71666670245806086</v>
      </c>
      <c r="H17">
        <f t="shared" si="8"/>
        <v>5.3687091154663857E-8</v>
      </c>
      <c r="I17">
        <f t="shared" si="9"/>
        <v>3.3333297541939234E-2</v>
      </c>
      <c r="P17">
        <v>16</v>
      </c>
      <c r="Q17">
        <f t="shared" si="0"/>
        <v>0.05</v>
      </c>
      <c r="R17">
        <f t="shared" si="1"/>
        <v>4.9999946312908848E-2</v>
      </c>
      <c r="S17">
        <f t="shared" si="2"/>
        <v>5.3687091154663857E-8</v>
      </c>
    </row>
    <row r="18" spans="2:19" x14ac:dyDescent="0.25">
      <c r="B18">
        <f t="shared" si="3"/>
        <v>17</v>
      </c>
      <c r="C18">
        <v>0.05</v>
      </c>
      <c r="D18">
        <f t="shared" si="4"/>
        <v>0.80000000000000016</v>
      </c>
      <c r="E18">
        <f t="shared" si="5"/>
        <v>0.80000000000000016</v>
      </c>
      <c r="F18">
        <f t="shared" si="6"/>
        <v>4.999997852516358E-2</v>
      </c>
      <c r="G18">
        <f t="shared" si="7"/>
        <v>0.76666668098322444</v>
      </c>
      <c r="H18">
        <f t="shared" si="8"/>
        <v>2.1474836423007737E-8</v>
      </c>
      <c r="I18">
        <f t="shared" si="9"/>
        <v>3.3333319016775657E-2</v>
      </c>
      <c r="P18">
        <v>17</v>
      </c>
      <c r="Q18">
        <f t="shared" si="0"/>
        <v>0.05</v>
      </c>
      <c r="R18">
        <f t="shared" si="1"/>
        <v>4.999997852516358E-2</v>
      </c>
      <c r="S18">
        <f t="shared" si="2"/>
        <v>2.1474836423007737E-8</v>
      </c>
    </row>
    <row r="19" spans="2:19" x14ac:dyDescent="0.25">
      <c r="B19">
        <f t="shared" si="3"/>
        <v>18</v>
      </c>
      <c r="C19">
        <v>0.05</v>
      </c>
      <c r="D19">
        <f t="shared" si="4"/>
        <v>0.8500000000000002</v>
      </c>
      <c r="E19">
        <f t="shared" si="5"/>
        <v>0.8500000000000002</v>
      </c>
      <c r="F19">
        <f t="shared" si="6"/>
        <v>4.9999991410065454E-2</v>
      </c>
      <c r="G19">
        <f t="shared" si="7"/>
        <v>0.81666667239328994</v>
      </c>
      <c r="H19">
        <f t="shared" si="8"/>
        <v>8.5899345483864131E-9</v>
      </c>
      <c r="I19">
        <f t="shared" si="9"/>
        <v>3.3333327606710206E-2</v>
      </c>
      <c r="P19">
        <v>18</v>
      </c>
      <c r="Q19">
        <f t="shared" si="0"/>
        <v>0.05</v>
      </c>
      <c r="R19">
        <f t="shared" si="1"/>
        <v>4.9999991410065454E-2</v>
      </c>
      <c r="S19">
        <f t="shared" si="2"/>
        <v>8.5899345483864131E-9</v>
      </c>
    </row>
    <row r="20" spans="2:19" x14ac:dyDescent="0.25">
      <c r="B20">
        <f t="shared" si="3"/>
        <v>19</v>
      </c>
      <c r="C20">
        <v>0.05</v>
      </c>
      <c r="D20">
        <f t="shared" si="4"/>
        <v>0.90000000000000024</v>
      </c>
      <c r="E20">
        <f t="shared" si="5"/>
        <v>0.90000000000000024</v>
      </c>
      <c r="F20">
        <f t="shared" si="6"/>
        <v>4.9999996564026185E-2</v>
      </c>
      <c r="G20">
        <f t="shared" si="7"/>
        <v>0.86666666895731614</v>
      </c>
      <c r="H20">
        <f t="shared" si="8"/>
        <v>3.4359738179667865E-9</v>
      </c>
      <c r="I20">
        <f t="shared" si="9"/>
        <v>3.3333331042684024E-2</v>
      </c>
      <c r="P20">
        <v>19</v>
      </c>
      <c r="Q20">
        <f t="shared" si="0"/>
        <v>0.05</v>
      </c>
      <c r="R20">
        <f t="shared" si="1"/>
        <v>4.9999996564026185E-2</v>
      </c>
      <c r="S20">
        <f t="shared" si="2"/>
        <v>3.4359738179667865E-9</v>
      </c>
    </row>
    <row r="21" spans="2:19" x14ac:dyDescent="0.25">
      <c r="B21">
        <f t="shared" si="3"/>
        <v>20</v>
      </c>
      <c r="C21">
        <v>0.05</v>
      </c>
      <c r="D21">
        <f t="shared" si="4"/>
        <v>0.95000000000000029</v>
      </c>
      <c r="E21">
        <f t="shared" si="5"/>
        <v>0.95000000000000029</v>
      </c>
      <c r="F21">
        <f t="shared" si="6"/>
        <v>4.9999998625610484E-2</v>
      </c>
      <c r="G21">
        <f t="shared" si="7"/>
        <v>0.91666666758292659</v>
      </c>
      <c r="H21">
        <f t="shared" si="8"/>
        <v>1.3743895188600419E-9</v>
      </c>
      <c r="I21">
        <f t="shared" si="9"/>
        <v>3.3333332417073543E-2</v>
      </c>
      <c r="P21">
        <v>20</v>
      </c>
      <c r="Q21">
        <f t="shared" si="0"/>
        <v>0.05</v>
      </c>
      <c r="R21">
        <f t="shared" si="1"/>
        <v>4.9999998625610484E-2</v>
      </c>
      <c r="S21">
        <f t="shared" si="2"/>
        <v>1.3743895188600419E-9</v>
      </c>
    </row>
    <row r="22" spans="2:19" x14ac:dyDescent="0.25">
      <c r="B22">
        <f t="shared" si="3"/>
        <v>21</v>
      </c>
      <c r="C22">
        <v>0.05</v>
      </c>
      <c r="D22">
        <f t="shared" si="4"/>
        <v>1.0000000000000002</v>
      </c>
      <c r="E22">
        <f t="shared" si="5"/>
        <v>1.0000000000000002</v>
      </c>
      <c r="F22">
        <f t="shared" si="6"/>
        <v>4.9999999450244179E-2</v>
      </c>
      <c r="G22">
        <f t="shared" si="7"/>
        <v>0.96666666703317072</v>
      </c>
      <c r="H22">
        <f t="shared" si="8"/>
        <v>5.4975582419736213E-10</v>
      </c>
      <c r="I22">
        <f t="shared" si="9"/>
        <v>3.3333332966829367E-2</v>
      </c>
      <c r="P22">
        <v>21</v>
      </c>
      <c r="Q22">
        <f t="shared" si="0"/>
        <v>0.05</v>
      </c>
      <c r="R22">
        <f t="shared" si="1"/>
        <v>4.9999999450244179E-2</v>
      </c>
      <c r="S22">
        <f t="shared" si="2"/>
        <v>5.4975582419736213E-10</v>
      </c>
    </row>
    <row r="23" spans="2:19" x14ac:dyDescent="0.25">
      <c r="B23">
        <f t="shared" si="3"/>
        <v>22</v>
      </c>
      <c r="C23">
        <v>0.05</v>
      </c>
      <c r="D23">
        <f t="shared" si="4"/>
        <v>1.0500000000000003</v>
      </c>
      <c r="E23">
        <f t="shared" si="5"/>
        <v>1.0500000000000003</v>
      </c>
      <c r="F23">
        <f t="shared" si="6"/>
        <v>4.9999999780097726E-2</v>
      </c>
      <c r="G23">
        <f t="shared" si="7"/>
        <v>1.0166666668132684</v>
      </c>
      <c r="H23">
        <f t="shared" si="8"/>
        <v>2.1990227694335118E-10</v>
      </c>
      <c r="I23">
        <f t="shared" si="9"/>
        <v>3.3333333186731644E-2</v>
      </c>
      <c r="P23">
        <v>22</v>
      </c>
      <c r="Q23">
        <f t="shared" si="0"/>
        <v>0.05</v>
      </c>
      <c r="R23">
        <f t="shared" si="1"/>
        <v>4.9999999780097726E-2</v>
      </c>
      <c r="S23">
        <f t="shared" si="2"/>
        <v>2.1990227694335118E-10</v>
      </c>
    </row>
    <row r="24" spans="2:19" x14ac:dyDescent="0.25">
      <c r="B24">
        <f t="shared" si="3"/>
        <v>23</v>
      </c>
      <c r="C24">
        <v>0.05</v>
      </c>
      <c r="D24">
        <f t="shared" si="4"/>
        <v>1.1000000000000003</v>
      </c>
      <c r="E24">
        <f t="shared" si="5"/>
        <v>1.1000000000000003</v>
      </c>
      <c r="F24">
        <f t="shared" si="6"/>
        <v>4.9999999912039114E-2</v>
      </c>
      <c r="G24">
        <f t="shared" si="7"/>
        <v>1.0666666667253075</v>
      </c>
      <c r="H24">
        <f t="shared" si="8"/>
        <v>8.7960888572879981E-11</v>
      </c>
      <c r="I24">
        <f t="shared" si="9"/>
        <v>3.3333333274692532E-2</v>
      </c>
      <c r="P24">
        <v>23</v>
      </c>
      <c r="Q24">
        <f t="shared" si="0"/>
        <v>0.05</v>
      </c>
      <c r="R24">
        <f t="shared" si="1"/>
        <v>4.9999999912039114E-2</v>
      </c>
      <c r="S24">
        <f t="shared" si="2"/>
        <v>8.7960888572879981E-11</v>
      </c>
    </row>
    <row r="25" spans="2:19" x14ac:dyDescent="0.25">
      <c r="B25">
        <f t="shared" si="3"/>
        <v>24</v>
      </c>
      <c r="C25">
        <v>0.05</v>
      </c>
      <c r="D25">
        <f t="shared" si="4"/>
        <v>1.1500000000000004</v>
      </c>
      <c r="E25">
        <f t="shared" si="5"/>
        <v>1.1500000000000004</v>
      </c>
      <c r="F25">
        <f t="shared" si="6"/>
        <v>4.9999999964815696E-2</v>
      </c>
      <c r="G25">
        <f t="shared" si="7"/>
        <v>1.1166666666901233</v>
      </c>
      <c r="H25">
        <f t="shared" si="8"/>
        <v>3.5184306856894665E-11</v>
      </c>
      <c r="I25">
        <f t="shared" si="9"/>
        <v>3.3333333309876839E-2</v>
      </c>
      <c r="P25">
        <v>24</v>
      </c>
      <c r="Q25">
        <f t="shared" si="0"/>
        <v>0.05</v>
      </c>
      <c r="R25">
        <f t="shared" si="1"/>
        <v>4.9999999964815696E-2</v>
      </c>
      <c r="S25">
        <f t="shared" si="2"/>
        <v>3.5184306856894665E-11</v>
      </c>
    </row>
    <row r="26" spans="2:19" x14ac:dyDescent="0.25">
      <c r="B26">
        <f t="shared" si="3"/>
        <v>25</v>
      </c>
      <c r="C26">
        <v>0.05</v>
      </c>
      <c r="D26">
        <f t="shared" si="4"/>
        <v>1.2000000000000004</v>
      </c>
      <c r="E26">
        <f t="shared" si="5"/>
        <v>1.2000000000000004</v>
      </c>
      <c r="F26">
        <f t="shared" si="6"/>
        <v>4.9999999985926281E-2</v>
      </c>
      <c r="G26">
        <f t="shared" si="7"/>
        <v>1.1666666666760495</v>
      </c>
      <c r="H26">
        <f t="shared" si="8"/>
        <v>1.4073721354979085E-11</v>
      </c>
      <c r="I26">
        <f t="shared" si="9"/>
        <v>3.3333333323950561E-2</v>
      </c>
      <c r="P26">
        <v>25</v>
      </c>
      <c r="Q26">
        <f t="shared" si="0"/>
        <v>0.05</v>
      </c>
      <c r="R26">
        <f t="shared" si="1"/>
        <v>4.9999999985926281E-2</v>
      </c>
      <c r="S26">
        <f t="shared" si="2"/>
        <v>1.4073721354979085E-11</v>
      </c>
    </row>
    <row r="27" spans="2:19" x14ac:dyDescent="0.25">
      <c r="B27">
        <f t="shared" si="3"/>
        <v>26</v>
      </c>
      <c r="C27">
        <v>0.05</v>
      </c>
      <c r="D27">
        <f t="shared" si="4"/>
        <v>1.2500000000000004</v>
      </c>
      <c r="E27">
        <f t="shared" si="5"/>
        <v>1.2500000000000004</v>
      </c>
      <c r="F27">
        <f t="shared" si="6"/>
        <v>4.9999999994370589E-2</v>
      </c>
      <c r="G27">
        <f t="shared" si="7"/>
        <v>1.21666666667042</v>
      </c>
      <c r="H27">
        <f t="shared" si="8"/>
        <v>5.6294136019374719E-12</v>
      </c>
      <c r="I27">
        <f t="shared" si="9"/>
        <v>3.3333333329579974E-2</v>
      </c>
      <c r="P27">
        <v>26</v>
      </c>
      <c r="Q27">
        <f t="shared" si="0"/>
        <v>0.05</v>
      </c>
      <c r="R27">
        <f t="shared" si="1"/>
        <v>4.9999999994370589E-2</v>
      </c>
      <c r="S27">
        <f t="shared" si="2"/>
        <v>5.6294136019374719E-12</v>
      </c>
    </row>
    <row r="28" spans="2:19" x14ac:dyDescent="0.25">
      <c r="B28">
        <f t="shared" si="3"/>
        <v>27</v>
      </c>
      <c r="C28">
        <v>0.05</v>
      </c>
      <c r="D28">
        <f t="shared" si="4"/>
        <v>1.3000000000000005</v>
      </c>
      <c r="E28">
        <f t="shared" si="5"/>
        <v>1.3000000000000005</v>
      </c>
      <c r="F28">
        <f t="shared" si="6"/>
        <v>4.999999999774829E-2</v>
      </c>
      <c r="G28">
        <f t="shared" si="7"/>
        <v>1.2666666666681683</v>
      </c>
      <c r="H28">
        <f t="shared" si="8"/>
        <v>2.2517127051813191E-12</v>
      </c>
      <c r="I28">
        <f t="shared" si="9"/>
        <v>3.3333333331831687E-2</v>
      </c>
      <c r="P28">
        <v>27</v>
      </c>
      <c r="Q28">
        <f t="shared" si="0"/>
        <v>0.05</v>
      </c>
      <c r="R28">
        <f t="shared" si="1"/>
        <v>4.999999999774829E-2</v>
      </c>
      <c r="S28">
        <f t="shared" si="2"/>
        <v>2.2517127051813191E-12</v>
      </c>
    </row>
    <row r="29" spans="2:19" x14ac:dyDescent="0.25">
      <c r="B29">
        <f t="shared" si="3"/>
        <v>28</v>
      </c>
      <c r="C29">
        <v>0.05</v>
      </c>
      <c r="D29">
        <f t="shared" si="4"/>
        <v>1.3500000000000005</v>
      </c>
      <c r="E29">
        <f t="shared" si="5"/>
        <v>1.3500000000000005</v>
      </c>
      <c r="F29">
        <f t="shared" si="6"/>
        <v>4.9999999999099341E-2</v>
      </c>
      <c r="G29">
        <f t="shared" si="7"/>
        <v>1.3166666666672677</v>
      </c>
      <c r="H29">
        <f t="shared" si="8"/>
        <v>9.0066148983325434E-13</v>
      </c>
      <c r="I29">
        <f t="shared" si="9"/>
        <v>3.3333333332732348E-2</v>
      </c>
      <c r="P29">
        <v>28</v>
      </c>
      <c r="Q29">
        <f t="shared" si="0"/>
        <v>0.05</v>
      </c>
      <c r="R29">
        <f t="shared" si="1"/>
        <v>4.9999999999099341E-2</v>
      </c>
      <c r="S29">
        <f t="shared" si="2"/>
        <v>9.0066148983325434E-13</v>
      </c>
    </row>
    <row r="30" spans="2:19" x14ac:dyDescent="0.25">
      <c r="B30">
        <f t="shared" si="3"/>
        <v>29</v>
      </c>
      <c r="C30">
        <v>0.05</v>
      </c>
      <c r="D30">
        <f t="shared" si="4"/>
        <v>1.4000000000000006</v>
      </c>
      <c r="E30">
        <f t="shared" si="5"/>
        <v>1.4000000000000006</v>
      </c>
      <c r="F30">
        <f t="shared" si="6"/>
        <v>4.9999999999639708E-2</v>
      </c>
      <c r="G30">
        <f t="shared" si="7"/>
        <v>1.3666666666669074</v>
      </c>
      <c r="H30">
        <f t="shared" si="8"/>
        <v>3.6029512706647893E-13</v>
      </c>
      <c r="I30">
        <f t="shared" si="9"/>
        <v>3.3333333333092643E-2</v>
      </c>
      <c r="P30">
        <v>29</v>
      </c>
      <c r="Q30">
        <f t="shared" si="0"/>
        <v>0.05</v>
      </c>
      <c r="R30">
        <f t="shared" si="1"/>
        <v>4.9999999999639708E-2</v>
      </c>
      <c r="S30">
        <f t="shared" si="2"/>
        <v>3.6029512706647893E-13</v>
      </c>
    </row>
    <row r="31" spans="2:19" x14ac:dyDescent="0.25">
      <c r="B31">
        <f t="shared" si="3"/>
        <v>30</v>
      </c>
      <c r="C31">
        <v>0.05</v>
      </c>
      <c r="D31">
        <f t="shared" si="4"/>
        <v>1.4500000000000006</v>
      </c>
      <c r="E31">
        <f t="shared" si="5"/>
        <v>1.4500000000000006</v>
      </c>
      <c r="F31">
        <f t="shared" si="6"/>
        <v>4.9999999999855937E-2</v>
      </c>
      <c r="G31">
        <f t="shared" si="7"/>
        <v>1.4166666666667633</v>
      </c>
      <c r="H31">
        <f t="shared" si="8"/>
        <v>1.4406531523292188E-13</v>
      </c>
      <c r="I31">
        <f t="shared" si="9"/>
        <v>3.3333333333236709E-2</v>
      </c>
      <c r="P31">
        <v>30</v>
      </c>
      <c r="Q31">
        <f t="shared" si="0"/>
        <v>0.05</v>
      </c>
      <c r="R31">
        <f t="shared" si="1"/>
        <v>4.9999999999855937E-2</v>
      </c>
      <c r="S31">
        <f t="shared" si="2"/>
        <v>1.4406531523292188E-13</v>
      </c>
    </row>
    <row r="32" spans="2:19" x14ac:dyDescent="0.25">
      <c r="B32">
        <f t="shared" si="3"/>
        <v>31</v>
      </c>
      <c r="C32">
        <v>0.05</v>
      </c>
      <c r="D32">
        <f t="shared" si="4"/>
        <v>1.5000000000000007</v>
      </c>
      <c r="E32">
        <f t="shared" si="5"/>
        <v>1.5000000000000007</v>
      </c>
      <c r="F32">
        <f t="shared" si="6"/>
        <v>4.9999999999942403E-2</v>
      </c>
      <c r="G32">
        <f t="shared" si="7"/>
        <v>1.4666666666667056</v>
      </c>
      <c r="H32">
        <f t="shared" si="8"/>
        <v>5.7599758296333903E-14</v>
      </c>
      <c r="I32">
        <f t="shared" si="9"/>
        <v>3.3333333333294309E-2</v>
      </c>
      <c r="P32">
        <v>31</v>
      </c>
      <c r="Q32">
        <f t="shared" si="0"/>
        <v>0.05</v>
      </c>
      <c r="R32">
        <f t="shared" si="1"/>
        <v>4.9999999999942403E-2</v>
      </c>
      <c r="S32">
        <f t="shared" si="2"/>
        <v>5.7599758296333903E-14</v>
      </c>
    </row>
    <row r="33" spans="2:19" x14ac:dyDescent="0.25">
      <c r="B33">
        <f t="shared" si="3"/>
        <v>32</v>
      </c>
      <c r="C33">
        <v>0.05</v>
      </c>
      <c r="D33">
        <f t="shared" si="4"/>
        <v>1.5500000000000007</v>
      </c>
      <c r="E33">
        <f t="shared" si="5"/>
        <v>1.5500000000000007</v>
      </c>
      <c r="F33">
        <f t="shared" si="6"/>
        <v>4.9999999999977042E-2</v>
      </c>
      <c r="G33">
        <f t="shared" si="7"/>
        <v>1.5166666666666826</v>
      </c>
      <c r="H33">
        <f t="shared" si="8"/>
        <v>2.2960799928029019E-14</v>
      </c>
      <c r="I33">
        <f t="shared" si="9"/>
        <v>3.3333333333317269E-2</v>
      </c>
      <c r="P33">
        <v>32</v>
      </c>
      <c r="Q33">
        <f t="shared" si="0"/>
        <v>0.05</v>
      </c>
      <c r="R33">
        <f t="shared" si="1"/>
        <v>4.9999999999977042E-2</v>
      </c>
      <c r="S33">
        <f t="shared" si="2"/>
        <v>2.2960799928029019E-14</v>
      </c>
    </row>
    <row r="34" spans="2:19" x14ac:dyDescent="0.25">
      <c r="B34">
        <f t="shared" si="3"/>
        <v>33</v>
      </c>
      <c r="C34">
        <v>0.05</v>
      </c>
      <c r="D34">
        <f t="shared" si="4"/>
        <v>1.6000000000000008</v>
      </c>
      <c r="E34">
        <f t="shared" si="5"/>
        <v>1.6000000000000008</v>
      </c>
      <c r="F34">
        <f t="shared" si="6"/>
        <v>4.9999999999990892E-2</v>
      </c>
      <c r="G34">
        <f t="shared" si="7"/>
        <v>1.5666666666666735</v>
      </c>
      <c r="H34">
        <f t="shared" si="8"/>
        <v>9.1107676958301909E-15</v>
      </c>
      <c r="I34">
        <f t="shared" si="9"/>
        <v>3.333333333332638E-2</v>
      </c>
      <c r="P34">
        <v>33</v>
      </c>
      <c r="Q34">
        <f t="shared" si="0"/>
        <v>0.05</v>
      </c>
      <c r="R34">
        <f t="shared" si="1"/>
        <v>4.9999999999990892E-2</v>
      </c>
      <c r="S34">
        <f t="shared" si="2"/>
        <v>9.1107676958301909E-15</v>
      </c>
    </row>
    <row r="35" spans="2:19" x14ac:dyDescent="0.25">
      <c r="B35">
        <f t="shared" si="3"/>
        <v>34</v>
      </c>
      <c r="C35">
        <v>0.05</v>
      </c>
      <c r="D35">
        <f t="shared" si="4"/>
        <v>1.6500000000000008</v>
      </c>
      <c r="E35">
        <f t="shared" si="5"/>
        <v>1.6500000000000008</v>
      </c>
      <c r="F35">
        <f t="shared" si="6"/>
        <v>4.999999999999636E-2</v>
      </c>
      <c r="G35">
        <f t="shared" si="7"/>
        <v>1.6166666666666698</v>
      </c>
      <c r="H35">
        <f t="shared" si="8"/>
        <v>3.6429192995512949E-15</v>
      </c>
      <c r="I35">
        <f t="shared" si="9"/>
        <v>3.3333333333330023E-2</v>
      </c>
      <c r="P35">
        <v>34</v>
      </c>
      <c r="Q35">
        <f t="shared" si="0"/>
        <v>0.05</v>
      </c>
      <c r="R35">
        <f t="shared" si="1"/>
        <v>4.999999999999636E-2</v>
      </c>
      <c r="S35">
        <f t="shared" si="2"/>
        <v>3.6429192995512949E-15</v>
      </c>
    </row>
    <row r="36" spans="2:19" x14ac:dyDescent="0.25">
      <c r="B36">
        <f t="shared" si="3"/>
        <v>35</v>
      </c>
      <c r="C36">
        <v>0.05</v>
      </c>
      <c r="D36">
        <f t="shared" si="4"/>
        <v>1.7000000000000008</v>
      </c>
      <c r="E36">
        <f t="shared" si="5"/>
        <v>1.7000000000000008</v>
      </c>
      <c r="F36">
        <f t="shared" si="6"/>
        <v>4.9999999999998622E-2</v>
      </c>
      <c r="G36">
        <f t="shared" si="7"/>
        <v>1.6666666666666685</v>
      </c>
      <c r="H36">
        <f t="shared" si="8"/>
        <v>1.3808398868775384E-15</v>
      </c>
      <c r="I36">
        <f t="shared" si="9"/>
        <v>3.3333333333331404E-2</v>
      </c>
      <c r="P36">
        <v>35</v>
      </c>
      <c r="Q36">
        <f t="shared" si="0"/>
        <v>0.05</v>
      </c>
      <c r="R36">
        <f t="shared" si="1"/>
        <v>4.9999999999998622E-2</v>
      </c>
      <c r="S36">
        <f t="shared" si="2"/>
        <v>1.3808398868775384E-15</v>
      </c>
    </row>
    <row r="37" spans="2:19" x14ac:dyDescent="0.25">
      <c r="B37">
        <f t="shared" si="3"/>
        <v>36</v>
      </c>
      <c r="C37">
        <v>0.05</v>
      </c>
      <c r="D37">
        <f t="shared" si="4"/>
        <v>1.7500000000000009</v>
      </c>
      <c r="E37">
        <f t="shared" si="5"/>
        <v>1.7500000000000009</v>
      </c>
      <c r="F37">
        <f t="shared" si="6"/>
        <v>4.999999999999942E-2</v>
      </c>
      <c r="G37">
        <f t="shared" si="7"/>
        <v>1.7166666666666679</v>
      </c>
      <c r="H37">
        <f t="shared" si="8"/>
        <v>5.8286708792820718E-16</v>
      </c>
      <c r="I37">
        <f t="shared" si="9"/>
        <v>3.3333333333331987E-2</v>
      </c>
      <c r="P37">
        <v>36</v>
      </c>
      <c r="Q37">
        <f t="shared" si="0"/>
        <v>0.05</v>
      </c>
      <c r="R37">
        <f t="shared" si="1"/>
        <v>4.999999999999942E-2</v>
      </c>
      <c r="S37">
        <f t="shared" si="2"/>
        <v>5.8286708792820718E-16</v>
      </c>
    </row>
    <row r="38" spans="2:19" x14ac:dyDescent="0.25">
      <c r="B38">
        <f t="shared" si="3"/>
        <v>37</v>
      </c>
      <c r="C38">
        <v>0.05</v>
      </c>
      <c r="D38">
        <f t="shared" si="4"/>
        <v>1.8000000000000009</v>
      </c>
      <c r="E38">
        <f t="shared" si="5"/>
        <v>1.8000000000000009</v>
      </c>
      <c r="F38">
        <f t="shared" si="6"/>
        <v>4.9999999999999822E-2</v>
      </c>
      <c r="G38">
        <f t="shared" si="7"/>
        <v>1.7666666666666677</v>
      </c>
      <c r="H38">
        <f t="shared" si="8"/>
        <v>1.8041124150158794E-16</v>
      </c>
      <c r="I38">
        <f t="shared" si="9"/>
        <v>3.3333333333332167E-2</v>
      </c>
      <c r="P38">
        <v>37</v>
      </c>
      <c r="Q38">
        <f t="shared" si="0"/>
        <v>0.05</v>
      </c>
      <c r="R38">
        <f t="shared" si="1"/>
        <v>4.9999999999999822E-2</v>
      </c>
      <c r="S38">
        <f t="shared" si="2"/>
        <v>1.8041124150158794E-16</v>
      </c>
    </row>
    <row r="39" spans="2:19" x14ac:dyDescent="0.25">
      <c r="B39">
        <f t="shared" si="3"/>
        <v>38</v>
      </c>
      <c r="C39">
        <v>0.05</v>
      </c>
      <c r="D39">
        <f t="shared" si="4"/>
        <v>1.850000000000001</v>
      </c>
      <c r="E39">
        <f t="shared" si="5"/>
        <v>1.850000000000001</v>
      </c>
      <c r="F39">
        <f t="shared" si="6"/>
        <v>4.9999999999999954E-2</v>
      </c>
      <c r="G39">
        <f t="shared" si="7"/>
        <v>1.8166666666666678</v>
      </c>
      <c r="H39">
        <f t="shared" si="8"/>
        <v>0</v>
      </c>
      <c r="I39">
        <f t="shared" si="9"/>
        <v>3.3333333333332167E-2</v>
      </c>
      <c r="P39">
        <v>38</v>
      </c>
      <c r="Q39">
        <f t="shared" si="0"/>
        <v>0.05</v>
      </c>
      <c r="R39">
        <f t="shared" si="1"/>
        <v>4.9999999999999954E-2</v>
      </c>
      <c r="S39">
        <f t="shared" si="2"/>
        <v>0</v>
      </c>
    </row>
    <row r="40" spans="2:19" x14ac:dyDescent="0.25">
      <c r="B40">
        <f t="shared" si="3"/>
        <v>39</v>
      </c>
      <c r="C40">
        <v>0.05</v>
      </c>
      <c r="D40">
        <f t="shared" si="4"/>
        <v>1.900000000000001</v>
      </c>
      <c r="E40">
        <f t="shared" si="5"/>
        <v>1.900000000000001</v>
      </c>
      <c r="F40">
        <f t="shared" si="6"/>
        <v>4.9999999999999954E-2</v>
      </c>
      <c r="G40">
        <f t="shared" si="7"/>
        <v>1.8666666666666678</v>
      </c>
      <c r="H40">
        <f t="shared" si="8"/>
        <v>0</v>
      </c>
      <c r="I40">
        <f t="shared" si="9"/>
        <v>3.3333333333332167E-2</v>
      </c>
      <c r="P40">
        <v>39</v>
      </c>
      <c r="Q40">
        <f t="shared" si="0"/>
        <v>0.05</v>
      </c>
      <c r="R40">
        <f t="shared" si="1"/>
        <v>4.9999999999999954E-2</v>
      </c>
      <c r="S40">
        <f t="shared" si="2"/>
        <v>0</v>
      </c>
    </row>
    <row r="41" spans="2:19" x14ac:dyDescent="0.25">
      <c r="B41">
        <f t="shared" si="3"/>
        <v>40</v>
      </c>
      <c r="C41">
        <v>0.05</v>
      </c>
      <c r="D41">
        <f t="shared" si="4"/>
        <v>1.9500000000000011</v>
      </c>
      <c r="E41">
        <f t="shared" si="5"/>
        <v>1.9500000000000011</v>
      </c>
      <c r="F41">
        <f t="shared" si="6"/>
        <v>4.9999999999999954E-2</v>
      </c>
      <c r="G41">
        <f t="shared" si="7"/>
        <v>1.9166666666666679</v>
      </c>
      <c r="H41">
        <f t="shared" si="8"/>
        <v>0</v>
      </c>
      <c r="I41">
        <f t="shared" si="9"/>
        <v>3.3333333333332167E-2</v>
      </c>
      <c r="P41">
        <v>40</v>
      </c>
      <c r="Q41">
        <f t="shared" si="0"/>
        <v>0.05</v>
      </c>
      <c r="R41">
        <f t="shared" si="1"/>
        <v>4.9999999999999954E-2</v>
      </c>
      <c r="S41">
        <f t="shared" si="2"/>
        <v>0</v>
      </c>
    </row>
    <row r="42" spans="2:19" x14ac:dyDescent="0.25">
      <c r="B42">
        <f t="shared" si="3"/>
        <v>41</v>
      </c>
      <c r="C42">
        <v>0.05</v>
      </c>
      <c r="D42">
        <f t="shared" si="4"/>
        <v>2.0000000000000009</v>
      </c>
      <c r="E42">
        <f t="shared" si="5"/>
        <v>2.0000000000000009</v>
      </c>
      <c r="F42">
        <f t="shared" si="6"/>
        <v>4.9999999999999822E-2</v>
      </c>
      <c r="G42">
        <f t="shared" si="7"/>
        <v>1.9666666666666677</v>
      </c>
      <c r="H42">
        <f t="shared" si="8"/>
        <v>1.8041124150158794E-16</v>
      </c>
      <c r="I42">
        <f t="shared" si="9"/>
        <v>3.3333333333332348E-2</v>
      </c>
      <c r="P42">
        <v>41</v>
      </c>
      <c r="Q42">
        <f t="shared" si="0"/>
        <v>0.05</v>
      </c>
      <c r="R42">
        <f t="shared" si="1"/>
        <v>4.9999999999999822E-2</v>
      </c>
      <c r="S42">
        <f t="shared" si="2"/>
        <v>1.8041124150158794E-16</v>
      </c>
    </row>
    <row r="43" spans="2:19" x14ac:dyDescent="0.25">
      <c r="B43">
        <f t="shared" si="3"/>
        <v>42</v>
      </c>
      <c r="C43">
        <v>0.05</v>
      </c>
      <c r="D43">
        <f t="shared" si="4"/>
        <v>2.0500000000000007</v>
      </c>
      <c r="E43">
        <f t="shared" si="5"/>
        <v>2.0500000000000007</v>
      </c>
      <c r="F43">
        <f t="shared" si="6"/>
        <v>4.9999999999999822E-2</v>
      </c>
      <c r="G43">
        <f t="shared" si="7"/>
        <v>2.0166666666666675</v>
      </c>
      <c r="H43">
        <f t="shared" si="8"/>
        <v>1.8041124150158794E-16</v>
      </c>
      <c r="I43">
        <f t="shared" si="9"/>
        <v>3.3333333333332528E-2</v>
      </c>
      <c r="P43">
        <v>42</v>
      </c>
      <c r="Q43">
        <f t="shared" si="0"/>
        <v>0.05</v>
      </c>
      <c r="R43">
        <f t="shared" si="1"/>
        <v>4.9999999999999822E-2</v>
      </c>
      <c r="S43">
        <f t="shared" si="2"/>
        <v>1.8041124150158794E-16</v>
      </c>
    </row>
    <row r="44" spans="2:19" x14ac:dyDescent="0.25">
      <c r="B44">
        <f t="shared" si="3"/>
        <v>43</v>
      </c>
      <c r="C44">
        <v>0.05</v>
      </c>
      <c r="D44">
        <f t="shared" si="4"/>
        <v>2.1000000000000005</v>
      </c>
      <c r="E44">
        <f t="shared" si="5"/>
        <v>2.1000000000000005</v>
      </c>
      <c r="F44">
        <f t="shared" si="6"/>
        <v>4.9999999999999822E-2</v>
      </c>
      <c r="G44">
        <f t="shared" si="7"/>
        <v>2.0666666666666673</v>
      </c>
      <c r="H44">
        <f t="shared" si="8"/>
        <v>1.8041124150158794E-16</v>
      </c>
      <c r="I44">
        <f t="shared" si="9"/>
        <v>3.3333333333332708E-2</v>
      </c>
      <c r="P44">
        <v>43</v>
      </c>
      <c r="Q44">
        <f t="shared" si="0"/>
        <v>0.05</v>
      </c>
      <c r="R44">
        <f t="shared" si="1"/>
        <v>4.9999999999999822E-2</v>
      </c>
      <c r="S44">
        <f t="shared" si="2"/>
        <v>1.8041124150158794E-16</v>
      </c>
    </row>
    <row r="45" spans="2:19" x14ac:dyDescent="0.25">
      <c r="B45">
        <f t="shared" si="3"/>
        <v>44</v>
      </c>
      <c r="C45">
        <v>0.05</v>
      </c>
      <c r="D45">
        <f t="shared" si="4"/>
        <v>2.1500000000000004</v>
      </c>
      <c r="E45">
        <f t="shared" si="5"/>
        <v>2.1500000000000004</v>
      </c>
      <c r="F45">
        <f t="shared" si="6"/>
        <v>4.9999999999999822E-2</v>
      </c>
      <c r="G45">
        <f t="shared" si="7"/>
        <v>2.1166666666666671</v>
      </c>
      <c r="H45">
        <f t="shared" si="8"/>
        <v>1.8041124150158794E-16</v>
      </c>
      <c r="I45">
        <f t="shared" si="9"/>
        <v>3.3333333333332889E-2</v>
      </c>
      <c r="P45">
        <v>44</v>
      </c>
      <c r="Q45">
        <f t="shared" si="0"/>
        <v>0.05</v>
      </c>
      <c r="R45">
        <f t="shared" si="1"/>
        <v>4.9999999999999822E-2</v>
      </c>
      <c r="S45">
        <f t="shared" si="2"/>
        <v>1.8041124150158794E-16</v>
      </c>
    </row>
    <row r="46" spans="2:19" x14ac:dyDescent="0.25">
      <c r="B46">
        <f t="shared" si="3"/>
        <v>45</v>
      </c>
      <c r="C46">
        <v>0.05</v>
      </c>
      <c r="D46">
        <f t="shared" si="4"/>
        <v>2.2000000000000002</v>
      </c>
      <c r="E46">
        <f t="shared" si="5"/>
        <v>2.2000000000000002</v>
      </c>
      <c r="F46">
        <f t="shared" si="6"/>
        <v>4.9999999999999822E-2</v>
      </c>
      <c r="G46">
        <f t="shared" si="7"/>
        <v>2.166666666666667</v>
      </c>
      <c r="H46">
        <f t="shared" si="8"/>
        <v>1.8041124150158794E-16</v>
      </c>
      <c r="I46">
        <f t="shared" si="9"/>
        <v>3.3333333333333069E-2</v>
      </c>
      <c r="P46">
        <v>45</v>
      </c>
      <c r="Q46">
        <f t="shared" si="0"/>
        <v>0.05</v>
      </c>
      <c r="R46">
        <f t="shared" si="1"/>
        <v>4.9999999999999822E-2</v>
      </c>
      <c r="S46">
        <f t="shared" si="2"/>
        <v>1.8041124150158794E-16</v>
      </c>
    </row>
    <row r="47" spans="2:19" x14ac:dyDescent="0.25">
      <c r="B47">
        <f t="shared" si="3"/>
        <v>46</v>
      </c>
      <c r="C47">
        <v>0.05</v>
      </c>
      <c r="D47">
        <f t="shared" si="4"/>
        <v>2.25</v>
      </c>
      <c r="E47">
        <f t="shared" si="5"/>
        <v>2.25</v>
      </c>
      <c r="F47">
        <f t="shared" si="6"/>
        <v>4.9999999999999822E-2</v>
      </c>
      <c r="G47">
        <f t="shared" si="7"/>
        <v>2.2166666666666668</v>
      </c>
      <c r="H47">
        <f t="shared" si="8"/>
        <v>1.8041124150158794E-16</v>
      </c>
      <c r="I47">
        <f t="shared" si="9"/>
        <v>3.333333333333325E-2</v>
      </c>
      <c r="P47">
        <v>46</v>
      </c>
      <c r="Q47">
        <f t="shared" si="0"/>
        <v>0.05</v>
      </c>
      <c r="R47">
        <f t="shared" si="1"/>
        <v>4.9999999999999822E-2</v>
      </c>
      <c r="S47">
        <f t="shared" si="2"/>
        <v>1.8041124150158794E-16</v>
      </c>
    </row>
    <row r="48" spans="2:19" x14ac:dyDescent="0.25">
      <c r="B48">
        <f t="shared" si="3"/>
        <v>47</v>
      </c>
      <c r="C48">
        <v>0.05</v>
      </c>
      <c r="D48">
        <f t="shared" si="4"/>
        <v>2.2999999999999998</v>
      </c>
      <c r="E48">
        <f t="shared" si="5"/>
        <v>2.2999999999999998</v>
      </c>
      <c r="F48">
        <f t="shared" si="6"/>
        <v>4.9999999999999822E-2</v>
      </c>
      <c r="G48">
        <f t="shared" si="7"/>
        <v>2.2666666666666666</v>
      </c>
      <c r="H48">
        <f t="shared" si="8"/>
        <v>1.8041124150158794E-16</v>
      </c>
      <c r="I48">
        <f t="shared" si="9"/>
        <v>3.333333333333343E-2</v>
      </c>
      <c r="P48">
        <v>47</v>
      </c>
      <c r="Q48">
        <f t="shared" si="0"/>
        <v>0.05</v>
      </c>
      <c r="R48">
        <f t="shared" si="1"/>
        <v>4.9999999999999822E-2</v>
      </c>
      <c r="S48">
        <f t="shared" si="2"/>
        <v>1.8041124150158794E-16</v>
      </c>
    </row>
    <row r="49" spans="2:19" x14ac:dyDescent="0.25">
      <c r="B49">
        <f t="shared" si="3"/>
        <v>48</v>
      </c>
      <c r="C49">
        <v>0.05</v>
      </c>
      <c r="D49">
        <f t="shared" si="4"/>
        <v>2.3499999999999996</v>
      </c>
      <c r="E49">
        <f t="shared" si="5"/>
        <v>2.3499999999999996</v>
      </c>
      <c r="F49">
        <f t="shared" si="6"/>
        <v>4.9999999999999822E-2</v>
      </c>
      <c r="G49">
        <f t="shared" si="7"/>
        <v>2.3166666666666664</v>
      </c>
      <c r="H49">
        <f t="shared" si="8"/>
        <v>1.8041124150158794E-16</v>
      </c>
      <c r="I49">
        <f t="shared" si="9"/>
        <v>3.333333333333361E-2</v>
      </c>
      <c r="P49">
        <v>48</v>
      </c>
      <c r="Q49">
        <f t="shared" si="0"/>
        <v>0.05</v>
      </c>
      <c r="R49">
        <f t="shared" si="1"/>
        <v>4.9999999999999822E-2</v>
      </c>
      <c r="S49">
        <f t="shared" si="2"/>
        <v>1.8041124150158794E-16</v>
      </c>
    </row>
    <row r="50" spans="2:19" x14ac:dyDescent="0.25">
      <c r="B50">
        <f t="shared" si="3"/>
        <v>49</v>
      </c>
      <c r="C50">
        <v>0.05</v>
      </c>
      <c r="D50">
        <f t="shared" si="4"/>
        <v>2.3999999999999995</v>
      </c>
      <c r="E50">
        <f t="shared" si="5"/>
        <v>2.3999999999999995</v>
      </c>
      <c r="F50">
        <f t="shared" si="6"/>
        <v>4.9999999999999822E-2</v>
      </c>
      <c r="G50">
        <f t="shared" si="7"/>
        <v>2.3666666666666663</v>
      </c>
      <c r="H50">
        <f t="shared" si="8"/>
        <v>1.8041124150158794E-16</v>
      </c>
      <c r="I50">
        <f t="shared" si="9"/>
        <v>3.3333333333333791E-2</v>
      </c>
      <c r="P50">
        <v>49</v>
      </c>
      <c r="Q50">
        <f t="shared" si="0"/>
        <v>0.05</v>
      </c>
      <c r="R50">
        <f t="shared" si="1"/>
        <v>4.9999999999999822E-2</v>
      </c>
      <c r="S50">
        <f t="shared" si="2"/>
        <v>1.8041124150158794E-16</v>
      </c>
    </row>
    <row r="51" spans="2:19" x14ac:dyDescent="0.25">
      <c r="B51">
        <f t="shared" si="3"/>
        <v>50</v>
      </c>
      <c r="C51">
        <v>0.05</v>
      </c>
      <c r="D51">
        <f t="shared" si="4"/>
        <v>2.4499999999999993</v>
      </c>
      <c r="E51">
        <f t="shared" si="5"/>
        <v>2.4499999999999993</v>
      </c>
      <c r="F51">
        <f t="shared" si="6"/>
        <v>4.9999999999999822E-2</v>
      </c>
      <c r="G51">
        <f t="shared" si="7"/>
        <v>2.4166666666666661</v>
      </c>
      <c r="H51">
        <f t="shared" si="8"/>
        <v>1.8041124150158794E-16</v>
      </c>
      <c r="I51">
        <f t="shared" si="9"/>
        <v>3.3333333333333971E-2</v>
      </c>
      <c r="P51">
        <v>50</v>
      </c>
      <c r="Q51">
        <f t="shared" si="0"/>
        <v>0.05</v>
      </c>
      <c r="R51">
        <f t="shared" si="1"/>
        <v>4.9999999999999822E-2</v>
      </c>
      <c r="S51">
        <f t="shared" si="2"/>
        <v>1.8041124150158794E-16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CC69-EAD6-4925-A735-912C65CFCC6C}">
  <dimension ref="B1:U783"/>
  <sheetViews>
    <sheetView workbookViewId="0">
      <selection activeCell="C2" sqref="C2"/>
    </sheetView>
  </sheetViews>
  <sheetFormatPr defaultRowHeight="15" x14ac:dyDescent="0.25"/>
  <cols>
    <col min="16" max="16" width="13" customWidth="1"/>
  </cols>
  <sheetData>
    <row r="1" spans="2:21" x14ac:dyDescent="0.25">
      <c r="C1" s="1" t="s">
        <v>29</v>
      </c>
      <c r="D1" s="1" t="s">
        <v>1</v>
      </c>
      <c r="E1" s="1" t="s">
        <v>30</v>
      </c>
      <c r="F1" s="1" t="s">
        <v>31</v>
      </c>
      <c r="G1" s="1" t="s">
        <v>0</v>
      </c>
      <c r="H1" s="1" t="s">
        <v>32</v>
      </c>
      <c r="I1" s="1" t="s">
        <v>2</v>
      </c>
      <c r="J1" s="1" t="s">
        <v>3</v>
      </c>
      <c r="K1">
        <v>0.2</v>
      </c>
      <c r="Q1" t="s">
        <v>29</v>
      </c>
      <c r="R1" t="s">
        <v>31</v>
      </c>
      <c r="S1" t="s">
        <v>32</v>
      </c>
      <c r="T1" s="1" t="s">
        <v>37</v>
      </c>
    </row>
    <row r="2" spans="2:21" x14ac:dyDescent="0.25">
      <c r="B2">
        <f>1</f>
        <v>1</v>
      </c>
      <c r="C2">
        <v>3.9676886936566902E-2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/>
      <c r="P2" s="2">
        <v>21671</v>
      </c>
      <c r="Q2">
        <v>3.9676886936566902E-2</v>
      </c>
      <c r="R2">
        <f>F2</f>
        <v>0</v>
      </c>
      <c r="S2">
        <f>H2</f>
        <v>0</v>
      </c>
      <c r="T2">
        <v>9.7508540375141006E-2</v>
      </c>
    </row>
    <row r="3" spans="2:21" x14ac:dyDescent="0.25">
      <c r="B3">
        <f>B2+1</f>
        <v>2</v>
      </c>
      <c r="C3">
        <v>3.6516597772102699E-2</v>
      </c>
      <c r="D3">
        <f>D2 +C3</f>
        <v>3.6516597772102699E-2</v>
      </c>
      <c r="E3">
        <f>D3</f>
        <v>3.6516597772102699E-2</v>
      </c>
      <c r="F3">
        <f>$K$1*(E3-G2)</f>
        <v>7.3033195544205398E-3</v>
      </c>
      <c r="G3">
        <f>G2 + F3</f>
        <v>7.3033195544205398E-3</v>
      </c>
      <c r="H3">
        <f>C3-F3</f>
        <v>2.9213278217682159E-2</v>
      </c>
      <c r="I3">
        <f>E3-F3</f>
        <v>2.9213278217682159E-2</v>
      </c>
      <c r="J3" s="1"/>
      <c r="P3" s="2">
        <v>21702</v>
      </c>
      <c r="Q3">
        <v>3.6516597772102699E-2</v>
      </c>
      <c r="R3">
        <f t="shared" ref="R3:R51" si="0">F3</f>
        <v>7.3033195544205398E-3</v>
      </c>
      <c r="S3">
        <f t="shared" ref="S3:S51" si="1">H3</f>
        <v>2.9213278217682159E-2</v>
      </c>
      <c r="T3">
        <v>9.0589611314830343E-2</v>
      </c>
      <c r="U3" t="s">
        <v>36</v>
      </c>
    </row>
    <row r="4" spans="2:21" x14ac:dyDescent="0.25">
      <c r="B4">
        <f t="shared" ref="B4:B67" si="2">B3+1</f>
        <v>3</v>
      </c>
      <c r="C4">
        <v>3.4327924574043323E-2</v>
      </c>
      <c r="D4">
        <f t="shared" ref="D4:D51" si="3">D3 +C4</f>
        <v>7.0844522346146022E-2</v>
      </c>
      <c r="E4">
        <f t="shared" ref="E4:E67" si="4">D4</f>
        <v>7.0844522346146022E-2</v>
      </c>
      <c r="F4">
        <f t="shared" ref="F4:F67" si="5">$K$1*(E4-G3)</f>
        <v>1.2708240558345097E-2</v>
      </c>
      <c r="G4">
        <f t="shared" ref="G4:G51" si="6">G3 + F4</f>
        <v>2.0011560112765635E-2</v>
      </c>
      <c r="H4">
        <f t="shared" ref="H4:H51" si="7">C4-F4</f>
        <v>2.1619684015698228E-2</v>
      </c>
      <c r="I4">
        <f t="shared" ref="I4:I51" si="8">E4-F4</f>
        <v>5.8136281787800927E-2</v>
      </c>
      <c r="P4" s="2">
        <v>21732</v>
      </c>
      <c r="Q4">
        <v>3.4327924574043323E-2</v>
      </c>
      <c r="R4">
        <f t="shared" si="0"/>
        <v>1.2708240558345097E-2</v>
      </c>
      <c r="S4">
        <f t="shared" si="1"/>
        <v>2.1619684015698228E-2</v>
      </c>
      <c r="T4">
        <v>6.5957967791797412E-2</v>
      </c>
      <c r="U4" t="s">
        <v>34</v>
      </c>
    </row>
    <row r="5" spans="2:21" x14ac:dyDescent="0.25">
      <c r="B5">
        <f t="shared" si="2"/>
        <v>4</v>
      </c>
      <c r="C5">
        <v>3.3890061318962772E-2</v>
      </c>
      <c r="D5">
        <f t="shared" si="3"/>
        <v>0.10473458366510879</v>
      </c>
      <c r="E5">
        <f t="shared" si="4"/>
        <v>0.10473458366510879</v>
      </c>
      <c r="F5">
        <f t="shared" si="5"/>
        <v>1.694460471046863E-2</v>
      </c>
      <c r="G5">
        <f t="shared" si="6"/>
        <v>3.6956164823234265E-2</v>
      </c>
      <c r="H5">
        <f t="shared" si="7"/>
        <v>1.6945456608494142E-2</v>
      </c>
      <c r="I5">
        <f t="shared" si="8"/>
        <v>8.7789978954640163E-2</v>
      </c>
      <c r="P5" s="2">
        <v>21763</v>
      </c>
      <c r="Q5">
        <v>3.3890061318962772E-2</v>
      </c>
      <c r="R5">
        <f t="shared" si="0"/>
        <v>1.694460471046863E-2</v>
      </c>
      <c r="S5">
        <f t="shared" si="1"/>
        <v>1.6945456608494142E-2</v>
      </c>
      <c r="T5">
        <v>7.9483110568837834E-2</v>
      </c>
      <c r="U5" t="s">
        <v>35</v>
      </c>
    </row>
    <row r="6" spans="2:21" x14ac:dyDescent="0.25">
      <c r="B6">
        <f t="shared" si="2"/>
        <v>5</v>
      </c>
      <c r="C6">
        <v>2.9339484319399922E-2</v>
      </c>
      <c r="D6">
        <f t="shared" si="3"/>
        <v>0.13407406798450872</v>
      </c>
      <c r="E6">
        <f t="shared" si="4"/>
        <v>0.13407406798450872</v>
      </c>
      <c r="F6">
        <f t="shared" si="5"/>
        <v>1.942358063225489E-2</v>
      </c>
      <c r="G6">
        <f t="shared" si="6"/>
        <v>5.6379745455489155E-2</v>
      </c>
      <c r="H6">
        <f t="shared" si="7"/>
        <v>9.9159036871450321E-3</v>
      </c>
      <c r="I6">
        <f t="shared" si="8"/>
        <v>0.11465048735225383</v>
      </c>
      <c r="P6" s="2">
        <v>21794</v>
      </c>
      <c r="Q6">
        <v>2.9339484319399922E-2</v>
      </c>
      <c r="R6">
        <f t="shared" si="0"/>
        <v>1.942358063225489E-2</v>
      </c>
      <c r="S6">
        <f t="shared" si="1"/>
        <v>9.9159036871450321E-3</v>
      </c>
      <c r="T6">
        <v>8.9703270711981808E-2</v>
      </c>
    </row>
    <row r="7" spans="2:21" x14ac:dyDescent="0.25">
      <c r="B7">
        <f t="shared" si="2"/>
        <v>6</v>
      </c>
      <c r="C7">
        <v>2.7500056225463254E-2</v>
      </c>
      <c r="D7">
        <f t="shared" si="3"/>
        <v>0.16157412420997197</v>
      </c>
      <c r="E7">
        <f t="shared" si="4"/>
        <v>0.16157412420997197</v>
      </c>
      <c r="F7">
        <f t="shared" si="5"/>
        <v>2.1038875750896566E-2</v>
      </c>
      <c r="G7">
        <f t="shared" si="6"/>
        <v>7.7418621206385721E-2</v>
      </c>
      <c r="H7">
        <f t="shared" si="7"/>
        <v>6.4611804745666884E-3</v>
      </c>
      <c r="I7">
        <f t="shared" si="8"/>
        <v>0.14053524845907539</v>
      </c>
      <c r="P7" s="2">
        <v>21824</v>
      </c>
      <c r="Q7">
        <v>2.7500056225463254E-2</v>
      </c>
      <c r="R7">
        <f t="shared" si="0"/>
        <v>2.1038875750896566E-2</v>
      </c>
      <c r="S7">
        <f t="shared" si="1"/>
        <v>6.4611804745666884E-3</v>
      </c>
      <c r="T7">
        <v>8.9612158689687416E-2</v>
      </c>
    </row>
    <row r="8" spans="2:21" x14ac:dyDescent="0.25">
      <c r="B8">
        <f t="shared" si="2"/>
        <v>7</v>
      </c>
      <c r="C8">
        <v>2.9703501957001777E-2</v>
      </c>
      <c r="D8">
        <f t="shared" si="3"/>
        <v>0.19127762616697375</v>
      </c>
      <c r="E8">
        <f t="shared" si="4"/>
        <v>0.19127762616697375</v>
      </c>
      <c r="F8">
        <f t="shared" si="5"/>
        <v>2.2771800992117605E-2</v>
      </c>
      <c r="G8">
        <f t="shared" si="6"/>
        <v>0.10019042219850333</v>
      </c>
      <c r="H8">
        <f t="shared" si="7"/>
        <v>6.9317009648841715E-3</v>
      </c>
      <c r="I8">
        <f t="shared" si="8"/>
        <v>0.16850582517485613</v>
      </c>
      <c r="P8" s="2">
        <v>21855</v>
      </c>
      <c r="Q8">
        <v>2.9703501957001777E-2</v>
      </c>
      <c r="R8">
        <f t="shared" si="0"/>
        <v>2.2771800992117605E-2</v>
      </c>
      <c r="S8">
        <f t="shared" si="1"/>
        <v>6.9317009648841715E-3</v>
      </c>
      <c r="T8">
        <v>9.314040432305104E-2</v>
      </c>
    </row>
    <row r="9" spans="2:21" x14ac:dyDescent="0.25">
      <c r="B9">
        <f t="shared" si="2"/>
        <v>8</v>
      </c>
      <c r="C9">
        <v>3.4812068203758706E-2</v>
      </c>
      <c r="D9">
        <f t="shared" si="3"/>
        <v>0.22608969437073245</v>
      </c>
      <c r="E9">
        <f t="shared" si="4"/>
        <v>0.22608969437073245</v>
      </c>
      <c r="F9">
        <f t="shared" si="5"/>
        <v>2.5179854434445828E-2</v>
      </c>
      <c r="G9">
        <f t="shared" si="6"/>
        <v>0.12537027663294914</v>
      </c>
      <c r="H9">
        <f t="shared" si="7"/>
        <v>9.6322137693128779E-3</v>
      </c>
      <c r="I9">
        <f t="shared" si="8"/>
        <v>0.20090983993628664</v>
      </c>
      <c r="P9" s="2">
        <v>21885</v>
      </c>
      <c r="Q9">
        <v>3.4812068203758706E-2</v>
      </c>
      <c r="R9">
        <f t="shared" si="0"/>
        <v>2.5179854434445828E-2</v>
      </c>
      <c r="S9">
        <f t="shared" si="1"/>
        <v>9.6322137693128779E-3</v>
      </c>
      <c r="T9">
        <v>8.6750926408655005E-2</v>
      </c>
    </row>
    <row r="10" spans="2:21" x14ac:dyDescent="0.25">
      <c r="B10">
        <f t="shared" si="2"/>
        <v>9</v>
      </c>
      <c r="C10">
        <v>3.8676114392398375E-2</v>
      </c>
      <c r="D10">
        <f t="shared" si="3"/>
        <v>0.26476580876313083</v>
      </c>
      <c r="E10">
        <f t="shared" si="4"/>
        <v>0.26476580876313083</v>
      </c>
      <c r="F10">
        <f t="shared" si="5"/>
        <v>2.7879106426036339E-2</v>
      </c>
      <c r="G10">
        <f t="shared" si="6"/>
        <v>0.15324938305898547</v>
      </c>
      <c r="H10">
        <f t="shared" si="7"/>
        <v>1.0797007966362036E-2</v>
      </c>
      <c r="I10">
        <f t="shared" si="8"/>
        <v>0.2368867023370945</v>
      </c>
      <c r="P10" s="2">
        <v>21916</v>
      </c>
      <c r="Q10">
        <v>3.8676114392398375E-2</v>
      </c>
      <c r="R10">
        <f t="shared" si="0"/>
        <v>2.7879106426036339E-2</v>
      </c>
      <c r="S10">
        <f t="shared" si="1"/>
        <v>1.0797007966362036E-2</v>
      </c>
      <c r="T10">
        <v>6.4429058053886656E-2</v>
      </c>
    </row>
    <row r="11" spans="2:21" x14ac:dyDescent="0.25">
      <c r="B11">
        <f t="shared" si="2"/>
        <v>10</v>
      </c>
      <c r="C11">
        <v>4.291087368687041E-2</v>
      </c>
      <c r="D11">
        <f t="shared" si="3"/>
        <v>0.30767668245000124</v>
      </c>
      <c r="E11">
        <f t="shared" si="4"/>
        <v>0.30767668245000124</v>
      </c>
      <c r="F11">
        <f t="shared" si="5"/>
        <v>3.0885459878203153E-2</v>
      </c>
      <c r="G11">
        <f t="shared" si="6"/>
        <v>0.18413484293718863</v>
      </c>
      <c r="H11">
        <f t="shared" si="7"/>
        <v>1.2025413808667257E-2</v>
      </c>
      <c r="I11">
        <f t="shared" si="8"/>
        <v>0.27679122257179811</v>
      </c>
      <c r="P11" s="2">
        <v>21947</v>
      </c>
      <c r="Q11">
        <v>4.291087368687041E-2</v>
      </c>
      <c r="R11">
        <f t="shared" si="0"/>
        <v>3.0885459878203153E-2</v>
      </c>
      <c r="S11">
        <f t="shared" si="1"/>
        <v>1.2025413808667257E-2</v>
      </c>
      <c r="T11">
        <v>5.9314291862627488E-2</v>
      </c>
    </row>
    <row r="12" spans="2:21" x14ac:dyDescent="0.25">
      <c r="B12">
        <f t="shared" si="2"/>
        <v>11</v>
      </c>
      <c r="C12">
        <v>4.5402534596146182E-2</v>
      </c>
      <c r="D12">
        <f t="shared" si="3"/>
        <v>0.35307921704614742</v>
      </c>
      <c r="E12">
        <f t="shared" si="4"/>
        <v>0.35307921704614742</v>
      </c>
      <c r="F12">
        <f t="shared" si="5"/>
        <v>3.3788874821791763E-2</v>
      </c>
      <c r="G12">
        <f t="shared" si="6"/>
        <v>0.2179237177589804</v>
      </c>
      <c r="H12">
        <f t="shared" si="7"/>
        <v>1.1613659774354419E-2</v>
      </c>
      <c r="I12">
        <f t="shared" si="8"/>
        <v>0.31929034222435565</v>
      </c>
      <c r="P12" s="2">
        <v>21976</v>
      </c>
      <c r="Q12">
        <v>4.5402534596146182E-2</v>
      </c>
      <c r="R12">
        <f t="shared" si="0"/>
        <v>3.3788874821791763E-2</v>
      </c>
      <c r="S12">
        <f t="shared" si="1"/>
        <v>1.1613659774354419E-2</v>
      </c>
      <c r="T12">
        <v>4.659885822570109E-2</v>
      </c>
    </row>
    <row r="13" spans="2:21" x14ac:dyDescent="0.25">
      <c r="B13">
        <f t="shared" si="2"/>
        <v>12</v>
      </c>
      <c r="C13">
        <v>4.7862297715622226E-2</v>
      </c>
      <c r="D13">
        <f t="shared" si="3"/>
        <v>0.40094151476176965</v>
      </c>
      <c r="E13">
        <f t="shared" si="4"/>
        <v>0.40094151476176965</v>
      </c>
      <c r="F13">
        <f t="shared" si="5"/>
        <v>3.6603559400557852E-2</v>
      </c>
      <c r="G13">
        <f t="shared" si="6"/>
        <v>0.25452727715953827</v>
      </c>
      <c r="H13">
        <f t="shared" si="7"/>
        <v>1.1258738315064375E-2</v>
      </c>
      <c r="I13">
        <f t="shared" si="8"/>
        <v>0.36433795536121177</v>
      </c>
      <c r="P13" s="2">
        <v>22007</v>
      </c>
      <c r="Q13">
        <v>4.7862297715622226E-2</v>
      </c>
      <c r="R13">
        <f t="shared" si="0"/>
        <v>3.6603559400557852E-2</v>
      </c>
      <c r="S13">
        <f t="shared" si="1"/>
        <v>1.1258738315064375E-2</v>
      </c>
      <c r="T13">
        <v>2.6971715048950795E-2</v>
      </c>
    </row>
    <row r="14" spans="2:21" x14ac:dyDescent="0.25">
      <c r="B14">
        <f t="shared" si="2"/>
        <v>13</v>
      </c>
      <c r="C14">
        <v>5.19470042139627E-2</v>
      </c>
      <c r="D14">
        <f t="shared" si="3"/>
        <v>0.45288851897573235</v>
      </c>
      <c r="E14">
        <f t="shared" si="4"/>
        <v>0.45288851897573235</v>
      </c>
      <c r="F14">
        <f t="shared" si="5"/>
        <v>3.9672248363238821E-2</v>
      </c>
      <c r="G14">
        <f t="shared" si="6"/>
        <v>0.29419952552277706</v>
      </c>
      <c r="H14">
        <f t="shared" si="7"/>
        <v>1.2274755850723879E-2</v>
      </c>
      <c r="I14">
        <f t="shared" si="8"/>
        <v>0.41321627061249355</v>
      </c>
      <c r="P14" s="2">
        <v>22037</v>
      </c>
      <c r="Q14">
        <v>5.19470042139627E-2</v>
      </c>
      <c r="R14">
        <f t="shared" si="0"/>
        <v>3.9672248363238821E-2</v>
      </c>
      <c r="S14">
        <f t="shared" si="1"/>
        <v>1.2274755850723879E-2</v>
      </c>
      <c r="T14">
        <v>1.3839600217357084E-2</v>
      </c>
    </row>
    <row r="15" spans="2:21" x14ac:dyDescent="0.25">
      <c r="B15">
        <f t="shared" si="2"/>
        <v>14</v>
      </c>
      <c r="C15">
        <v>5.8888373254625925E-2</v>
      </c>
      <c r="D15">
        <f t="shared" si="3"/>
        <v>0.51177689223035827</v>
      </c>
      <c r="E15">
        <f t="shared" si="4"/>
        <v>0.51177689223035827</v>
      </c>
      <c r="F15">
        <f t="shared" si="5"/>
        <v>4.3515473341516245E-2</v>
      </c>
      <c r="G15">
        <f t="shared" si="6"/>
        <v>0.33771499886429329</v>
      </c>
      <c r="H15">
        <f t="shared" si="7"/>
        <v>1.5372899913109681E-2</v>
      </c>
      <c r="I15">
        <f t="shared" si="8"/>
        <v>0.46826141888884204</v>
      </c>
      <c r="P15" s="2">
        <v>22068</v>
      </c>
      <c r="Q15">
        <v>5.8888373254625925E-2</v>
      </c>
      <c r="R15">
        <f t="shared" si="0"/>
        <v>4.3515473341516245E-2</v>
      </c>
      <c r="S15">
        <f t="shared" si="1"/>
        <v>1.5372899913109681E-2</v>
      </c>
      <c r="T15">
        <v>1.0088357944340931E-2</v>
      </c>
    </row>
    <row r="16" spans="2:21" x14ac:dyDescent="0.25">
      <c r="B16">
        <f t="shared" si="2"/>
        <v>15</v>
      </c>
      <c r="C16">
        <v>6.1547919429393971E-2</v>
      </c>
      <c r="D16">
        <f t="shared" si="3"/>
        <v>0.57332481165975224</v>
      </c>
      <c r="E16">
        <f t="shared" si="4"/>
        <v>0.57332481165975224</v>
      </c>
      <c r="F16">
        <f t="shared" si="5"/>
        <v>4.712196255909179E-2</v>
      </c>
      <c r="G16">
        <f t="shared" si="6"/>
        <v>0.38483696142338508</v>
      </c>
      <c r="H16">
        <f t="shared" si="7"/>
        <v>1.4425956870302181E-2</v>
      </c>
      <c r="I16">
        <f t="shared" si="8"/>
        <v>0.52620284910066051</v>
      </c>
      <c r="P16" s="2">
        <v>22098</v>
      </c>
      <c r="Q16">
        <v>6.1547919429393971E-2</v>
      </c>
      <c r="R16">
        <f t="shared" si="0"/>
        <v>4.712196255909179E-2</v>
      </c>
      <c r="S16">
        <f t="shared" si="1"/>
        <v>1.4425956870302181E-2</v>
      </c>
      <c r="T16">
        <v>1.7296360320119941E-2</v>
      </c>
    </row>
    <row r="17" spans="2:20" x14ac:dyDescent="0.25">
      <c r="B17">
        <f t="shared" si="2"/>
        <v>16</v>
      </c>
      <c r="C17">
        <v>6.3892694509151582E-2</v>
      </c>
      <c r="D17">
        <f t="shared" si="3"/>
        <v>0.63721750616890382</v>
      </c>
      <c r="E17">
        <f t="shared" si="4"/>
        <v>0.63721750616890382</v>
      </c>
      <c r="F17">
        <f t="shared" si="5"/>
        <v>5.0476108949103753E-2</v>
      </c>
      <c r="G17">
        <f t="shared" si="6"/>
        <v>0.43531307037248884</v>
      </c>
      <c r="H17">
        <f t="shared" si="7"/>
        <v>1.3416585560047829E-2</v>
      </c>
      <c r="I17">
        <f t="shared" si="8"/>
        <v>0.58674139721980012</v>
      </c>
      <c r="P17" s="2">
        <v>22129</v>
      </c>
      <c r="Q17">
        <v>6.3892694509151582E-2</v>
      </c>
      <c r="R17">
        <f t="shared" si="0"/>
        <v>5.0476108949103753E-2</v>
      </c>
      <c r="S17">
        <f t="shared" si="1"/>
        <v>1.3416585560047829E-2</v>
      </c>
      <c r="T17">
        <v>4.189365155277347E-3</v>
      </c>
    </row>
    <row r="18" spans="2:20" x14ac:dyDescent="0.25">
      <c r="B18">
        <f t="shared" si="2"/>
        <v>17</v>
      </c>
      <c r="C18">
        <v>6.8394487106874458E-2</v>
      </c>
      <c r="D18">
        <f t="shared" si="3"/>
        <v>0.70561199327577828</v>
      </c>
      <c r="E18">
        <f t="shared" si="4"/>
        <v>0.70561199327577828</v>
      </c>
      <c r="F18">
        <f t="shared" si="5"/>
        <v>5.4059784580657889E-2</v>
      </c>
      <c r="G18">
        <f t="shared" si="6"/>
        <v>0.48937285495314675</v>
      </c>
      <c r="H18">
        <f t="shared" si="7"/>
        <v>1.4334702526216568E-2</v>
      </c>
      <c r="I18">
        <f t="shared" si="8"/>
        <v>0.65155220869512043</v>
      </c>
      <c r="P18" s="2">
        <v>22160</v>
      </c>
      <c r="Q18">
        <v>6.8394487106874458E-2</v>
      </c>
      <c r="R18">
        <f t="shared" si="0"/>
        <v>5.4059784580657889E-2</v>
      </c>
      <c r="S18">
        <f t="shared" si="1"/>
        <v>1.4334702526216568E-2</v>
      </c>
      <c r="T18">
        <v>-4.173628762928594E-3</v>
      </c>
    </row>
    <row r="19" spans="2:20" x14ac:dyDescent="0.25">
      <c r="B19">
        <f t="shared" si="2"/>
        <v>18</v>
      </c>
      <c r="C19">
        <v>7.0249111527859398E-2</v>
      </c>
      <c r="D19">
        <f t="shared" si="3"/>
        <v>0.77586110480363768</v>
      </c>
      <c r="E19">
        <f t="shared" si="4"/>
        <v>0.77586110480363768</v>
      </c>
      <c r="F19">
        <f t="shared" si="5"/>
        <v>5.7297649970098188E-2</v>
      </c>
      <c r="G19">
        <f t="shared" si="6"/>
        <v>0.54667050492324498</v>
      </c>
      <c r="H19">
        <f t="shared" si="7"/>
        <v>1.295146155776121E-2</v>
      </c>
      <c r="I19">
        <f t="shared" si="8"/>
        <v>0.71856345483353945</v>
      </c>
      <c r="P19" s="2">
        <v>22190</v>
      </c>
      <c r="Q19">
        <v>7.0249111527859398E-2</v>
      </c>
      <c r="R19">
        <f t="shared" si="0"/>
        <v>5.7297649970098188E-2</v>
      </c>
      <c r="S19">
        <f t="shared" si="1"/>
        <v>1.295146155776121E-2</v>
      </c>
      <c r="T19">
        <v>-9.5694510161505875E-3</v>
      </c>
    </row>
    <row r="20" spans="2:20" x14ac:dyDescent="0.25">
      <c r="B20">
        <f t="shared" si="2"/>
        <v>19</v>
      </c>
      <c r="C20">
        <v>6.8313039445065726E-2</v>
      </c>
      <c r="D20">
        <f t="shared" si="3"/>
        <v>0.84417414424870341</v>
      </c>
      <c r="E20">
        <f t="shared" si="4"/>
        <v>0.84417414424870341</v>
      </c>
      <c r="F20">
        <f t="shared" si="5"/>
        <v>5.9500727865091689E-2</v>
      </c>
      <c r="G20">
        <f t="shared" si="6"/>
        <v>0.60617123278833662</v>
      </c>
      <c r="H20">
        <f t="shared" si="7"/>
        <v>8.8123115799740373E-3</v>
      </c>
      <c r="I20">
        <f t="shared" si="8"/>
        <v>0.78467341638361177</v>
      </c>
      <c r="P20" s="2">
        <v>22221</v>
      </c>
      <c r="Q20">
        <v>6.8313039445065726E-2</v>
      </c>
      <c r="R20">
        <f t="shared" si="0"/>
        <v>5.9500727865091689E-2</v>
      </c>
      <c r="S20">
        <f t="shared" si="1"/>
        <v>8.8123115799740373E-3</v>
      </c>
      <c r="T20">
        <v>-2.9108084158070646E-2</v>
      </c>
    </row>
    <row r="21" spans="2:20" x14ac:dyDescent="0.25">
      <c r="B21">
        <f t="shared" si="2"/>
        <v>20</v>
      </c>
      <c r="C21">
        <v>6.527139035322449E-2</v>
      </c>
      <c r="D21">
        <f t="shared" si="3"/>
        <v>0.9094455346019279</v>
      </c>
      <c r="E21">
        <f t="shared" si="4"/>
        <v>0.9094455346019279</v>
      </c>
      <c r="F21">
        <f t="shared" si="5"/>
        <v>6.0654860362718256E-2</v>
      </c>
      <c r="G21">
        <f t="shared" si="6"/>
        <v>0.6668260931510549</v>
      </c>
      <c r="H21">
        <f t="shared" si="7"/>
        <v>4.6165299905062337E-3</v>
      </c>
      <c r="I21">
        <f t="shared" si="8"/>
        <v>0.84879067423920962</v>
      </c>
      <c r="P21" s="2">
        <v>22251</v>
      </c>
      <c r="Q21">
        <v>6.527139035322449E-2</v>
      </c>
      <c r="R21">
        <f t="shared" si="0"/>
        <v>6.0654860362718256E-2</v>
      </c>
      <c r="S21">
        <f t="shared" si="1"/>
        <v>4.6165299905062337E-3</v>
      </c>
      <c r="T21">
        <v>-3.0336837128563499E-2</v>
      </c>
    </row>
    <row r="22" spans="2:20" x14ac:dyDescent="0.25">
      <c r="B22">
        <f t="shared" si="2"/>
        <v>21</v>
      </c>
      <c r="C22">
        <v>6.6178712253387673E-2</v>
      </c>
      <c r="D22">
        <f t="shared" si="3"/>
        <v>0.97562424685531557</v>
      </c>
      <c r="E22">
        <f t="shared" si="4"/>
        <v>0.97562424685531557</v>
      </c>
      <c r="F22">
        <f t="shared" si="5"/>
        <v>6.1759630740852139E-2</v>
      </c>
      <c r="G22">
        <f t="shared" si="6"/>
        <v>0.72858572389190701</v>
      </c>
      <c r="H22">
        <f t="shared" si="7"/>
        <v>4.4190815125355332E-3</v>
      </c>
      <c r="I22">
        <f t="shared" si="8"/>
        <v>0.91386461611446346</v>
      </c>
      <c r="P22" s="2">
        <v>22282</v>
      </c>
      <c r="Q22">
        <v>6.6178712253387673E-2</v>
      </c>
      <c r="R22">
        <f t="shared" si="0"/>
        <v>6.1759630740852139E-2</v>
      </c>
      <c r="S22">
        <f t="shared" si="1"/>
        <v>4.4190815125355332E-3</v>
      </c>
      <c r="T22">
        <v>-2.5359912361045733E-2</v>
      </c>
    </row>
    <row r="23" spans="2:20" x14ac:dyDescent="0.25">
      <c r="B23">
        <f t="shared" si="2"/>
        <v>22</v>
      </c>
      <c r="C23">
        <v>6.7462352428550254E-2</v>
      </c>
      <c r="D23">
        <f t="shared" si="3"/>
        <v>1.0430865992838658</v>
      </c>
      <c r="E23">
        <f t="shared" si="4"/>
        <v>1.0430865992838658</v>
      </c>
      <c r="F23">
        <f t="shared" si="5"/>
        <v>6.2900175078391768E-2</v>
      </c>
      <c r="G23">
        <f t="shared" si="6"/>
        <v>0.79148589897029875</v>
      </c>
      <c r="H23">
        <f t="shared" si="7"/>
        <v>4.5621773501584861E-3</v>
      </c>
      <c r="I23">
        <f t="shared" si="8"/>
        <v>0.98018642420547408</v>
      </c>
      <c r="P23" s="2">
        <v>22313</v>
      </c>
      <c r="Q23">
        <v>6.7462352428550254E-2</v>
      </c>
      <c r="R23">
        <f t="shared" si="0"/>
        <v>6.2900175078391768E-2</v>
      </c>
      <c r="S23">
        <f t="shared" si="1"/>
        <v>4.5621773501584861E-3</v>
      </c>
      <c r="T23">
        <v>-2.6679364802139283E-2</v>
      </c>
    </row>
    <row r="24" spans="2:20" x14ac:dyDescent="0.25">
      <c r="B24">
        <f t="shared" si="2"/>
        <v>23</v>
      </c>
      <c r="C24">
        <v>6.9871653251985855E-2</v>
      </c>
      <c r="D24">
        <f t="shared" si="3"/>
        <v>1.1129582525358517</v>
      </c>
      <c r="E24">
        <f t="shared" si="4"/>
        <v>1.1129582525358517</v>
      </c>
      <c r="F24">
        <f t="shared" si="5"/>
        <v>6.4294470713110591E-2</v>
      </c>
      <c r="G24">
        <f t="shared" si="6"/>
        <v>0.85578036968340931</v>
      </c>
      <c r="H24">
        <f t="shared" si="7"/>
        <v>5.5771825388752638E-3</v>
      </c>
      <c r="I24">
        <f t="shared" si="8"/>
        <v>1.0486637818227411</v>
      </c>
      <c r="P24" s="2">
        <v>22341</v>
      </c>
      <c r="Q24">
        <v>6.9871653251985855E-2</v>
      </c>
      <c r="R24">
        <f t="shared" si="0"/>
        <v>6.4294470713110591E-2</v>
      </c>
      <c r="S24">
        <f t="shared" si="1"/>
        <v>5.5771825388752638E-3</v>
      </c>
      <c r="T24">
        <v>-1.9223324925528473E-2</v>
      </c>
    </row>
    <row r="25" spans="2:20" x14ac:dyDescent="0.25">
      <c r="B25">
        <f t="shared" si="2"/>
        <v>24</v>
      </c>
      <c r="C25">
        <v>7.1337538446205606E-2</v>
      </c>
      <c r="D25">
        <f t="shared" si="3"/>
        <v>1.1842957909820573</v>
      </c>
      <c r="E25">
        <f t="shared" si="4"/>
        <v>1.1842957909820573</v>
      </c>
      <c r="F25">
        <f t="shared" si="5"/>
        <v>6.5703084259729594E-2</v>
      </c>
      <c r="G25">
        <f t="shared" si="6"/>
        <v>0.92148345394313891</v>
      </c>
      <c r="H25">
        <f t="shared" si="7"/>
        <v>5.6344541864760123E-3</v>
      </c>
      <c r="I25">
        <f t="shared" si="8"/>
        <v>1.1185927067223278</v>
      </c>
      <c r="P25" s="2">
        <v>22372</v>
      </c>
      <c r="Q25">
        <v>7.1337538446205606E-2</v>
      </c>
      <c r="R25">
        <f t="shared" si="0"/>
        <v>6.5703084259729594E-2</v>
      </c>
      <c r="S25">
        <f t="shared" si="1"/>
        <v>5.6344541864760123E-3</v>
      </c>
      <c r="T25">
        <v>-1.8464645454348894E-2</v>
      </c>
    </row>
    <row r="26" spans="2:20" x14ac:dyDescent="0.25">
      <c r="B26">
        <f t="shared" si="2"/>
        <v>25</v>
      </c>
      <c r="C26">
        <v>7.1854103767983624E-2</v>
      </c>
      <c r="D26">
        <f t="shared" si="3"/>
        <v>1.2561498947500409</v>
      </c>
      <c r="E26">
        <f t="shared" si="4"/>
        <v>1.2561498947500409</v>
      </c>
      <c r="F26">
        <f t="shared" si="5"/>
        <v>6.6933288161380403E-2</v>
      </c>
      <c r="G26">
        <f t="shared" si="6"/>
        <v>0.98841674210451935</v>
      </c>
      <c r="H26">
        <f t="shared" si="7"/>
        <v>4.920815606603221E-3</v>
      </c>
      <c r="I26">
        <f t="shared" si="8"/>
        <v>1.1892166065886605</v>
      </c>
      <c r="P26" s="2">
        <v>22402</v>
      </c>
      <c r="Q26">
        <v>7.1854103767983624E-2</v>
      </c>
      <c r="R26">
        <f t="shared" si="0"/>
        <v>6.6933288161380403E-2</v>
      </c>
      <c r="S26">
        <f t="shared" si="1"/>
        <v>4.920815606603221E-3</v>
      </c>
      <c r="T26">
        <v>-2.1044547681183801E-2</v>
      </c>
    </row>
    <row r="27" spans="2:20" x14ac:dyDescent="0.25">
      <c r="B27">
        <f t="shared" si="2"/>
        <v>26</v>
      </c>
      <c r="C27">
        <v>7.1916450428918921E-2</v>
      </c>
      <c r="D27">
        <f t="shared" si="3"/>
        <v>1.3280663451789598</v>
      </c>
      <c r="E27">
        <f t="shared" si="4"/>
        <v>1.3280663451789598</v>
      </c>
      <c r="F27">
        <f t="shared" si="5"/>
        <v>6.7929920614888104E-2</v>
      </c>
      <c r="G27">
        <f t="shared" si="6"/>
        <v>1.0563466627194074</v>
      </c>
      <c r="H27">
        <f t="shared" si="7"/>
        <v>3.9865298140308175E-3</v>
      </c>
      <c r="I27">
        <f t="shared" si="8"/>
        <v>1.2601364245640718</v>
      </c>
      <c r="P27" s="2">
        <v>22433</v>
      </c>
      <c r="Q27">
        <v>7.1916450428918921E-2</v>
      </c>
      <c r="R27">
        <f t="shared" si="0"/>
        <v>6.7929920614888104E-2</v>
      </c>
      <c r="S27">
        <f t="shared" si="1"/>
        <v>3.9865298140308175E-3</v>
      </c>
      <c r="T27">
        <v>-1.2626430372812081E-2</v>
      </c>
    </row>
    <row r="28" spans="2:20" x14ac:dyDescent="0.25">
      <c r="B28">
        <f t="shared" si="2"/>
        <v>27</v>
      </c>
      <c r="C28">
        <v>7.5027615576357398E-2</v>
      </c>
      <c r="D28">
        <f t="shared" si="3"/>
        <v>1.4030939607553172</v>
      </c>
      <c r="E28">
        <f t="shared" si="4"/>
        <v>1.4030939607553172</v>
      </c>
      <c r="F28">
        <f t="shared" si="5"/>
        <v>6.9349459607181974E-2</v>
      </c>
      <c r="G28">
        <f t="shared" si="6"/>
        <v>1.1256961223265893</v>
      </c>
      <c r="H28">
        <f t="shared" si="7"/>
        <v>5.6781559691754246E-3</v>
      </c>
      <c r="I28">
        <f t="shared" si="8"/>
        <v>1.3337445011481353</v>
      </c>
      <c r="P28" s="2">
        <v>22463</v>
      </c>
      <c r="Q28">
        <v>7.5027615576357398E-2</v>
      </c>
      <c r="R28">
        <f t="shared" si="0"/>
        <v>6.9349459607181974E-2</v>
      </c>
      <c r="S28">
        <f t="shared" si="1"/>
        <v>5.6781559691754246E-3</v>
      </c>
      <c r="T28">
        <v>-1.1356588932335931E-2</v>
      </c>
    </row>
    <row r="29" spans="2:20" x14ac:dyDescent="0.25">
      <c r="B29">
        <f t="shared" si="2"/>
        <v>28</v>
      </c>
      <c r="C29">
        <v>7.6984196252252168E-2</v>
      </c>
      <c r="D29">
        <f t="shared" si="3"/>
        <v>1.4800781570075694</v>
      </c>
      <c r="E29">
        <f t="shared" si="4"/>
        <v>1.4800781570075694</v>
      </c>
      <c r="F29">
        <f t="shared" si="5"/>
        <v>7.0876406936196013E-2</v>
      </c>
      <c r="G29">
        <f t="shared" si="6"/>
        <v>1.1965725292627853</v>
      </c>
      <c r="H29">
        <f t="shared" si="7"/>
        <v>6.1077893160561558E-3</v>
      </c>
      <c r="I29">
        <f t="shared" si="8"/>
        <v>1.4092017500713734</v>
      </c>
      <c r="P29" s="2">
        <v>22494</v>
      </c>
      <c r="Q29">
        <v>7.6984196252252168E-2</v>
      </c>
      <c r="R29">
        <f t="shared" si="0"/>
        <v>7.0876406936196013E-2</v>
      </c>
      <c r="S29">
        <f t="shared" si="1"/>
        <v>6.1077893160561558E-3</v>
      </c>
      <c r="T29">
        <v>-1.1351814144489492E-2</v>
      </c>
    </row>
    <row r="30" spans="2:20" x14ac:dyDescent="0.25">
      <c r="B30">
        <f t="shared" si="2"/>
        <v>29</v>
      </c>
      <c r="C30">
        <v>7.5592194261973056E-2</v>
      </c>
      <c r="D30">
        <f t="shared" si="3"/>
        <v>1.5556703512695425</v>
      </c>
      <c r="E30">
        <f t="shared" si="4"/>
        <v>1.5556703512695425</v>
      </c>
      <c r="F30">
        <f t="shared" si="5"/>
        <v>7.1819564401351427E-2</v>
      </c>
      <c r="G30">
        <f t="shared" si="6"/>
        <v>1.2683920936641369</v>
      </c>
      <c r="H30">
        <f t="shared" si="7"/>
        <v>3.7726298606216291E-3</v>
      </c>
      <c r="I30">
        <f t="shared" si="8"/>
        <v>1.4838507868681909</v>
      </c>
      <c r="P30" s="2">
        <v>22525</v>
      </c>
      <c r="Q30">
        <v>7.5592194261973056E-2</v>
      </c>
      <c r="R30">
        <f t="shared" si="0"/>
        <v>7.1819564401351427E-2</v>
      </c>
      <c r="S30">
        <f t="shared" si="1"/>
        <v>3.7726298606216291E-3</v>
      </c>
      <c r="T30">
        <v>-5.872500098131006E-3</v>
      </c>
    </row>
    <row r="31" spans="2:20" x14ac:dyDescent="0.25">
      <c r="B31">
        <f t="shared" si="2"/>
        <v>30</v>
      </c>
      <c r="C31">
        <v>7.426213849951413E-2</v>
      </c>
      <c r="D31">
        <f t="shared" si="3"/>
        <v>1.6299324897690566</v>
      </c>
      <c r="E31">
        <f t="shared" si="4"/>
        <v>1.6299324897690566</v>
      </c>
      <c r="F31">
        <f t="shared" si="5"/>
        <v>7.2308079220983951E-2</v>
      </c>
      <c r="G31">
        <f t="shared" si="6"/>
        <v>1.3407001728851209</v>
      </c>
      <c r="H31">
        <f t="shared" si="7"/>
        <v>1.9540592785301791E-3</v>
      </c>
      <c r="I31">
        <f t="shared" si="8"/>
        <v>1.5576244105480725</v>
      </c>
      <c r="P31" s="2">
        <v>22555</v>
      </c>
      <c r="Q31">
        <v>7.426213849951413E-2</v>
      </c>
      <c r="R31">
        <f t="shared" si="0"/>
        <v>7.2308079220983951E-2</v>
      </c>
      <c r="S31">
        <f t="shared" si="1"/>
        <v>1.9540592785301791E-3</v>
      </c>
      <c r="T31">
        <v>-1.6736405580299873E-3</v>
      </c>
    </row>
    <row r="32" spans="2:20" x14ac:dyDescent="0.25">
      <c r="B32">
        <f t="shared" si="2"/>
        <v>31</v>
      </c>
      <c r="C32">
        <v>7.4546626369643043E-2</v>
      </c>
      <c r="D32">
        <f t="shared" si="3"/>
        <v>1.7044791161386996</v>
      </c>
      <c r="E32">
        <f t="shared" si="4"/>
        <v>1.7044791161386996</v>
      </c>
      <c r="F32">
        <f t="shared" si="5"/>
        <v>7.2755788650715747E-2</v>
      </c>
      <c r="G32">
        <f t="shared" si="6"/>
        <v>1.4134559615358366</v>
      </c>
      <c r="H32">
        <f t="shared" si="7"/>
        <v>1.7908377189272962E-3</v>
      </c>
      <c r="I32">
        <f t="shared" si="8"/>
        <v>1.6317233274879839</v>
      </c>
      <c r="P32" s="2">
        <v>22586</v>
      </c>
      <c r="Q32">
        <v>7.4546626369643043E-2</v>
      </c>
      <c r="R32">
        <f t="shared" si="0"/>
        <v>7.2755788650715747E-2</v>
      </c>
      <c r="S32">
        <f t="shared" si="1"/>
        <v>1.7908377189272962E-3</v>
      </c>
      <c r="T32">
        <v>1.5491203653895003E-2</v>
      </c>
    </row>
    <row r="33" spans="2:20" x14ac:dyDescent="0.25">
      <c r="B33">
        <f t="shared" si="2"/>
        <v>32</v>
      </c>
      <c r="C33">
        <v>7.4107972153721668E-2</v>
      </c>
      <c r="D33">
        <f t="shared" si="3"/>
        <v>1.7785870882924213</v>
      </c>
      <c r="E33">
        <f t="shared" si="4"/>
        <v>1.7785870882924213</v>
      </c>
      <c r="F33">
        <f t="shared" si="5"/>
        <v>7.3026225351316934E-2</v>
      </c>
      <c r="G33">
        <f t="shared" si="6"/>
        <v>1.4864821868871536</v>
      </c>
      <c r="H33">
        <f t="shared" si="7"/>
        <v>1.0817468024047344E-3</v>
      </c>
      <c r="I33">
        <f t="shared" si="8"/>
        <v>1.7055608629411043</v>
      </c>
      <c r="P33" s="2">
        <v>22616</v>
      </c>
      <c r="Q33">
        <v>7.4107972153721668E-2</v>
      </c>
      <c r="R33">
        <f t="shared" si="0"/>
        <v>7.3026225351316934E-2</v>
      </c>
      <c r="S33">
        <f t="shared" si="1"/>
        <v>1.0817468024047344E-3</v>
      </c>
      <c r="T33">
        <v>2.0877585021555234E-2</v>
      </c>
    </row>
    <row r="34" spans="2:20" x14ac:dyDescent="0.25">
      <c r="B34">
        <f t="shared" si="2"/>
        <v>33</v>
      </c>
      <c r="C34">
        <v>7.4259705709889268E-2</v>
      </c>
      <c r="D34">
        <f t="shared" si="3"/>
        <v>1.8528467940023106</v>
      </c>
      <c r="E34">
        <f t="shared" si="4"/>
        <v>1.8528467940023106</v>
      </c>
      <c r="F34">
        <f t="shared" si="5"/>
        <v>7.3272921423031392E-2</v>
      </c>
      <c r="G34">
        <f t="shared" si="6"/>
        <v>1.559755108310185</v>
      </c>
      <c r="H34">
        <f t="shared" si="7"/>
        <v>9.8678428685787523E-4</v>
      </c>
      <c r="I34">
        <f t="shared" si="8"/>
        <v>1.7795738725792791</v>
      </c>
      <c r="P34" s="2">
        <v>22647</v>
      </c>
      <c r="Q34">
        <v>7.4259705709889268E-2</v>
      </c>
      <c r="R34">
        <f t="shared" si="0"/>
        <v>7.3272921423031392E-2</v>
      </c>
      <c r="S34">
        <f t="shared" si="1"/>
        <v>9.8678428685787523E-4</v>
      </c>
      <c r="T34">
        <v>2.4538557078730872E-2</v>
      </c>
    </row>
    <row r="35" spans="2:20" x14ac:dyDescent="0.25">
      <c r="B35">
        <f t="shared" si="2"/>
        <v>34</v>
      </c>
      <c r="C35">
        <v>7.5875404449142536E-2</v>
      </c>
      <c r="D35">
        <f t="shared" si="3"/>
        <v>1.9287221984514531</v>
      </c>
      <c r="E35">
        <f t="shared" si="4"/>
        <v>1.9287221984514531</v>
      </c>
      <c r="F35">
        <f t="shared" si="5"/>
        <v>7.3793418028253607E-2</v>
      </c>
      <c r="G35">
        <f t="shared" si="6"/>
        <v>1.6335485263384386</v>
      </c>
      <c r="H35">
        <f t="shared" si="7"/>
        <v>2.0819864208889288E-3</v>
      </c>
      <c r="I35">
        <f t="shared" si="8"/>
        <v>1.8549287804231995</v>
      </c>
      <c r="P35" s="2">
        <v>22678</v>
      </c>
      <c r="Q35">
        <v>7.5875404449142536E-2</v>
      </c>
      <c r="R35">
        <f t="shared" si="0"/>
        <v>7.3793418028253607E-2</v>
      </c>
      <c r="S35">
        <f t="shared" si="1"/>
        <v>2.0819864208889288E-3</v>
      </c>
      <c r="T35">
        <v>3.4464694024789022E-2</v>
      </c>
    </row>
    <row r="36" spans="2:20" x14ac:dyDescent="0.25">
      <c r="B36">
        <f t="shared" si="2"/>
        <v>35</v>
      </c>
      <c r="C36">
        <v>7.6205351199739368E-2</v>
      </c>
      <c r="D36">
        <f t="shared" si="3"/>
        <v>2.0049275496511925</v>
      </c>
      <c r="E36">
        <f t="shared" si="4"/>
        <v>2.0049275496511925</v>
      </c>
      <c r="F36">
        <f t="shared" si="5"/>
        <v>7.4275804662550779E-2</v>
      </c>
      <c r="G36">
        <f t="shared" si="6"/>
        <v>1.7078243310009893</v>
      </c>
      <c r="H36">
        <f t="shared" si="7"/>
        <v>1.9295465371885895E-3</v>
      </c>
      <c r="I36">
        <f t="shared" si="8"/>
        <v>1.9306517449886418</v>
      </c>
      <c r="P36" s="2">
        <v>22706</v>
      </c>
      <c r="Q36">
        <v>7.6205351199739368E-2</v>
      </c>
      <c r="R36">
        <f t="shared" si="0"/>
        <v>7.4275804662550779E-2</v>
      </c>
      <c r="S36">
        <f t="shared" si="1"/>
        <v>1.9295465371885895E-3</v>
      </c>
      <c r="T36">
        <v>3.7271394797231405E-2</v>
      </c>
    </row>
    <row r="37" spans="2:20" x14ac:dyDescent="0.25">
      <c r="B37">
        <f t="shared" si="2"/>
        <v>36</v>
      </c>
      <c r="C37">
        <v>7.7954089877120047E-2</v>
      </c>
      <c r="D37">
        <f t="shared" si="3"/>
        <v>2.0828816395283125</v>
      </c>
      <c r="E37">
        <f t="shared" si="4"/>
        <v>2.0828816395283125</v>
      </c>
      <c r="F37">
        <f t="shared" si="5"/>
        <v>7.5011461705464647E-2</v>
      </c>
      <c r="G37">
        <f t="shared" si="6"/>
        <v>1.782835792706454</v>
      </c>
      <c r="H37">
        <f t="shared" si="7"/>
        <v>2.9426281716554009E-3</v>
      </c>
      <c r="I37">
        <f t="shared" si="8"/>
        <v>2.007870177822848</v>
      </c>
      <c r="P37" s="2">
        <v>22737</v>
      </c>
      <c r="Q37">
        <v>7.7954089877120047E-2</v>
      </c>
      <c r="R37">
        <f t="shared" si="0"/>
        <v>7.5011461705464647E-2</v>
      </c>
      <c r="S37">
        <f t="shared" si="1"/>
        <v>2.9426281716554009E-3</v>
      </c>
      <c r="T37">
        <v>5.6405153600010305E-2</v>
      </c>
    </row>
    <row r="38" spans="2:20" x14ac:dyDescent="0.25">
      <c r="B38">
        <f t="shared" si="2"/>
        <v>37</v>
      </c>
      <c r="C38">
        <v>7.8879638408228203E-2</v>
      </c>
      <c r="D38">
        <f t="shared" si="3"/>
        <v>2.1617612779365407</v>
      </c>
      <c r="E38">
        <f t="shared" si="4"/>
        <v>2.1617612779365407</v>
      </c>
      <c r="F38">
        <f t="shared" si="5"/>
        <v>7.5785097046017352E-2</v>
      </c>
      <c r="G38">
        <f t="shared" si="6"/>
        <v>1.8586208897524714</v>
      </c>
      <c r="H38">
        <f t="shared" si="7"/>
        <v>3.0945413622108509E-3</v>
      </c>
      <c r="I38">
        <f t="shared" si="8"/>
        <v>2.0859761808905235</v>
      </c>
      <c r="P38" s="2">
        <v>22767</v>
      </c>
      <c r="Q38">
        <v>7.8879638408228203E-2</v>
      </c>
      <c r="R38">
        <f t="shared" si="0"/>
        <v>7.5785097046017352E-2</v>
      </c>
      <c r="S38">
        <f t="shared" si="1"/>
        <v>3.0945413622108509E-3</v>
      </c>
      <c r="T38">
        <v>7.6535599734263382E-2</v>
      </c>
    </row>
    <row r="39" spans="2:20" x14ac:dyDescent="0.25">
      <c r="B39">
        <f t="shared" si="2"/>
        <v>38</v>
      </c>
      <c r="C39">
        <v>7.8571470097578811E-2</v>
      </c>
      <c r="D39">
        <f t="shared" si="3"/>
        <v>2.2403327480341195</v>
      </c>
      <c r="E39">
        <f t="shared" si="4"/>
        <v>2.2403327480341195</v>
      </c>
      <c r="F39">
        <f t="shared" si="5"/>
        <v>7.6342371656329622E-2</v>
      </c>
      <c r="G39">
        <f t="shared" si="6"/>
        <v>1.934963261408801</v>
      </c>
      <c r="H39">
        <f t="shared" si="7"/>
        <v>2.2290984412491888E-3</v>
      </c>
      <c r="I39">
        <f t="shared" si="8"/>
        <v>2.1639903763777899</v>
      </c>
      <c r="P39" s="2">
        <v>22798</v>
      </c>
      <c r="Q39">
        <v>7.8571470097578811E-2</v>
      </c>
      <c r="R39">
        <f t="shared" si="0"/>
        <v>7.6342371656329622E-2</v>
      </c>
      <c r="S39">
        <f t="shared" si="1"/>
        <v>2.2290984412491888E-3</v>
      </c>
      <c r="T39">
        <v>8.9866256010327827E-2</v>
      </c>
    </row>
    <row r="40" spans="2:20" x14ac:dyDescent="0.25">
      <c r="B40">
        <f t="shared" si="2"/>
        <v>39</v>
      </c>
      <c r="C40">
        <v>7.7371160292281971E-2</v>
      </c>
      <c r="D40">
        <f t="shared" si="3"/>
        <v>2.3177039083264015</v>
      </c>
      <c r="E40">
        <f t="shared" si="4"/>
        <v>2.3177039083264015</v>
      </c>
      <c r="F40">
        <f t="shared" si="5"/>
        <v>7.6548129383520097E-2</v>
      </c>
      <c r="G40">
        <f t="shared" si="6"/>
        <v>2.0115113907923212</v>
      </c>
      <c r="H40">
        <f t="shared" si="7"/>
        <v>8.2303090876187368E-4</v>
      </c>
      <c r="I40">
        <f t="shared" si="8"/>
        <v>2.2411557789428813</v>
      </c>
      <c r="P40" s="2">
        <v>22828</v>
      </c>
      <c r="Q40">
        <v>7.7371160292281971E-2</v>
      </c>
      <c r="R40">
        <f t="shared" si="0"/>
        <v>7.6548129383520097E-2</v>
      </c>
      <c r="S40">
        <f t="shared" si="1"/>
        <v>8.2303090876187368E-4</v>
      </c>
      <c r="T40">
        <v>9.0530277094802436E-2</v>
      </c>
    </row>
    <row r="41" spans="2:20" x14ac:dyDescent="0.25">
      <c r="B41">
        <f t="shared" si="2"/>
        <v>40</v>
      </c>
      <c r="C41">
        <v>7.7389742712813181E-2</v>
      </c>
      <c r="D41">
        <f t="shared" si="3"/>
        <v>2.3950936510392147</v>
      </c>
      <c r="E41">
        <f t="shared" si="4"/>
        <v>2.3950936510392147</v>
      </c>
      <c r="F41">
        <f t="shared" si="5"/>
        <v>7.67164520493787E-2</v>
      </c>
      <c r="G41">
        <f t="shared" si="6"/>
        <v>2.0882278428416998</v>
      </c>
      <c r="H41">
        <f t="shared" si="7"/>
        <v>6.7329066343448096E-4</v>
      </c>
      <c r="I41">
        <f t="shared" si="8"/>
        <v>2.3183771989898361</v>
      </c>
      <c r="P41" s="2">
        <v>22859</v>
      </c>
      <c r="Q41">
        <v>7.7389742712813181E-2</v>
      </c>
      <c r="R41">
        <f t="shared" si="0"/>
        <v>7.67164520493787E-2</v>
      </c>
      <c r="S41">
        <f t="shared" si="1"/>
        <v>6.7329066343448096E-4</v>
      </c>
      <c r="T41">
        <v>9.1651756546132113E-2</v>
      </c>
    </row>
    <row r="42" spans="2:20" x14ac:dyDescent="0.25">
      <c r="B42">
        <f t="shared" si="2"/>
        <v>41</v>
      </c>
      <c r="C42">
        <v>7.9090400471444333E-2</v>
      </c>
      <c r="D42">
        <f t="shared" si="3"/>
        <v>2.474184051510659</v>
      </c>
      <c r="E42">
        <f t="shared" si="4"/>
        <v>2.474184051510659</v>
      </c>
      <c r="F42">
        <f t="shared" si="5"/>
        <v>7.7191241733791841E-2</v>
      </c>
      <c r="G42">
        <f t="shared" si="6"/>
        <v>2.1654190845754915</v>
      </c>
      <c r="H42">
        <f t="shared" si="7"/>
        <v>1.8991587376524927E-3</v>
      </c>
      <c r="I42">
        <f t="shared" si="8"/>
        <v>2.3969928097768674</v>
      </c>
      <c r="P42" s="2">
        <v>22890</v>
      </c>
      <c r="Q42">
        <v>7.9090400471444333E-2</v>
      </c>
      <c r="R42">
        <f t="shared" si="0"/>
        <v>7.7191241733791841E-2</v>
      </c>
      <c r="S42">
        <f t="shared" si="1"/>
        <v>1.8991587376524927E-3</v>
      </c>
      <c r="T42">
        <v>8.9287567281296276E-2</v>
      </c>
    </row>
    <row r="43" spans="2:20" x14ac:dyDescent="0.25">
      <c r="B43">
        <f t="shared" si="2"/>
        <v>42</v>
      </c>
      <c r="C43">
        <v>8.0020685364936561E-2</v>
      </c>
      <c r="D43">
        <f t="shared" si="3"/>
        <v>2.5542047368755956</v>
      </c>
      <c r="E43">
        <f t="shared" si="4"/>
        <v>2.5542047368755956</v>
      </c>
      <c r="F43">
        <f t="shared" si="5"/>
        <v>7.7757130460020821E-2</v>
      </c>
      <c r="G43">
        <f t="shared" si="6"/>
        <v>2.2431762150355121</v>
      </c>
      <c r="H43">
        <f t="shared" si="7"/>
        <v>2.2635549049157405E-3</v>
      </c>
      <c r="I43">
        <f t="shared" si="8"/>
        <v>2.4764476064155749</v>
      </c>
      <c r="P43" s="2">
        <v>22920</v>
      </c>
      <c r="Q43">
        <v>8.0020685364936561E-2</v>
      </c>
      <c r="R43">
        <f t="shared" si="0"/>
        <v>7.7757130460020821E-2</v>
      </c>
      <c r="S43">
        <f t="shared" si="1"/>
        <v>2.2635549049157405E-3</v>
      </c>
      <c r="T43">
        <v>8.2359311026171778E-2</v>
      </c>
    </row>
    <row r="44" spans="2:20" x14ac:dyDescent="0.25">
      <c r="B44">
        <f t="shared" si="2"/>
        <v>43</v>
      </c>
      <c r="C44">
        <v>8.2845547381786844E-2</v>
      </c>
      <c r="D44">
        <f t="shared" si="3"/>
        <v>2.6370502842573824</v>
      </c>
      <c r="E44">
        <f t="shared" si="4"/>
        <v>2.6370502842573824</v>
      </c>
      <c r="F44">
        <f t="shared" si="5"/>
        <v>7.877481384437407E-2</v>
      </c>
      <c r="G44">
        <f t="shared" si="6"/>
        <v>2.3219510288798864</v>
      </c>
      <c r="H44">
        <f t="shared" si="7"/>
        <v>4.070733537412774E-3</v>
      </c>
      <c r="I44">
        <f t="shared" si="8"/>
        <v>2.5582754704130082</v>
      </c>
      <c r="P44" s="2">
        <v>22951</v>
      </c>
      <c r="Q44">
        <v>8.2845547381786844E-2</v>
      </c>
      <c r="R44">
        <f t="shared" si="0"/>
        <v>7.877481384437407E-2</v>
      </c>
      <c r="S44">
        <f t="shared" si="1"/>
        <v>4.070733537412774E-3</v>
      </c>
      <c r="T44">
        <v>7.3662742779037949E-2</v>
      </c>
    </row>
    <row r="45" spans="2:20" x14ac:dyDescent="0.25">
      <c r="B45">
        <f t="shared" si="2"/>
        <v>44</v>
      </c>
      <c r="C45">
        <v>8.3699018876647102E-2</v>
      </c>
      <c r="D45">
        <f t="shared" si="3"/>
        <v>2.7207493031340295</v>
      </c>
      <c r="E45">
        <f t="shared" si="4"/>
        <v>2.7207493031340295</v>
      </c>
      <c r="F45">
        <f t="shared" si="5"/>
        <v>7.9759654850828643E-2</v>
      </c>
      <c r="G45">
        <f t="shared" si="6"/>
        <v>2.4017106837307152</v>
      </c>
      <c r="H45">
        <f t="shared" si="7"/>
        <v>3.9393640258184592E-3</v>
      </c>
      <c r="I45">
        <f t="shared" si="8"/>
        <v>2.6409896482832007</v>
      </c>
      <c r="P45" s="2">
        <v>22981</v>
      </c>
      <c r="Q45">
        <v>8.3699018876647102E-2</v>
      </c>
      <c r="R45">
        <f t="shared" si="0"/>
        <v>7.9759654850828643E-2</v>
      </c>
      <c r="S45">
        <f t="shared" si="1"/>
        <v>3.9393640258184592E-3</v>
      </c>
      <c r="T45">
        <v>6.6344740181070616E-2</v>
      </c>
    </row>
    <row r="46" spans="2:20" x14ac:dyDescent="0.25">
      <c r="B46">
        <f t="shared" si="2"/>
        <v>45</v>
      </c>
      <c r="C46">
        <v>8.4001309812379965E-2</v>
      </c>
      <c r="D46">
        <f t="shared" si="3"/>
        <v>2.8047506129464095</v>
      </c>
      <c r="E46">
        <f t="shared" si="4"/>
        <v>2.8047506129464095</v>
      </c>
      <c r="F46">
        <f t="shared" si="5"/>
        <v>8.0607985843138871E-2</v>
      </c>
      <c r="G46">
        <f t="shared" si="6"/>
        <v>2.4823186695738539</v>
      </c>
      <c r="H46">
        <f t="shared" si="7"/>
        <v>3.3933239692410938E-3</v>
      </c>
      <c r="I46">
        <f t="shared" si="8"/>
        <v>2.7241426271032707</v>
      </c>
      <c r="P46" s="2">
        <v>23012</v>
      </c>
      <c r="Q46">
        <v>8.4001309812379965E-2</v>
      </c>
      <c r="R46">
        <f t="shared" si="0"/>
        <v>8.0607985843138871E-2</v>
      </c>
      <c r="S46">
        <f t="shared" si="1"/>
        <v>3.3933239692410938E-3</v>
      </c>
      <c r="T46">
        <v>6.712863144709269E-2</v>
      </c>
    </row>
    <row r="47" spans="2:20" x14ac:dyDescent="0.25">
      <c r="B47">
        <f t="shared" si="2"/>
        <v>46</v>
      </c>
      <c r="C47">
        <v>8.3482387735277719E-2</v>
      </c>
      <c r="D47">
        <f t="shared" si="3"/>
        <v>2.8882330006816872</v>
      </c>
      <c r="E47">
        <f t="shared" si="4"/>
        <v>2.8882330006816872</v>
      </c>
      <c r="F47">
        <f t="shared" si="5"/>
        <v>8.118286622156666E-2</v>
      </c>
      <c r="G47">
        <f t="shared" si="6"/>
        <v>2.5635015357954205</v>
      </c>
      <c r="H47">
        <f t="shared" si="7"/>
        <v>2.2995215137110586E-3</v>
      </c>
      <c r="I47">
        <f t="shared" si="8"/>
        <v>2.8070501344601206</v>
      </c>
      <c r="P47" s="2">
        <v>23043</v>
      </c>
      <c r="Q47">
        <v>8.3482387735277719E-2</v>
      </c>
      <c r="R47">
        <f t="shared" si="0"/>
        <v>8.118286622156666E-2</v>
      </c>
      <c r="S47">
        <f t="shared" si="1"/>
        <v>2.2995215137110586E-3</v>
      </c>
      <c r="T47">
        <v>6.5558409038316334E-2</v>
      </c>
    </row>
    <row r="48" spans="2:20" x14ac:dyDescent="0.25">
      <c r="B48">
        <f t="shared" si="2"/>
        <v>47</v>
      </c>
      <c r="C48">
        <v>8.4437193914424391E-2</v>
      </c>
      <c r="D48">
        <f t="shared" si="3"/>
        <v>2.9726701945961116</v>
      </c>
      <c r="E48">
        <f t="shared" si="4"/>
        <v>2.9726701945961116</v>
      </c>
      <c r="F48">
        <f t="shared" si="5"/>
        <v>8.1833731760138223E-2</v>
      </c>
      <c r="G48">
        <f t="shared" si="6"/>
        <v>2.6453352675555588</v>
      </c>
      <c r="H48">
        <f t="shared" si="7"/>
        <v>2.603462154286168E-3</v>
      </c>
      <c r="I48">
        <f t="shared" si="8"/>
        <v>2.8908364628359733</v>
      </c>
      <c r="P48" s="2">
        <v>23071</v>
      </c>
      <c r="Q48">
        <v>8.4437193914424391E-2</v>
      </c>
      <c r="R48">
        <f t="shared" si="0"/>
        <v>8.1833731760138223E-2</v>
      </c>
      <c r="S48">
        <f t="shared" si="1"/>
        <v>2.603462154286168E-3</v>
      </c>
      <c r="T48">
        <v>6.7582663518799269E-2</v>
      </c>
    </row>
    <row r="49" spans="2:20" x14ac:dyDescent="0.25">
      <c r="B49">
        <f t="shared" si="2"/>
        <v>48</v>
      </c>
      <c r="C49">
        <v>8.0742341984154642E-2</v>
      </c>
      <c r="D49">
        <f t="shared" si="3"/>
        <v>3.0534125365802662</v>
      </c>
      <c r="E49">
        <f t="shared" si="4"/>
        <v>3.0534125365802662</v>
      </c>
      <c r="F49">
        <f t="shared" si="5"/>
        <v>8.1615453804941493E-2</v>
      </c>
      <c r="G49">
        <f t="shared" si="6"/>
        <v>2.7269507213605002</v>
      </c>
      <c r="H49">
        <f t="shared" si="7"/>
        <v>-8.7311182078685101E-4</v>
      </c>
      <c r="I49">
        <f t="shared" si="8"/>
        <v>2.9717970827753248</v>
      </c>
      <c r="P49" s="2">
        <v>23102</v>
      </c>
      <c r="Q49">
        <v>8.0742341984154642E-2</v>
      </c>
      <c r="R49">
        <f t="shared" si="0"/>
        <v>8.1615453804941493E-2</v>
      </c>
      <c r="S49">
        <f t="shared" si="1"/>
        <v>-8.7311182078685101E-4</v>
      </c>
      <c r="T49">
        <v>5.7936511541578195E-2</v>
      </c>
    </row>
    <row r="50" spans="2:20" x14ac:dyDescent="0.25">
      <c r="B50">
        <f t="shared" si="2"/>
        <v>49</v>
      </c>
      <c r="C50">
        <v>7.8946817152900195E-2</v>
      </c>
      <c r="D50">
        <f t="shared" si="3"/>
        <v>3.1323593537331664</v>
      </c>
      <c r="E50">
        <f t="shared" si="4"/>
        <v>3.1323593537331664</v>
      </c>
      <c r="F50">
        <f t="shared" si="5"/>
        <v>8.1081726474533253E-2</v>
      </c>
      <c r="G50">
        <f t="shared" si="6"/>
        <v>2.8080324478350334</v>
      </c>
      <c r="H50">
        <f t="shared" si="7"/>
        <v>-2.1349093216330578E-3</v>
      </c>
      <c r="I50">
        <f t="shared" si="8"/>
        <v>3.0512776272586333</v>
      </c>
      <c r="P50" s="2">
        <v>23132</v>
      </c>
      <c r="Q50">
        <v>7.8946817152900195E-2</v>
      </c>
      <c r="R50">
        <f t="shared" si="0"/>
        <v>8.1081726474533253E-2</v>
      </c>
      <c r="S50">
        <f t="shared" si="1"/>
        <v>-2.1349093216330578E-3</v>
      </c>
      <c r="T50">
        <v>4.1294696018066901E-2</v>
      </c>
    </row>
    <row r="51" spans="2:20" x14ac:dyDescent="0.25">
      <c r="B51">
        <f t="shared" si="2"/>
        <v>50</v>
      </c>
      <c r="C51">
        <v>7.7635312671690215E-2</v>
      </c>
      <c r="D51">
        <f t="shared" si="3"/>
        <v>3.2099946664048566</v>
      </c>
      <c r="E51">
        <f t="shared" si="4"/>
        <v>3.2099946664048566</v>
      </c>
      <c r="F51">
        <f t="shared" si="5"/>
        <v>8.0392443713964659E-2</v>
      </c>
      <c r="G51">
        <f t="shared" si="6"/>
        <v>2.8884248915489978</v>
      </c>
      <c r="H51">
        <f t="shared" si="7"/>
        <v>-2.7571310422744438E-3</v>
      </c>
      <c r="I51">
        <f t="shared" si="8"/>
        <v>3.1296022226908922</v>
      </c>
      <c r="P51" s="2">
        <v>23163</v>
      </c>
      <c r="Q51">
        <v>7.7635312671690215E-2</v>
      </c>
      <c r="R51">
        <f t="shared" si="0"/>
        <v>8.0392443713964659E-2</v>
      </c>
      <c r="S51">
        <f t="shared" si="1"/>
        <v>-2.7571310422744438E-3</v>
      </c>
      <c r="T51">
        <v>2.2206119201291674E-2</v>
      </c>
    </row>
    <row r="52" spans="2:20" x14ac:dyDescent="0.25">
      <c r="B52">
        <f t="shared" si="2"/>
        <v>51</v>
      </c>
      <c r="C52">
        <v>7.5571311909613748E-2</v>
      </c>
      <c r="D52">
        <f t="shared" ref="D52:D115" si="9">D51 +C52</f>
        <v>3.2855659783144704</v>
      </c>
      <c r="E52">
        <f t="shared" si="4"/>
        <v>3.2855659783144704</v>
      </c>
      <c r="F52">
        <f t="shared" si="5"/>
        <v>7.9428217353094521E-2</v>
      </c>
      <c r="G52">
        <f t="shared" ref="G52:G115" si="10">G51 + F52</f>
        <v>2.9678531089020925</v>
      </c>
      <c r="H52">
        <f t="shared" ref="H52:H115" si="11">C52-F52</f>
        <v>-3.8569054434807737E-3</v>
      </c>
      <c r="I52">
        <f t="shared" ref="I52:I115" si="12">E52-F52</f>
        <v>3.2061377609613757</v>
      </c>
      <c r="P52" s="2">
        <v>23193</v>
      </c>
      <c r="Q52">
        <v>7.5571311909613748E-2</v>
      </c>
      <c r="R52">
        <f t="shared" ref="R52:R115" si="13">F52</f>
        <v>7.9428217353094521E-2</v>
      </c>
      <c r="S52">
        <f t="shared" ref="S52:S115" si="14">H52</f>
        <v>-3.8569054434807737E-3</v>
      </c>
      <c r="T52">
        <v>1.9514680882532609E-2</v>
      </c>
    </row>
    <row r="53" spans="2:20" x14ac:dyDescent="0.25">
      <c r="B53">
        <f t="shared" si="2"/>
        <v>52</v>
      </c>
      <c r="C53">
        <v>7.3323155444698251E-2</v>
      </c>
      <c r="D53">
        <f t="shared" si="9"/>
        <v>3.3588891337591686</v>
      </c>
      <c r="E53">
        <f t="shared" si="4"/>
        <v>3.3588891337591686</v>
      </c>
      <c r="F53">
        <f t="shared" si="5"/>
        <v>7.8207204971415228E-2</v>
      </c>
      <c r="G53">
        <f t="shared" si="10"/>
        <v>3.0460603138735078</v>
      </c>
      <c r="H53">
        <f t="shared" si="11"/>
        <v>-4.884049526716977E-3</v>
      </c>
      <c r="I53">
        <f t="shared" si="12"/>
        <v>3.2806819287877533</v>
      </c>
      <c r="P53" s="2">
        <v>23224</v>
      </c>
      <c r="Q53">
        <v>7.3323155444698251E-2</v>
      </c>
      <c r="R53">
        <f t="shared" si="13"/>
        <v>7.8207204971415228E-2</v>
      </c>
      <c r="S53">
        <f t="shared" si="14"/>
        <v>-4.884049526716977E-3</v>
      </c>
      <c r="T53">
        <v>2.0619287202735759E-2</v>
      </c>
    </row>
    <row r="54" spans="2:20" x14ac:dyDescent="0.25">
      <c r="B54">
        <f t="shared" si="2"/>
        <v>53</v>
      </c>
      <c r="C54">
        <v>7.2054739493229825E-2</v>
      </c>
      <c r="D54">
        <f t="shared" si="9"/>
        <v>3.4309438732523985</v>
      </c>
      <c r="E54">
        <f t="shared" si="4"/>
        <v>3.4309438732523985</v>
      </c>
      <c r="F54">
        <f t="shared" si="5"/>
        <v>7.6976711875778134E-2</v>
      </c>
      <c r="G54">
        <f t="shared" si="10"/>
        <v>3.1230370257492859</v>
      </c>
      <c r="H54">
        <f t="shared" si="11"/>
        <v>-4.9219723825483092E-3</v>
      </c>
      <c r="I54">
        <f t="shared" si="12"/>
        <v>3.3539671613766204</v>
      </c>
      <c r="P54" s="2">
        <v>23255</v>
      </c>
      <c r="Q54">
        <v>7.2054739493229825E-2</v>
      </c>
      <c r="R54">
        <f t="shared" si="13"/>
        <v>7.6976711875778134E-2</v>
      </c>
      <c r="S54">
        <f t="shared" si="14"/>
        <v>-4.9219723825483092E-3</v>
      </c>
      <c r="T54">
        <v>1.8300167585611149E-2</v>
      </c>
    </row>
    <row r="55" spans="2:20" x14ac:dyDescent="0.25">
      <c r="B55">
        <f t="shared" si="2"/>
        <v>54</v>
      </c>
      <c r="C55">
        <v>7.3107018331210583E-2</v>
      </c>
      <c r="D55">
        <f t="shared" si="9"/>
        <v>3.5040508915836091</v>
      </c>
      <c r="E55">
        <f t="shared" si="4"/>
        <v>3.5040508915836091</v>
      </c>
      <c r="F55">
        <f t="shared" si="5"/>
        <v>7.6202773166864635E-2</v>
      </c>
      <c r="G55">
        <f t="shared" si="10"/>
        <v>3.1992397989161505</v>
      </c>
      <c r="H55">
        <f t="shared" si="11"/>
        <v>-3.0957548356540521E-3</v>
      </c>
      <c r="I55">
        <f t="shared" si="12"/>
        <v>3.4278481184167444</v>
      </c>
      <c r="P55" s="2">
        <v>23285</v>
      </c>
      <c r="Q55">
        <v>7.3107018331210583E-2</v>
      </c>
      <c r="R55">
        <f t="shared" si="13"/>
        <v>7.6202773166864635E-2</v>
      </c>
      <c r="S55">
        <f t="shared" si="14"/>
        <v>-3.0957548356540521E-3</v>
      </c>
      <c r="T55">
        <v>2.2875568599075358E-2</v>
      </c>
    </row>
    <row r="56" spans="2:20" x14ac:dyDescent="0.25">
      <c r="B56">
        <f t="shared" si="2"/>
        <v>55</v>
      </c>
      <c r="C56">
        <v>7.333922451819852E-2</v>
      </c>
      <c r="D56">
        <f t="shared" si="9"/>
        <v>3.5773901161018076</v>
      </c>
      <c r="E56">
        <f t="shared" si="4"/>
        <v>3.5773901161018076</v>
      </c>
      <c r="F56">
        <f t="shared" si="5"/>
        <v>7.5630063437131412E-2</v>
      </c>
      <c r="G56">
        <f t="shared" si="10"/>
        <v>3.2748698623532819</v>
      </c>
      <c r="H56">
        <f t="shared" si="11"/>
        <v>-2.2908389189328915E-3</v>
      </c>
      <c r="I56">
        <f t="shared" si="12"/>
        <v>3.5017600526646762</v>
      </c>
      <c r="P56" s="2">
        <v>23316</v>
      </c>
      <c r="Q56">
        <v>7.333922451819852E-2</v>
      </c>
      <c r="R56">
        <f t="shared" si="13"/>
        <v>7.5630063437131412E-2</v>
      </c>
      <c r="S56">
        <f t="shared" si="14"/>
        <v>-2.2908389189328915E-3</v>
      </c>
      <c r="T56">
        <v>2.9285226473404258E-2</v>
      </c>
    </row>
    <row r="57" spans="2:20" x14ac:dyDescent="0.25">
      <c r="B57">
        <f t="shared" si="2"/>
        <v>56</v>
      </c>
      <c r="C57">
        <v>7.4815304238384783E-2</v>
      </c>
      <c r="D57">
        <f t="shared" si="9"/>
        <v>3.6522054203401924</v>
      </c>
      <c r="E57">
        <f t="shared" si="4"/>
        <v>3.6522054203401924</v>
      </c>
      <c r="F57">
        <f t="shared" si="5"/>
        <v>7.5467111597382092E-2</v>
      </c>
      <c r="G57">
        <f t="shared" si="10"/>
        <v>3.3503369739506641</v>
      </c>
      <c r="H57">
        <f t="shared" si="11"/>
        <v>-6.5180735899730835E-4</v>
      </c>
      <c r="I57">
        <f t="shared" si="12"/>
        <v>3.5767383087428102</v>
      </c>
      <c r="P57" s="2">
        <v>23346</v>
      </c>
      <c r="Q57">
        <v>7.4815304238384783E-2</v>
      </c>
      <c r="R57">
        <f t="shared" si="13"/>
        <v>7.5467111597382092E-2</v>
      </c>
      <c r="S57">
        <f t="shared" si="14"/>
        <v>-6.5180735899730835E-4</v>
      </c>
      <c r="T57">
        <v>3.1591590072721498E-2</v>
      </c>
    </row>
    <row r="58" spans="2:20" x14ac:dyDescent="0.25">
      <c r="B58">
        <f t="shared" si="2"/>
        <v>57</v>
      </c>
      <c r="C58">
        <v>7.7009015421920068E-2</v>
      </c>
      <c r="D58">
        <f t="shared" si="9"/>
        <v>3.7292144357621124</v>
      </c>
      <c r="E58">
        <f t="shared" si="4"/>
        <v>3.7292144357621124</v>
      </c>
      <c r="F58">
        <f t="shared" si="5"/>
        <v>7.577549236228967E-2</v>
      </c>
      <c r="G58">
        <f t="shared" si="10"/>
        <v>3.4261124663129539</v>
      </c>
      <c r="H58">
        <f t="shared" si="11"/>
        <v>1.2335230596303981E-3</v>
      </c>
      <c r="I58">
        <f t="shared" si="12"/>
        <v>3.6534389433998227</v>
      </c>
      <c r="P58" s="2">
        <v>23377</v>
      </c>
      <c r="Q58">
        <v>7.7009015421920068E-2</v>
      </c>
      <c r="R58">
        <f t="shared" si="13"/>
        <v>7.577549236228967E-2</v>
      </c>
      <c r="S58">
        <f t="shared" si="14"/>
        <v>1.2335230596303981E-3</v>
      </c>
      <c r="T58">
        <v>2.2788680819366913E-2</v>
      </c>
    </row>
    <row r="59" spans="2:20" x14ac:dyDescent="0.25">
      <c r="B59">
        <f t="shared" si="2"/>
        <v>58</v>
      </c>
      <c r="C59">
        <v>7.6331318193404663E-2</v>
      </c>
      <c r="D59">
        <f t="shared" si="9"/>
        <v>3.8055457539555171</v>
      </c>
      <c r="E59">
        <f t="shared" si="4"/>
        <v>3.8055457539555171</v>
      </c>
      <c r="F59">
        <f t="shared" si="5"/>
        <v>7.5886657528512647E-2</v>
      </c>
      <c r="G59">
        <f t="shared" si="10"/>
        <v>3.5019991238414665</v>
      </c>
      <c r="H59">
        <f t="shared" si="11"/>
        <v>4.4466066489201594E-4</v>
      </c>
      <c r="I59">
        <f t="shared" si="12"/>
        <v>3.7296590964270044</v>
      </c>
      <c r="P59" s="2">
        <v>23408</v>
      </c>
      <c r="Q59">
        <v>7.6331318193404663E-2</v>
      </c>
      <c r="R59">
        <f t="shared" si="13"/>
        <v>7.5886657528512647E-2</v>
      </c>
      <c r="S59">
        <f t="shared" si="14"/>
        <v>4.4466066489201594E-4</v>
      </c>
      <c r="T59">
        <v>2.0057436827435104E-2</v>
      </c>
    </row>
    <row r="60" spans="2:20" x14ac:dyDescent="0.25">
      <c r="B60">
        <f t="shared" si="2"/>
        <v>59</v>
      </c>
      <c r="C60">
        <v>7.501979860515462E-2</v>
      </c>
      <c r="D60">
        <f t="shared" si="9"/>
        <v>3.8805655525606717</v>
      </c>
      <c r="E60">
        <f t="shared" si="4"/>
        <v>3.8805655525606717</v>
      </c>
      <c r="F60">
        <f t="shared" si="5"/>
        <v>7.5713285743841049E-2</v>
      </c>
      <c r="G60">
        <f t="shared" si="10"/>
        <v>3.5777124095853075</v>
      </c>
      <c r="H60">
        <f t="shared" si="11"/>
        <v>-6.9348713868642997E-4</v>
      </c>
      <c r="I60">
        <f t="shared" si="12"/>
        <v>3.8048522668168308</v>
      </c>
      <c r="P60" s="2">
        <v>23437</v>
      </c>
      <c r="Q60">
        <v>7.501979860515462E-2</v>
      </c>
      <c r="R60">
        <f t="shared" si="13"/>
        <v>7.5713285743841049E-2</v>
      </c>
      <c r="S60">
        <f t="shared" si="14"/>
        <v>-6.9348713868642997E-4</v>
      </c>
      <c r="T60">
        <v>1.3959856959316674E-2</v>
      </c>
    </row>
    <row r="61" spans="2:20" x14ac:dyDescent="0.25">
      <c r="B61">
        <f t="shared" si="2"/>
        <v>60</v>
      </c>
      <c r="C61">
        <v>7.7064649046214129E-2</v>
      </c>
      <c r="D61">
        <f t="shared" si="9"/>
        <v>3.9576302016068858</v>
      </c>
      <c r="E61">
        <f t="shared" si="4"/>
        <v>3.9576302016068858</v>
      </c>
      <c r="F61">
        <f t="shared" si="5"/>
        <v>7.5983558404315685E-2</v>
      </c>
      <c r="G61">
        <f t="shared" si="10"/>
        <v>3.653695967989623</v>
      </c>
      <c r="H61">
        <f t="shared" si="11"/>
        <v>1.0810906418984439E-3</v>
      </c>
      <c r="I61">
        <f t="shared" si="12"/>
        <v>3.8816466432025702</v>
      </c>
      <c r="P61" s="2">
        <v>23468</v>
      </c>
      <c r="Q61">
        <v>7.7064649046214129E-2</v>
      </c>
      <c r="R61">
        <f t="shared" si="13"/>
        <v>7.5983558404315685E-2</v>
      </c>
      <c r="S61">
        <f t="shared" si="14"/>
        <v>1.0810906418984439E-3</v>
      </c>
      <c r="T61">
        <v>9.0260108828594809E-3</v>
      </c>
    </row>
    <row r="62" spans="2:20" x14ac:dyDescent="0.25">
      <c r="B62">
        <f t="shared" si="2"/>
        <v>61</v>
      </c>
      <c r="C62">
        <v>7.8562322503101356E-2</v>
      </c>
      <c r="D62">
        <f t="shared" si="9"/>
        <v>4.0361925241099872</v>
      </c>
      <c r="E62">
        <f t="shared" si="4"/>
        <v>4.0361925241099872</v>
      </c>
      <c r="F62">
        <f t="shared" si="5"/>
        <v>7.649931122407283E-2</v>
      </c>
      <c r="G62">
        <f t="shared" si="10"/>
        <v>3.7301952792136959</v>
      </c>
      <c r="H62">
        <f t="shared" si="11"/>
        <v>2.063011279028526E-3</v>
      </c>
      <c r="I62">
        <f t="shared" si="12"/>
        <v>3.9596932128859144</v>
      </c>
      <c r="P62" s="2">
        <v>23498</v>
      </c>
      <c r="Q62">
        <v>7.8562322503101356E-2</v>
      </c>
      <c r="R62">
        <f t="shared" si="13"/>
        <v>7.649931122407283E-2</v>
      </c>
      <c r="S62">
        <f t="shared" si="14"/>
        <v>2.063011279028526E-3</v>
      </c>
      <c r="T62">
        <v>7.1576873678798059E-3</v>
      </c>
    </row>
    <row r="63" spans="2:20" x14ac:dyDescent="0.25">
      <c r="B63">
        <f t="shared" si="2"/>
        <v>62</v>
      </c>
      <c r="C63">
        <v>7.9268534065155549E-2</v>
      </c>
      <c r="D63">
        <f t="shared" si="9"/>
        <v>4.1154610581751427</v>
      </c>
      <c r="E63">
        <f t="shared" si="4"/>
        <v>4.1154610581751427</v>
      </c>
      <c r="F63">
        <f t="shared" si="5"/>
        <v>7.7053155792289385E-2</v>
      </c>
      <c r="G63">
        <f t="shared" si="10"/>
        <v>3.8072484350059854</v>
      </c>
      <c r="H63">
        <f t="shared" si="11"/>
        <v>2.2153782728661642E-3</v>
      </c>
      <c r="I63">
        <f t="shared" si="12"/>
        <v>4.0384079023828532</v>
      </c>
      <c r="P63" s="2">
        <v>23529</v>
      </c>
      <c r="Q63">
        <v>7.9268534065155549E-2</v>
      </c>
      <c r="R63">
        <f t="shared" si="13"/>
        <v>7.7053155792289385E-2</v>
      </c>
      <c r="S63">
        <f t="shared" si="14"/>
        <v>2.2153782728661642E-3</v>
      </c>
      <c r="T63">
        <v>6.7924789458877477E-3</v>
      </c>
    </row>
    <row r="64" spans="2:20" x14ac:dyDescent="0.25">
      <c r="B64">
        <f t="shared" si="2"/>
        <v>63</v>
      </c>
      <c r="C64">
        <v>8.0235093060535334E-2</v>
      </c>
      <c r="D64">
        <f t="shared" si="9"/>
        <v>4.1956961512356781</v>
      </c>
      <c r="E64">
        <f t="shared" si="4"/>
        <v>4.1956961512356781</v>
      </c>
      <c r="F64">
        <f t="shared" si="5"/>
        <v>7.7689543245938533E-2</v>
      </c>
      <c r="G64">
        <f t="shared" si="10"/>
        <v>3.8849379782519238</v>
      </c>
      <c r="H64">
        <f t="shared" si="11"/>
        <v>2.5455498145968009E-3</v>
      </c>
      <c r="I64">
        <f t="shared" si="12"/>
        <v>4.1180066079897397</v>
      </c>
      <c r="P64" s="2">
        <v>23559</v>
      </c>
      <c r="Q64">
        <v>8.0235093060535334E-2</v>
      </c>
      <c r="R64">
        <f t="shared" si="13"/>
        <v>7.7689543245938533E-2</v>
      </c>
      <c r="S64">
        <f t="shared" si="14"/>
        <v>2.5455498145968009E-3</v>
      </c>
      <c r="T64">
        <v>9.0532493106083578E-3</v>
      </c>
    </row>
    <row r="65" spans="2:20" x14ac:dyDescent="0.25">
      <c r="B65">
        <f t="shared" si="2"/>
        <v>64</v>
      </c>
      <c r="C65">
        <v>8.0559607435210623E-2</v>
      </c>
      <c r="D65">
        <f t="shared" si="9"/>
        <v>4.2762557586708887</v>
      </c>
      <c r="E65">
        <f t="shared" si="4"/>
        <v>4.2762557586708887</v>
      </c>
      <c r="F65">
        <f t="shared" si="5"/>
        <v>7.8263556083792984E-2</v>
      </c>
      <c r="G65">
        <f t="shared" si="10"/>
        <v>3.9632015343357168</v>
      </c>
      <c r="H65">
        <f t="shared" si="11"/>
        <v>2.2960513514176384E-3</v>
      </c>
      <c r="I65">
        <f t="shared" si="12"/>
        <v>4.1979922025870957</v>
      </c>
      <c r="P65" s="2">
        <v>23590</v>
      </c>
      <c r="Q65">
        <v>8.0559607435210623E-2</v>
      </c>
      <c r="R65">
        <f t="shared" si="13"/>
        <v>7.8263556083792984E-2</v>
      </c>
      <c r="S65">
        <f t="shared" si="14"/>
        <v>2.2960513514176384E-3</v>
      </c>
      <c r="T65">
        <v>8.6548047296233221E-3</v>
      </c>
    </row>
    <row r="66" spans="2:20" x14ac:dyDescent="0.25">
      <c r="B66">
        <f t="shared" si="2"/>
        <v>65</v>
      </c>
      <c r="C66">
        <v>7.825219689974805E-2</v>
      </c>
      <c r="D66">
        <f t="shared" si="9"/>
        <v>4.3545079555706367</v>
      </c>
      <c r="E66">
        <f t="shared" si="4"/>
        <v>4.3545079555706367</v>
      </c>
      <c r="F66">
        <f t="shared" si="5"/>
        <v>7.8261284246984003E-2</v>
      </c>
      <c r="G66">
        <f t="shared" si="10"/>
        <v>4.0414628185827004</v>
      </c>
      <c r="H66">
        <f t="shared" si="11"/>
        <v>-9.0873472359531693E-6</v>
      </c>
      <c r="I66">
        <f t="shared" si="12"/>
        <v>4.2762466713236531</v>
      </c>
      <c r="P66" s="2">
        <v>23621</v>
      </c>
      <c r="Q66">
        <v>7.825219689974805E-2</v>
      </c>
      <c r="R66">
        <f t="shared" si="13"/>
        <v>7.8261284246984003E-2</v>
      </c>
      <c r="S66">
        <f t="shared" si="14"/>
        <v>-9.0873472359531693E-6</v>
      </c>
      <c r="T66">
        <v>8.651549167193906E-3</v>
      </c>
    </row>
    <row r="67" spans="2:20" x14ac:dyDescent="0.25">
      <c r="B67">
        <f t="shared" si="2"/>
        <v>66</v>
      </c>
      <c r="C67">
        <v>7.7943118308112069E-2</v>
      </c>
      <c r="D67">
        <f t="shared" si="9"/>
        <v>4.4324510738787488</v>
      </c>
      <c r="E67">
        <f t="shared" si="4"/>
        <v>4.4324510738787488</v>
      </c>
      <c r="F67">
        <f t="shared" si="5"/>
        <v>7.8197651059209686E-2</v>
      </c>
      <c r="G67">
        <f t="shared" si="10"/>
        <v>4.1196604696419099</v>
      </c>
      <c r="H67">
        <f t="shared" si="11"/>
        <v>-2.5453275109761642E-4</v>
      </c>
      <c r="I67">
        <f t="shared" si="12"/>
        <v>4.3542534228195393</v>
      </c>
      <c r="P67" s="2">
        <v>23651</v>
      </c>
      <c r="Q67">
        <v>7.7943118308112069E-2</v>
      </c>
      <c r="R67">
        <f t="shared" si="13"/>
        <v>7.8197651059209686E-2</v>
      </c>
      <c r="S67">
        <f t="shared" si="14"/>
        <v>-2.5453275109761642E-4</v>
      </c>
      <c r="T67">
        <v>9.0056893826129247E-3</v>
      </c>
    </row>
    <row r="68" spans="2:20" x14ac:dyDescent="0.25">
      <c r="B68">
        <f t="shared" ref="B68:B131" si="15">B67+1</f>
        <v>67</v>
      </c>
      <c r="C68">
        <v>7.6942978531139516E-2</v>
      </c>
      <c r="D68">
        <f t="shared" si="9"/>
        <v>4.5093940524098883</v>
      </c>
      <c r="E68">
        <f t="shared" ref="E68:E131" si="16">D68</f>
        <v>4.5093940524098883</v>
      </c>
      <c r="F68">
        <f t="shared" ref="F68:F131" si="17">$K$1*(E68-G67)</f>
        <v>7.7946716553595696E-2</v>
      </c>
      <c r="G68">
        <f t="shared" si="10"/>
        <v>4.1976071861955058</v>
      </c>
      <c r="H68">
        <f t="shared" si="11"/>
        <v>-1.0037380224561798E-3</v>
      </c>
      <c r="I68">
        <f t="shared" si="12"/>
        <v>4.4314473358562925</v>
      </c>
      <c r="P68" s="2">
        <v>23682</v>
      </c>
      <c r="Q68">
        <v>7.6942978531139516E-2</v>
      </c>
      <c r="R68">
        <f t="shared" si="13"/>
        <v>7.7946716553595696E-2</v>
      </c>
      <c r="S68">
        <f t="shared" si="14"/>
        <v>-1.0037380224561798E-3</v>
      </c>
      <c r="T68">
        <v>4.1144625090945297E-3</v>
      </c>
    </row>
    <row r="69" spans="2:20" x14ac:dyDescent="0.25">
      <c r="B69">
        <f t="shared" si="15"/>
        <v>68</v>
      </c>
      <c r="C69">
        <v>7.5454773704100475E-2</v>
      </c>
      <c r="D69">
        <f t="shared" si="9"/>
        <v>4.5848488261139888</v>
      </c>
      <c r="E69">
        <f t="shared" si="16"/>
        <v>4.5848488261139888</v>
      </c>
      <c r="F69">
        <f t="shared" si="17"/>
        <v>7.7448327983696608E-2</v>
      </c>
      <c r="G69">
        <f t="shared" si="10"/>
        <v>4.2750555141792024</v>
      </c>
      <c r="H69">
        <f t="shared" si="11"/>
        <v>-1.9935542795961325E-3</v>
      </c>
      <c r="I69">
        <f t="shared" si="12"/>
        <v>4.5074004981302922</v>
      </c>
      <c r="P69" s="2">
        <v>23712</v>
      </c>
      <c r="Q69">
        <v>7.5454773704100475E-2</v>
      </c>
      <c r="R69">
        <f t="shared" si="13"/>
        <v>7.7448327983696608E-2</v>
      </c>
      <c r="S69">
        <f t="shared" si="14"/>
        <v>-1.9935542795961325E-3</v>
      </c>
      <c r="T69">
        <v>5.976857538440683E-3</v>
      </c>
    </row>
    <row r="70" spans="2:20" x14ac:dyDescent="0.25">
      <c r="B70">
        <f t="shared" si="15"/>
        <v>69</v>
      </c>
      <c r="C70">
        <v>7.5289469024923505E-2</v>
      </c>
      <c r="D70">
        <f t="shared" si="9"/>
        <v>4.6601382951389123</v>
      </c>
      <c r="E70">
        <f t="shared" si="16"/>
        <v>4.6601382951389123</v>
      </c>
      <c r="F70">
        <f t="shared" si="17"/>
        <v>7.701655619194199E-2</v>
      </c>
      <c r="G70">
        <f t="shared" si="10"/>
        <v>4.3520720703711442</v>
      </c>
      <c r="H70">
        <f t="shared" si="11"/>
        <v>-1.7270871670184845E-3</v>
      </c>
      <c r="I70">
        <f t="shared" si="12"/>
        <v>4.5831217389469705</v>
      </c>
      <c r="P70" s="2">
        <v>23743</v>
      </c>
      <c r="Q70">
        <v>7.5289469024923505E-2</v>
      </c>
      <c r="R70">
        <f t="shared" si="13"/>
        <v>7.701655619194199E-2</v>
      </c>
      <c r="S70">
        <f t="shared" si="14"/>
        <v>-1.7270871670184845E-3</v>
      </c>
      <c r="T70">
        <v>9.7160704549326127E-3</v>
      </c>
    </row>
    <row r="71" spans="2:20" x14ac:dyDescent="0.25">
      <c r="B71">
        <f t="shared" si="15"/>
        <v>70</v>
      </c>
      <c r="C71">
        <v>7.6899178268410751E-2</v>
      </c>
      <c r="D71">
        <f t="shared" si="9"/>
        <v>4.7370374734073231</v>
      </c>
      <c r="E71">
        <f t="shared" si="16"/>
        <v>4.7370374734073231</v>
      </c>
      <c r="F71">
        <f t="shared" si="17"/>
        <v>7.6993080607235781E-2</v>
      </c>
      <c r="G71">
        <f t="shared" si="10"/>
        <v>4.4290651509783796</v>
      </c>
      <c r="H71">
        <f t="shared" si="11"/>
        <v>-9.3902338825030407E-5</v>
      </c>
      <c r="I71">
        <f t="shared" si="12"/>
        <v>4.6600443928000876</v>
      </c>
      <c r="P71" s="2">
        <v>23774</v>
      </c>
      <c r="Q71">
        <v>7.6899178268410751E-2</v>
      </c>
      <c r="R71">
        <f t="shared" si="13"/>
        <v>7.6993080607235781E-2</v>
      </c>
      <c r="S71">
        <f t="shared" si="14"/>
        <v>-9.3902338825030407E-5</v>
      </c>
      <c r="T71">
        <v>9.6943339385733296E-3</v>
      </c>
    </row>
    <row r="72" spans="2:20" x14ac:dyDescent="0.25">
      <c r="B72">
        <f t="shared" si="15"/>
        <v>71</v>
      </c>
      <c r="C72">
        <v>7.6829384233824349E-2</v>
      </c>
      <c r="D72">
        <f t="shared" si="9"/>
        <v>4.8138668576411474</v>
      </c>
      <c r="E72">
        <f t="shared" si="16"/>
        <v>4.8138668576411474</v>
      </c>
      <c r="F72">
        <f t="shared" si="17"/>
        <v>7.696034133255357E-2</v>
      </c>
      <c r="G72">
        <f t="shared" si="10"/>
        <v>4.5060254923109335</v>
      </c>
      <c r="H72">
        <f t="shared" si="11"/>
        <v>-1.3095709872922023E-4</v>
      </c>
      <c r="I72">
        <f t="shared" si="12"/>
        <v>4.7369065163085935</v>
      </c>
      <c r="P72" s="2">
        <v>23802</v>
      </c>
      <c r="Q72">
        <v>7.6829384233824349E-2</v>
      </c>
      <c r="R72">
        <f t="shared" si="13"/>
        <v>7.696034133255357E-2</v>
      </c>
      <c r="S72">
        <f t="shared" si="14"/>
        <v>-1.3095709872922023E-4</v>
      </c>
      <c r="T72">
        <v>5.976857538440683E-3</v>
      </c>
    </row>
    <row r="73" spans="2:20" x14ac:dyDescent="0.25">
      <c r="B73">
        <f t="shared" si="15"/>
        <v>72</v>
      </c>
      <c r="C73">
        <v>7.810280768613076E-2</v>
      </c>
      <c r="D73">
        <f t="shared" si="9"/>
        <v>4.8919696653272782</v>
      </c>
      <c r="E73">
        <f t="shared" si="16"/>
        <v>4.8919696653272782</v>
      </c>
      <c r="F73">
        <f t="shared" si="17"/>
        <v>7.7188834603268933E-2</v>
      </c>
      <c r="G73">
        <f t="shared" si="10"/>
        <v>4.5832143269142023</v>
      </c>
      <c r="H73">
        <f t="shared" si="11"/>
        <v>9.1397308286182699E-4</v>
      </c>
      <c r="I73">
        <f t="shared" si="12"/>
        <v>4.8147808307240094</v>
      </c>
      <c r="P73" s="2">
        <v>23833</v>
      </c>
      <c r="Q73">
        <v>7.810280768613076E-2</v>
      </c>
      <c r="R73">
        <f t="shared" si="13"/>
        <v>7.7188834603268933E-2</v>
      </c>
      <c r="S73">
        <f t="shared" si="14"/>
        <v>9.1397308286182699E-4</v>
      </c>
      <c r="T73">
        <v>5.9723955055304145E-3</v>
      </c>
    </row>
    <row r="74" spans="2:20" x14ac:dyDescent="0.25">
      <c r="B74">
        <f t="shared" si="15"/>
        <v>73</v>
      </c>
      <c r="C74">
        <v>7.7610602704924148E-2</v>
      </c>
      <c r="D74">
        <f t="shared" si="9"/>
        <v>4.9695802680322023</v>
      </c>
      <c r="E74">
        <f t="shared" si="16"/>
        <v>4.9695802680322023</v>
      </c>
      <c r="F74">
        <f t="shared" si="17"/>
        <v>7.727318822360002E-2</v>
      </c>
      <c r="G74">
        <f t="shared" si="10"/>
        <v>4.6604875151378025</v>
      </c>
      <c r="H74">
        <f t="shared" si="11"/>
        <v>3.3741448132412755E-4</v>
      </c>
      <c r="I74">
        <f t="shared" si="12"/>
        <v>4.8923070798086021</v>
      </c>
      <c r="P74" s="2">
        <v>23863</v>
      </c>
      <c r="Q74">
        <v>7.7610602704924148E-2</v>
      </c>
      <c r="R74">
        <f t="shared" si="13"/>
        <v>7.727318822360002E-2</v>
      </c>
      <c r="S74">
        <f t="shared" si="14"/>
        <v>3.3741448132412755E-4</v>
      </c>
      <c r="T74">
        <v>1.1198325310029844E-2</v>
      </c>
    </row>
    <row r="75" spans="2:20" x14ac:dyDescent="0.25">
      <c r="B75">
        <f t="shared" si="15"/>
        <v>74</v>
      </c>
      <c r="C75">
        <v>7.6461811488734099E-2</v>
      </c>
      <c r="D75">
        <f t="shared" si="9"/>
        <v>5.0460420795209364</v>
      </c>
      <c r="E75">
        <f t="shared" si="16"/>
        <v>5.0460420795209364</v>
      </c>
      <c r="F75">
        <f t="shared" si="17"/>
        <v>7.7110912876626803E-2</v>
      </c>
      <c r="G75">
        <f t="shared" si="10"/>
        <v>4.7375984280144294</v>
      </c>
      <c r="H75">
        <f t="shared" si="11"/>
        <v>-6.4910138789270322E-4</v>
      </c>
      <c r="I75">
        <f t="shared" si="12"/>
        <v>4.9689311666443094</v>
      </c>
      <c r="P75" s="2">
        <v>23894</v>
      </c>
      <c r="Q75">
        <v>7.6461811488734099E-2</v>
      </c>
      <c r="R75">
        <f t="shared" si="13"/>
        <v>7.7110912876626803E-2</v>
      </c>
      <c r="S75">
        <f t="shared" si="14"/>
        <v>-6.4910138789270322E-4</v>
      </c>
      <c r="T75">
        <v>1.4931221774984849E-2</v>
      </c>
    </row>
    <row r="76" spans="2:20" x14ac:dyDescent="0.25">
      <c r="B76">
        <f t="shared" si="15"/>
        <v>75</v>
      </c>
      <c r="C76">
        <v>7.5557916387182011E-2</v>
      </c>
      <c r="D76">
        <f t="shared" si="9"/>
        <v>5.1215999959081184</v>
      </c>
      <c r="E76">
        <f t="shared" si="16"/>
        <v>5.1215999959081184</v>
      </c>
      <c r="F76">
        <f t="shared" si="17"/>
        <v>7.6800313578737803E-2</v>
      </c>
      <c r="G76">
        <f t="shared" si="10"/>
        <v>4.8143987415931671</v>
      </c>
      <c r="H76">
        <f t="shared" si="11"/>
        <v>-1.2423971915557913E-3</v>
      </c>
      <c r="I76">
        <f t="shared" si="12"/>
        <v>5.0447996823293808</v>
      </c>
      <c r="P76" s="2">
        <v>23924</v>
      </c>
      <c r="Q76">
        <v>7.5557916387182011E-2</v>
      </c>
      <c r="R76">
        <f t="shared" si="13"/>
        <v>7.6800313578737803E-2</v>
      </c>
      <c r="S76">
        <f t="shared" si="14"/>
        <v>-1.2423971915557913E-3</v>
      </c>
      <c r="T76">
        <v>1.120250699766645E-2</v>
      </c>
    </row>
    <row r="77" spans="2:20" x14ac:dyDescent="0.25">
      <c r="B77">
        <f t="shared" si="15"/>
        <v>76</v>
      </c>
      <c r="C77">
        <v>7.4977073999924926E-2</v>
      </c>
      <c r="D77">
        <f t="shared" si="9"/>
        <v>5.1965770699080434</v>
      </c>
      <c r="E77">
        <f t="shared" si="16"/>
        <v>5.1965770699080434</v>
      </c>
      <c r="F77">
        <f t="shared" si="17"/>
        <v>7.6435665662975272E-2</v>
      </c>
      <c r="G77">
        <f t="shared" si="10"/>
        <v>4.8908344072561425</v>
      </c>
      <c r="H77">
        <f t="shared" si="11"/>
        <v>-1.4585916630503459E-3</v>
      </c>
      <c r="I77">
        <f t="shared" si="12"/>
        <v>5.1201414042450679</v>
      </c>
      <c r="P77" s="2">
        <v>23955</v>
      </c>
      <c r="Q77">
        <v>7.4977073999924926E-2</v>
      </c>
      <c r="R77">
        <f t="shared" si="13"/>
        <v>7.6435665662975272E-2</v>
      </c>
      <c r="S77">
        <f t="shared" si="14"/>
        <v>-1.4585916630503459E-3</v>
      </c>
      <c r="T77">
        <v>6.3492276786587531E-3</v>
      </c>
    </row>
    <row r="78" spans="2:20" x14ac:dyDescent="0.25">
      <c r="B78">
        <f t="shared" si="15"/>
        <v>77</v>
      </c>
      <c r="C78">
        <v>7.2783436160816173E-2</v>
      </c>
      <c r="D78">
        <f t="shared" si="9"/>
        <v>5.2693605060688595</v>
      </c>
      <c r="E78">
        <f t="shared" si="16"/>
        <v>5.2693605060688595</v>
      </c>
      <c r="F78">
        <f t="shared" si="17"/>
        <v>7.5705219762543408E-2</v>
      </c>
      <c r="G78">
        <f t="shared" si="10"/>
        <v>4.9665396270186859</v>
      </c>
      <c r="H78">
        <f t="shared" si="11"/>
        <v>-2.9217836017272347E-3</v>
      </c>
      <c r="I78">
        <f t="shared" si="12"/>
        <v>5.1936552863063161</v>
      </c>
      <c r="P78" s="2">
        <v>23986</v>
      </c>
      <c r="Q78">
        <v>7.2783436160816173E-2</v>
      </c>
      <c r="R78">
        <f t="shared" si="13"/>
        <v>7.5705219762543408E-2</v>
      </c>
      <c r="S78">
        <f t="shared" si="14"/>
        <v>-2.9217836017272347E-3</v>
      </c>
      <c r="T78">
        <v>8.5773414173035967E-3</v>
      </c>
    </row>
    <row r="79" spans="2:20" x14ac:dyDescent="0.25">
      <c r="B79">
        <f t="shared" si="15"/>
        <v>78</v>
      </c>
      <c r="C79">
        <v>6.8280658520331272E-2</v>
      </c>
      <c r="D79">
        <f t="shared" si="9"/>
        <v>5.3376411645891908</v>
      </c>
      <c r="E79">
        <f t="shared" si="16"/>
        <v>5.3376411645891908</v>
      </c>
      <c r="F79">
        <f t="shared" si="17"/>
        <v>7.4220307514100983E-2</v>
      </c>
      <c r="G79">
        <f t="shared" si="10"/>
        <v>5.0407599345327867</v>
      </c>
      <c r="H79">
        <f t="shared" si="11"/>
        <v>-5.9396489937697111E-3</v>
      </c>
      <c r="I79">
        <f t="shared" si="12"/>
        <v>5.26342085707509</v>
      </c>
      <c r="P79" s="2">
        <v>24016</v>
      </c>
      <c r="Q79">
        <v>6.8280658520331272E-2</v>
      </c>
      <c r="R79">
        <f t="shared" si="13"/>
        <v>7.4220307514100983E-2</v>
      </c>
      <c r="S79">
        <f t="shared" si="14"/>
        <v>-5.9396489937697111E-3</v>
      </c>
      <c r="T79">
        <v>6.3303134499568259E-3</v>
      </c>
    </row>
    <row r="80" spans="2:20" x14ac:dyDescent="0.25">
      <c r="B80">
        <f t="shared" si="15"/>
        <v>79</v>
      </c>
      <c r="C80">
        <v>6.130174632035601E-2</v>
      </c>
      <c r="D80">
        <f t="shared" si="9"/>
        <v>5.3989429109095468</v>
      </c>
      <c r="E80">
        <f t="shared" si="16"/>
        <v>5.3989429109095468</v>
      </c>
      <c r="F80">
        <f t="shared" si="17"/>
        <v>7.163659527535203E-2</v>
      </c>
      <c r="G80">
        <f t="shared" si="10"/>
        <v>5.1123965298081391</v>
      </c>
      <c r="H80">
        <f t="shared" si="11"/>
        <v>-1.033484895499602E-2</v>
      </c>
      <c r="I80">
        <f t="shared" si="12"/>
        <v>5.3273063156341944</v>
      </c>
      <c r="P80" s="2">
        <v>24047</v>
      </c>
      <c r="Q80">
        <v>6.130174632035601E-2</v>
      </c>
      <c r="R80">
        <f t="shared" si="13"/>
        <v>7.163659527535203E-2</v>
      </c>
      <c r="S80">
        <f t="shared" si="14"/>
        <v>-1.033484895499602E-2</v>
      </c>
      <c r="T80">
        <v>2.6095075385743627E-3</v>
      </c>
    </row>
    <row r="81" spans="2:20" x14ac:dyDescent="0.25">
      <c r="B81">
        <f t="shared" si="15"/>
        <v>80</v>
      </c>
      <c r="C81">
        <v>5.8378943801038474E-2</v>
      </c>
      <c r="D81">
        <f t="shared" si="9"/>
        <v>5.4573218547105853</v>
      </c>
      <c r="E81">
        <f t="shared" si="16"/>
        <v>5.4573218547105853</v>
      </c>
      <c r="F81">
        <f t="shared" si="17"/>
        <v>6.8985064980489244E-2</v>
      </c>
      <c r="G81">
        <f t="shared" si="10"/>
        <v>5.1813815947886281</v>
      </c>
      <c r="H81">
        <f t="shared" si="11"/>
        <v>-1.060612117945077E-2</v>
      </c>
      <c r="I81">
        <f t="shared" si="12"/>
        <v>5.3883367897300962</v>
      </c>
      <c r="P81" s="2">
        <v>24077</v>
      </c>
      <c r="Q81">
        <v>5.8378943801038474E-2</v>
      </c>
      <c r="R81">
        <f t="shared" si="13"/>
        <v>6.8985064980489244E-2</v>
      </c>
      <c r="S81">
        <f t="shared" si="14"/>
        <v>-1.060612117945077E-2</v>
      </c>
      <c r="T81">
        <v>0</v>
      </c>
    </row>
    <row r="82" spans="2:20" x14ac:dyDescent="0.25">
      <c r="B82">
        <f t="shared" si="15"/>
        <v>81</v>
      </c>
      <c r="C82">
        <v>5.6020701014419139E-2</v>
      </c>
      <c r="D82">
        <f t="shared" si="9"/>
        <v>5.5133425557250044</v>
      </c>
      <c r="E82">
        <f t="shared" si="16"/>
        <v>5.5133425557250044</v>
      </c>
      <c r="F82">
        <f t="shared" si="17"/>
        <v>6.6392192187275254E-2</v>
      </c>
      <c r="G82">
        <f t="shared" si="10"/>
        <v>5.2477737869759036</v>
      </c>
      <c r="H82">
        <f t="shared" si="11"/>
        <v>-1.0371491172856115E-2</v>
      </c>
      <c r="I82">
        <f t="shared" si="12"/>
        <v>5.446950363537729</v>
      </c>
      <c r="P82" s="2">
        <v>24108</v>
      </c>
      <c r="Q82">
        <v>5.6020701014419139E-2</v>
      </c>
      <c r="R82">
        <f t="shared" si="13"/>
        <v>6.6392192187275254E-2</v>
      </c>
      <c r="S82">
        <f t="shared" si="14"/>
        <v>-1.0371491172856115E-2</v>
      </c>
      <c r="T82">
        <v>-2.979518032905748E-3</v>
      </c>
    </row>
    <row r="83" spans="2:20" x14ac:dyDescent="0.25">
      <c r="B83">
        <f t="shared" si="15"/>
        <v>82</v>
      </c>
      <c r="C83">
        <v>4.977867023879945E-2</v>
      </c>
      <c r="D83">
        <f t="shared" si="9"/>
        <v>5.5631212259638039</v>
      </c>
      <c r="E83">
        <f t="shared" si="16"/>
        <v>5.5631212259638039</v>
      </c>
      <c r="F83">
        <f t="shared" si="17"/>
        <v>6.3069487797580065E-2</v>
      </c>
      <c r="G83">
        <f t="shared" si="10"/>
        <v>5.3108432747734833</v>
      </c>
      <c r="H83">
        <f t="shared" si="11"/>
        <v>-1.3290817558780615E-2</v>
      </c>
      <c r="I83">
        <f t="shared" si="12"/>
        <v>5.5000517381662242</v>
      </c>
      <c r="P83" s="2">
        <v>24139</v>
      </c>
      <c r="Q83">
        <v>4.977867023879945E-2</v>
      </c>
      <c r="R83">
        <f t="shared" si="13"/>
        <v>6.3069487797580065E-2</v>
      </c>
      <c r="S83">
        <f t="shared" si="14"/>
        <v>-1.3290817558780615E-2</v>
      </c>
      <c r="T83">
        <v>-8.570948686561497E-3</v>
      </c>
    </row>
    <row r="84" spans="2:20" x14ac:dyDescent="0.25">
      <c r="B84">
        <f t="shared" si="15"/>
        <v>83</v>
      </c>
      <c r="C84">
        <v>4.6310525742014441E-2</v>
      </c>
      <c r="D84">
        <f t="shared" si="9"/>
        <v>5.6094317517058183</v>
      </c>
      <c r="E84">
        <f t="shared" si="16"/>
        <v>5.6094317517058183</v>
      </c>
      <c r="F84">
        <f t="shared" si="17"/>
        <v>5.9717695386467012E-2</v>
      </c>
      <c r="G84">
        <f t="shared" si="10"/>
        <v>5.3705609701599499</v>
      </c>
      <c r="H84">
        <f t="shared" si="11"/>
        <v>-1.3407169644452571E-2</v>
      </c>
      <c r="I84">
        <f t="shared" si="12"/>
        <v>5.5497140563193517</v>
      </c>
      <c r="P84" s="2">
        <v>24167</v>
      </c>
      <c r="Q84">
        <v>4.6310525742014441E-2</v>
      </c>
      <c r="R84">
        <f t="shared" si="13"/>
        <v>5.9717695386467012E-2</v>
      </c>
      <c r="S84">
        <f t="shared" si="14"/>
        <v>-1.3407169644452571E-2</v>
      </c>
      <c r="T84">
        <v>-2.6104806918469947E-3</v>
      </c>
    </row>
    <row r="85" spans="2:20" x14ac:dyDescent="0.25">
      <c r="B85">
        <f t="shared" si="15"/>
        <v>84</v>
      </c>
      <c r="C85">
        <v>4.471683878179622E-2</v>
      </c>
      <c r="D85">
        <f t="shared" si="9"/>
        <v>5.6541485904876145</v>
      </c>
      <c r="E85">
        <f t="shared" si="16"/>
        <v>5.6541485904876145</v>
      </c>
      <c r="F85">
        <f t="shared" si="17"/>
        <v>5.6717524065532925E-2</v>
      </c>
      <c r="G85">
        <f t="shared" si="10"/>
        <v>5.427278494225483</v>
      </c>
      <c r="H85">
        <f t="shared" si="11"/>
        <v>-1.2000685283736705E-2</v>
      </c>
      <c r="I85">
        <f t="shared" si="12"/>
        <v>5.5974310664220814</v>
      </c>
      <c r="P85" s="2">
        <v>24198</v>
      </c>
      <c r="Q85">
        <v>4.471683878179622E-2</v>
      </c>
      <c r="R85">
        <f t="shared" si="13"/>
        <v>5.6717524065532925E-2</v>
      </c>
      <c r="S85">
        <f t="shared" si="14"/>
        <v>-1.2000685283736705E-2</v>
      </c>
      <c r="T85">
        <v>-3.7285650951384142E-3</v>
      </c>
    </row>
    <row r="86" spans="2:20" x14ac:dyDescent="0.25">
      <c r="B86">
        <f t="shared" si="15"/>
        <v>85</v>
      </c>
      <c r="C86">
        <v>4.1549002912872446E-2</v>
      </c>
      <c r="D86">
        <f t="shared" si="9"/>
        <v>5.695697593400487</v>
      </c>
      <c r="E86">
        <f t="shared" si="16"/>
        <v>5.695697593400487</v>
      </c>
      <c r="F86">
        <f t="shared" si="17"/>
        <v>5.3683819835000791E-2</v>
      </c>
      <c r="G86">
        <f t="shared" si="10"/>
        <v>5.4809623140604842</v>
      </c>
      <c r="H86">
        <f t="shared" si="11"/>
        <v>-1.2134816922128346E-2</v>
      </c>
      <c r="I86">
        <f t="shared" si="12"/>
        <v>5.6420137735654858</v>
      </c>
      <c r="P86" s="2">
        <v>24228</v>
      </c>
      <c r="Q86">
        <v>4.1549002912872446E-2</v>
      </c>
      <c r="R86">
        <f t="shared" si="13"/>
        <v>5.3683819835000791E-2</v>
      </c>
      <c r="S86">
        <f t="shared" si="14"/>
        <v>-1.2134816922128346E-2</v>
      </c>
      <c r="T86">
        <v>-6.3303134499568259E-3</v>
      </c>
    </row>
    <row r="87" spans="2:20" x14ac:dyDescent="0.25">
      <c r="B87">
        <f t="shared" si="15"/>
        <v>86</v>
      </c>
      <c r="C87">
        <v>4.3178234914861946E-2</v>
      </c>
      <c r="D87">
        <f t="shared" si="9"/>
        <v>5.7388758283153489</v>
      </c>
      <c r="E87">
        <f t="shared" si="16"/>
        <v>5.7388758283153489</v>
      </c>
      <c r="F87">
        <f t="shared" si="17"/>
        <v>5.1582702850972953E-2</v>
      </c>
      <c r="G87">
        <f t="shared" si="10"/>
        <v>5.5325450169114569</v>
      </c>
      <c r="H87">
        <f t="shared" si="11"/>
        <v>-8.404467936111007E-3</v>
      </c>
      <c r="I87">
        <f t="shared" si="12"/>
        <v>5.6872931254643762</v>
      </c>
      <c r="P87" s="2">
        <v>24259</v>
      </c>
      <c r="Q87">
        <v>4.3178234914861946E-2</v>
      </c>
      <c r="R87">
        <f t="shared" si="13"/>
        <v>5.1582702850972953E-2</v>
      </c>
      <c r="S87">
        <f t="shared" si="14"/>
        <v>-8.404467936111007E-3</v>
      </c>
      <c r="T87">
        <v>-6.318549176381083E-3</v>
      </c>
    </row>
    <row r="88" spans="2:20" x14ac:dyDescent="0.25">
      <c r="B88">
        <f t="shared" si="15"/>
        <v>87</v>
      </c>
      <c r="C88">
        <v>4.7035527194254634E-2</v>
      </c>
      <c r="D88">
        <f t="shared" si="9"/>
        <v>5.7859113555096036</v>
      </c>
      <c r="E88">
        <f t="shared" si="16"/>
        <v>5.7859113555096036</v>
      </c>
      <c r="F88">
        <f t="shared" si="17"/>
        <v>5.0673267719629322E-2</v>
      </c>
      <c r="G88">
        <f t="shared" si="10"/>
        <v>5.5832182846310863</v>
      </c>
      <c r="H88">
        <f t="shared" si="11"/>
        <v>-3.6377405253746886E-3</v>
      </c>
      <c r="I88">
        <f t="shared" si="12"/>
        <v>5.7352380877899742</v>
      </c>
      <c r="P88" s="2">
        <v>24289</v>
      </c>
      <c r="Q88">
        <v>4.7035527194254634E-2</v>
      </c>
      <c r="R88">
        <f t="shared" si="13"/>
        <v>5.0673267719629322E-2</v>
      </c>
      <c r="S88">
        <f t="shared" si="14"/>
        <v>-3.6377405253746886E-3</v>
      </c>
      <c r="T88">
        <v>-5.2122232669900015E-3</v>
      </c>
    </row>
    <row r="89" spans="2:20" x14ac:dyDescent="0.25">
      <c r="B89">
        <f t="shared" si="15"/>
        <v>88</v>
      </c>
      <c r="C89">
        <v>4.7439725071560801E-2</v>
      </c>
      <c r="D89">
        <f t="shared" si="9"/>
        <v>5.8333510805811644</v>
      </c>
      <c r="E89">
        <f t="shared" si="16"/>
        <v>5.8333510805811644</v>
      </c>
      <c r="F89">
        <f t="shared" si="17"/>
        <v>5.002655919001562E-2</v>
      </c>
      <c r="G89">
        <f t="shared" si="10"/>
        <v>5.6332448438211022</v>
      </c>
      <c r="H89">
        <f t="shared" si="11"/>
        <v>-2.5868341184548185E-3</v>
      </c>
      <c r="I89">
        <f t="shared" si="12"/>
        <v>5.7833245213911484</v>
      </c>
      <c r="P89" s="2">
        <v>24320</v>
      </c>
      <c r="Q89">
        <v>4.7439725071560801E-2</v>
      </c>
      <c r="R89">
        <f t="shared" si="13"/>
        <v>5.002655919001562E-2</v>
      </c>
      <c r="S89">
        <f t="shared" si="14"/>
        <v>-2.5868341184548185E-3</v>
      </c>
      <c r="T89">
        <v>-2.6095075385743627E-3</v>
      </c>
    </row>
    <row r="90" spans="2:20" x14ac:dyDescent="0.25">
      <c r="B90">
        <f t="shared" si="15"/>
        <v>89</v>
      </c>
      <c r="C90">
        <v>5.60469216064714E-2</v>
      </c>
      <c r="D90">
        <f t="shared" si="9"/>
        <v>5.8893980021876358</v>
      </c>
      <c r="E90">
        <f t="shared" si="16"/>
        <v>5.8893980021876358</v>
      </c>
      <c r="F90">
        <f t="shared" si="17"/>
        <v>5.1230631673306708E-2</v>
      </c>
      <c r="G90">
        <f t="shared" si="10"/>
        <v>5.6844754754944091</v>
      </c>
      <c r="H90">
        <f t="shared" si="11"/>
        <v>4.8162899331646927E-3</v>
      </c>
      <c r="I90">
        <f t="shared" si="12"/>
        <v>5.8381673705143289</v>
      </c>
      <c r="P90" s="2">
        <v>24351</v>
      </c>
      <c r="Q90">
        <v>5.60469216064714E-2</v>
      </c>
      <c r="R90">
        <f t="shared" si="13"/>
        <v>5.1230631673306708E-2</v>
      </c>
      <c r="S90">
        <f t="shared" si="14"/>
        <v>4.8162899331646927E-3</v>
      </c>
      <c r="T90">
        <v>-5.9590492912460213E-3</v>
      </c>
    </row>
    <row r="91" spans="2:20" x14ac:dyDescent="0.25">
      <c r="B91">
        <f t="shared" si="15"/>
        <v>90</v>
      </c>
      <c r="C91">
        <v>6.3317487354352053E-2</v>
      </c>
      <c r="D91">
        <f t="shared" si="9"/>
        <v>5.9527154895419878</v>
      </c>
      <c r="E91">
        <f t="shared" si="16"/>
        <v>5.9527154895419878</v>
      </c>
      <c r="F91">
        <f t="shared" si="17"/>
        <v>5.3648002809515739E-2</v>
      </c>
      <c r="G91">
        <f t="shared" si="10"/>
        <v>5.7381234783039252</v>
      </c>
      <c r="H91">
        <f t="shared" si="11"/>
        <v>9.669484544836314E-3</v>
      </c>
      <c r="I91">
        <f t="shared" si="12"/>
        <v>5.8990674867324717</v>
      </c>
      <c r="P91" s="2">
        <v>24381</v>
      </c>
      <c r="Q91">
        <v>6.3317487354352053E-2</v>
      </c>
      <c r="R91">
        <f t="shared" si="13"/>
        <v>5.3648002809515739E-2</v>
      </c>
      <c r="S91">
        <f t="shared" si="14"/>
        <v>9.669484544836314E-3</v>
      </c>
      <c r="T91">
        <v>-8.5741438603488263E-3</v>
      </c>
    </row>
    <row r="92" spans="2:20" x14ac:dyDescent="0.25">
      <c r="B92">
        <f t="shared" si="15"/>
        <v>91</v>
      </c>
      <c r="C92">
        <v>7.2483621726354919E-2</v>
      </c>
      <c r="D92">
        <f t="shared" si="9"/>
        <v>6.0251991112683427</v>
      </c>
      <c r="E92">
        <f t="shared" si="16"/>
        <v>6.0251991112683427</v>
      </c>
      <c r="F92">
        <f t="shared" si="17"/>
        <v>5.7415126592883503E-2</v>
      </c>
      <c r="G92">
        <f t="shared" si="10"/>
        <v>5.7955386048968087</v>
      </c>
      <c r="H92">
        <f t="shared" si="11"/>
        <v>1.5068495133471416E-2</v>
      </c>
      <c r="I92">
        <f t="shared" si="12"/>
        <v>5.9677839846754592</v>
      </c>
      <c r="P92" s="2">
        <v>24412</v>
      </c>
      <c r="Q92">
        <v>7.2483621726354919E-2</v>
      </c>
      <c r="R92">
        <f t="shared" si="13"/>
        <v>5.7415126592883503E-2</v>
      </c>
      <c r="S92">
        <f t="shared" si="14"/>
        <v>1.5068495133471416E-2</v>
      </c>
      <c r="T92">
        <v>-3.7299558350638584E-3</v>
      </c>
    </row>
    <row r="93" spans="2:20" x14ac:dyDescent="0.25">
      <c r="B93">
        <f t="shared" si="15"/>
        <v>92</v>
      </c>
      <c r="C93">
        <v>7.7728759405577108E-2</v>
      </c>
      <c r="D93">
        <f t="shared" si="9"/>
        <v>6.1029278706739198</v>
      </c>
      <c r="E93">
        <f t="shared" si="16"/>
        <v>6.1029278706739198</v>
      </c>
      <c r="F93">
        <f t="shared" si="17"/>
        <v>6.147785315542223E-2</v>
      </c>
      <c r="G93">
        <f t="shared" si="10"/>
        <v>5.8570164580522306</v>
      </c>
      <c r="H93">
        <f t="shared" si="11"/>
        <v>1.6250906250154878E-2</v>
      </c>
      <c r="I93">
        <f t="shared" si="12"/>
        <v>6.041450017518498</v>
      </c>
      <c r="P93" s="2">
        <v>24442</v>
      </c>
      <c r="Q93">
        <v>7.7728759405577108E-2</v>
      </c>
      <c r="R93">
        <f t="shared" si="13"/>
        <v>6.147785315542223E-2</v>
      </c>
      <c r="S93">
        <f t="shared" si="14"/>
        <v>1.6250906250154878E-2</v>
      </c>
      <c r="T93">
        <v>-4.8534722864288504E-3</v>
      </c>
    </row>
    <row r="94" spans="2:20" x14ac:dyDescent="0.25">
      <c r="B94">
        <f t="shared" si="15"/>
        <v>93</v>
      </c>
      <c r="C94">
        <v>7.9427651732615345E-2</v>
      </c>
      <c r="D94">
        <f t="shared" si="9"/>
        <v>6.1823555224065352</v>
      </c>
      <c r="E94">
        <f t="shared" si="16"/>
        <v>6.1823555224065352</v>
      </c>
      <c r="F94">
        <f t="shared" si="17"/>
        <v>6.5067812870860928E-2</v>
      </c>
      <c r="G94">
        <f t="shared" si="10"/>
        <v>5.9220842709230919</v>
      </c>
      <c r="H94">
        <f t="shared" si="11"/>
        <v>1.4359838861754418E-2</v>
      </c>
      <c r="I94">
        <f t="shared" si="12"/>
        <v>6.1172877095356739</v>
      </c>
      <c r="P94" s="2">
        <v>24473</v>
      </c>
      <c r="Q94">
        <v>7.9427651732615345E-2</v>
      </c>
      <c r="R94">
        <f t="shared" si="13"/>
        <v>6.5067812870860928E-2</v>
      </c>
      <c r="S94">
        <f t="shared" si="14"/>
        <v>1.4359838861754418E-2</v>
      </c>
      <c r="T94">
        <v>1.4908687070058768E-3</v>
      </c>
    </row>
    <row r="95" spans="2:20" x14ac:dyDescent="0.25">
      <c r="B95">
        <f t="shared" si="15"/>
        <v>94</v>
      </c>
      <c r="C95">
        <v>8.5573864689773238E-2</v>
      </c>
      <c r="D95">
        <f t="shared" si="9"/>
        <v>6.2679293870963084</v>
      </c>
      <c r="E95">
        <f t="shared" si="16"/>
        <v>6.2679293870963084</v>
      </c>
      <c r="F95">
        <f t="shared" si="17"/>
        <v>6.9169023234643315E-2</v>
      </c>
      <c r="G95">
        <f t="shared" si="10"/>
        <v>5.991253294157735</v>
      </c>
      <c r="H95">
        <f t="shared" si="11"/>
        <v>1.6404841455129923E-2</v>
      </c>
      <c r="I95">
        <f t="shared" si="12"/>
        <v>6.1987603638616653</v>
      </c>
      <c r="P95" s="2">
        <v>24504</v>
      </c>
      <c r="Q95">
        <v>8.5573864689773238E-2</v>
      </c>
      <c r="R95">
        <f t="shared" si="13"/>
        <v>6.9169023234643315E-2</v>
      </c>
      <c r="S95">
        <f t="shared" si="14"/>
        <v>1.6404841455129923E-2</v>
      </c>
      <c r="T95">
        <v>3.7355291850875716E-3</v>
      </c>
    </row>
    <row r="96" spans="2:20" x14ac:dyDescent="0.25">
      <c r="B96">
        <f t="shared" si="15"/>
        <v>95</v>
      </c>
      <c r="C96">
        <v>8.7988621238839215E-2</v>
      </c>
      <c r="D96">
        <f t="shared" si="9"/>
        <v>6.3559180083351476</v>
      </c>
      <c r="E96">
        <f t="shared" si="16"/>
        <v>6.3559180083351476</v>
      </c>
      <c r="F96">
        <f t="shared" si="17"/>
        <v>7.2932942835482531E-2</v>
      </c>
      <c r="G96">
        <f t="shared" si="10"/>
        <v>6.0641862369932173</v>
      </c>
      <c r="H96">
        <f t="shared" si="11"/>
        <v>1.5055678403356684E-2</v>
      </c>
      <c r="I96">
        <f t="shared" si="12"/>
        <v>6.2829850654996653</v>
      </c>
      <c r="P96" s="2">
        <v>24532</v>
      </c>
      <c r="Q96">
        <v>8.7988621238839215E-2</v>
      </c>
      <c r="R96">
        <f t="shared" si="13"/>
        <v>7.2932942835482531E-2</v>
      </c>
      <c r="S96">
        <f t="shared" si="14"/>
        <v>1.5055678403356684E-2</v>
      </c>
      <c r="T96">
        <v>3.7271753919219108E-3</v>
      </c>
    </row>
    <row r="97" spans="2:20" x14ac:dyDescent="0.25">
      <c r="B97">
        <f t="shared" si="15"/>
        <v>96</v>
      </c>
      <c r="C97">
        <v>8.8814553842726518E-2</v>
      </c>
      <c r="D97">
        <f t="shared" si="9"/>
        <v>6.4447325621778742</v>
      </c>
      <c r="E97">
        <f t="shared" si="16"/>
        <v>6.4447325621778742</v>
      </c>
      <c r="F97">
        <f t="shared" si="17"/>
        <v>7.610926503693137E-2</v>
      </c>
      <c r="G97">
        <f t="shared" si="10"/>
        <v>6.1402955020301491</v>
      </c>
      <c r="H97">
        <f t="shared" si="11"/>
        <v>1.2705288805795148E-2</v>
      </c>
      <c r="I97">
        <f t="shared" si="12"/>
        <v>6.3686232971409424</v>
      </c>
      <c r="P97" s="2">
        <v>24563</v>
      </c>
      <c r="Q97">
        <v>8.8814553842726518E-2</v>
      </c>
      <c r="R97">
        <f t="shared" si="13"/>
        <v>7.610926503693137E-2</v>
      </c>
      <c r="S97">
        <f t="shared" si="14"/>
        <v>1.2705288805795148E-2</v>
      </c>
      <c r="T97">
        <v>3.7285650951384142E-3</v>
      </c>
    </row>
    <row r="98" spans="2:20" x14ac:dyDescent="0.25">
      <c r="B98">
        <f t="shared" si="15"/>
        <v>97</v>
      </c>
      <c r="C98">
        <v>9.0845379924575198E-2</v>
      </c>
      <c r="D98">
        <f t="shared" si="9"/>
        <v>6.5355779421024494</v>
      </c>
      <c r="E98">
        <f t="shared" si="16"/>
        <v>6.5355779421024494</v>
      </c>
      <c r="F98">
        <f t="shared" si="17"/>
        <v>7.9056488014460066E-2</v>
      </c>
      <c r="G98">
        <f t="shared" si="10"/>
        <v>6.2193519900446095</v>
      </c>
      <c r="H98">
        <f t="shared" si="11"/>
        <v>1.1788891910115132E-2</v>
      </c>
      <c r="I98">
        <f t="shared" si="12"/>
        <v>6.4565214540879889</v>
      </c>
      <c r="P98" s="2">
        <v>24593</v>
      </c>
      <c r="Q98">
        <v>9.0845379924575198E-2</v>
      </c>
      <c r="R98">
        <f t="shared" si="13"/>
        <v>7.9056488014460066E-2</v>
      </c>
      <c r="S98">
        <f t="shared" si="14"/>
        <v>1.1788891910115132E-2</v>
      </c>
      <c r="T98">
        <v>2.2388069052712289E-3</v>
      </c>
    </row>
    <row r="99" spans="2:20" x14ac:dyDescent="0.25">
      <c r="B99">
        <f t="shared" si="15"/>
        <v>98</v>
      </c>
      <c r="C99">
        <v>8.9276383620481958E-2</v>
      </c>
      <c r="D99">
        <f t="shared" si="9"/>
        <v>6.6248543257229313</v>
      </c>
      <c r="E99">
        <f t="shared" si="16"/>
        <v>6.6248543257229313</v>
      </c>
      <c r="F99">
        <f t="shared" si="17"/>
        <v>8.1100467135664378E-2</v>
      </c>
      <c r="G99">
        <f t="shared" si="10"/>
        <v>6.300452457180274</v>
      </c>
      <c r="H99">
        <f t="shared" si="11"/>
        <v>8.1759164848175803E-3</v>
      </c>
      <c r="I99">
        <f t="shared" si="12"/>
        <v>6.5437538585872668</v>
      </c>
      <c r="P99" s="2">
        <v>24624</v>
      </c>
      <c r="Q99">
        <v>8.9276383620481958E-2</v>
      </c>
      <c r="R99">
        <f t="shared" si="13"/>
        <v>8.1100467135664378E-2</v>
      </c>
      <c r="S99">
        <f t="shared" si="14"/>
        <v>8.1759164848175803E-3</v>
      </c>
      <c r="T99">
        <v>1.490313241559349E-3</v>
      </c>
    </row>
    <row r="100" spans="2:20" x14ac:dyDescent="0.25">
      <c r="B100">
        <f t="shared" si="15"/>
        <v>99</v>
      </c>
      <c r="C100">
        <v>8.5103629596281927E-2</v>
      </c>
      <c r="D100">
        <f t="shared" si="9"/>
        <v>6.7099579553192132</v>
      </c>
      <c r="E100">
        <f t="shared" si="16"/>
        <v>6.7099579553192132</v>
      </c>
      <c r="F100">
        <f t="shared" si="17"/>
        <v>8.1901099627787854E-2</v>
      </c>
      <c r="G100">
        <f t="shared" si="10"/>
        <v>6.382353556808062</v>
      </c>
      <c r="H100">
        <f t="shared" si="11"/>
        <v>3.2025299684940722E-3</v>
      </c>
      <c r="I100">
        <f t="shared" si="12"/>
        <v>6.6280568556914252</v>
      </c>
      <c r="P100" s="2">
        <v>24654</v>
      </c>
      <c r="Q100">
        <v>8.5103629596281927E-2</v>
      </c>
      <c r="R100">
        <f t="shared" si="13"/>
        <v>8.1901099627787854E-2</v>
      </c>
      <c r="S100">
        <f t="shared" si="14"/>
        <v>3.2025299684940722E-3</v>
      </c>
      <c r="T100">
        <v>3.7257867242561638E-3</v>
      </c>
    </row>
    <row r="101" spans="2:20" x14ac:dyDescent="0.25">
      <c r="B101">
        <f t="shared" si="15"/>
        <v>100</v>
      </c>
      <c r="C101">
        <v>8.4892355014981824E-2</v>
      </c>
      <c r="D101">
        <f t="shared" si="9"/>
        <v>6.7948503103341951</v>
      </c>
      <c r="E101">
        <f t="shared" si="16"/>
        <v>6.7948503103341951</v>
      </c>
      <c r="F101">
        <f t="shared" si="17"/>
        <v>8.2499350705226612E-2</v>
      </c>
      <c r="G101">
        <f t="shared" si="10"/>
        <v>6.464852907513289</v>
      </c>
      <c r="H101">
        <f t="shared" si="11"/>
        <v>2.3930043097552117E-3</v>
      </c>
      <c r="I101">
        <f t="shared" si="12"/>
        <v>6.7123509596289681</v>
      </c>
      <c r="P101" s="2">
        <v>24685</v>
      </c>
      <c r="Q101">
        <v>8.4892355014981824E-2</v>
      </c>
      <c r="R101">
        <f t="shared" si="13"/>
        <v>8.2499350705226612E-2</v>
      </c>
      <c r="S101">
        <f t="shared" si="14"/>
        <v>2.3930043097552117E-3</v>
      </c>
      <c r="T101">
        <v>5.2122232669900015E-3</v>
      </c>
    </row>
    <row r="102" spans="2:20" x14ac:dyDescent="0.25">
      <c r="B102">
        <f t="shared" si="15"/>
        <v>101</v>
      </c>
      <c r="C102">
        <v>8.053766530289419E-2</v>
      </c>
      <c r="D102">
        <f t="shared" si="9"/>
        <v>6.8753879756370893</v>
      </c>
      <c r="E102">
        <f t="shared" si="16"/>
        <v>6.8753879756370893</v>
      </c>
      <c r="F102">
        <f t="shared" si="17"/>
        <v>8.2107013624760056E-2</v>
      </c>
      <c r="G102">
        <f t="shared" si="10"/>
        <v>6.5469599211380487</v>
      </c>
      <c r="H102">
        <f t="shared" si="11"/>
        <v>-1.5693483218658655E-3</v>
      </c>
      <c r="I102">
        <f t="shared" si="12"/>
        <v>6.7932809620123296</v>
      </c>
      <c r="P102" s="2">
        <v>24716</v>
      </c>
      <c r="Q102">
        <v>8.053766530289419E-2</v>
      </c>
      <c r="R102">
        <f t="shared" si="13"/>
        <v>8.2107013624760056E-2</v>
      </c>
      <c r="S102">
        <f t="shared" si="14"/>
        <v>-1.5693483218658655E-3</v>
      </c>
      <c r="T102">
        <v>9.6655027560950124E-3</v>
      </c>
    </row>
    <row r="103" spans="2:20" x14ac:dyDescent="0.25">
      <c r="B103">
        <f t="shared" si="15"/>
        <v>102</v>
      </c>
      <c r="C103">
        <v>7.7772280533102922E-2</v>
      </c>
      <c r="D103">
        <f t="shared" si="9"/>
        <v>6.9531602561701922</v>
      </c>
      <c r="E103">
        <f t="shared" si="16"/>
        <v>6.9531602561701922</v>
      </c>
      <c r="F103">
        <f t="shared" si="17"/>
        <v>8.1240067006428704E-2</v>
      </c>
      <c r="G103">
        <f t="shared" si="10"/>
        <v>6.6281999881444778</v>
      </c>
      <c r="H103">
        <f t="shared" si="11"/>
        <v>-3.4677864733257818E-3</v>
      </c>
      <c r="I103">
        <f t="shared" si="12"/>
        <v>6.8719201891637631</v>
      </c>
      <c r="P103" s="2">
        <v>24746</v>
      </c>
      <c r="Q103">
        <v>7.7772280533102922E-2</v>
      </c>
      <c r="R103">
        <f t="shared" si="13"/>
        <v>8.1240067006428704E-2</v>
      </c>
      <c r="S103">
        <f t="shared" si="14"/>
        <v>-3.4677864733257818E-3</v>
      </c>
      <c r="T103">
        <v>1.6339019258075016E-2</v>
      </c>
    </row>
    <row r="104" spans="2:20" x14ac:dyDescent="0.25">
      <c r="B104">
        <f t="shared" si="15"/>
        <v>103</v>
      </c>
      <c r="C104">
        <v>7.4756727553388913E-2</v>
      </c>
      <c r="D104">
        <f t="shared" si="9"/>
        <v>7.0279169837235811</v>
      </c>
      <c r="E104">
        <f t="shared" si="16"/>
        <v>7.0279169837235811</v>
      </c>
      <c r="F104">
        <f t="shared" si="17"/>
        <v>7.9943399115820671E-2</v>
      </c>
      <c r="G104">
        <f t="shared" si="10"/>
        <v>6.7081433872602982</v>
      </c>
      <c r="H104">
        <f t="shared" si="11"/>
        <v>-5.1866715624317578E-3</v>
      </c>
      <c r="I104">
        <f t="shared" si="12"/>
        <v>6.9479735846077606</v>
      </c>
      <c r="P104" s="2">
        <v>24777</v>
      </c>
      <c r="Q104">
        <v>7.4756727553388913E-2</v>
      </c>
      <c r="R104">
        <f t="shared" si="13"/>
        <v>7.9943399115820671E-2</v>
      </c>
      <c r="S104">
        <f t="shared" si="14"/>
        <v>-5.1866715624317578E-3</v>
      </c>
      <c r="T104">
        <v>1.9612099460219135E-2</v>
      </c>
    </row>
    <row r="105" spans="2:20" x14ac:dyDescent="0.25">
      <c r="B105">
        <f t="shared" si="15"/>
        <v>104</v>
      </c>
      <c r="C105">
        <v>7.2848649502788909E-2</v>
      </c>
      <c r="D105">
        <f t="shared" si="9"/>
        <v>7.10076563322637</v>
      </c>
      <c r="E105">
        <f t="shared" si="16"/>
        <v>7.10076563322637</v>
      </c>
      <c r="F105">
        <f t="shared" si="17"/>
        <v>7.8524449193214357E-2</v>
      </c>
      <c r="G105">
        <f t="shared" si="10"/>
        <v>6.7866678364535122</v>
      </c>
      <c r="H105">
        <f t="shared" si="11"/>
        <v>-5.6757996904254482E-3</v>
      </c>
      <c r="I105">
        <f t="shared" si="12"/>
        <v>7.022241184033156</v>
      </c>
      <c r="P105" s="2">
        <v>24807</v>
      </c>
      <c r="Q105">
        <v>7.2848649502788909E-2</v>
      </c>
      <c r="R105">
        <f t="shared" si="13"/>
        <v>7.8524449193214357E-2</v>
      </c>
      <c r="S105">
        <f t="shared" si="14"/>
        <v>-5.6757996904254482E-3</v>
      </c>
      <c r="T105">
        <v>2.1840586817168717E-2</v>
      </c>
    </row>
    <row r="106" spans="2:20" x14ac:dyDescent="0.25">
      <c r="B106">
        <f t="shared" si="15"/>
        <v>105</v>
      </c>
      <c r="C106">
        <v>7.2858197644750433E-2</v>
      </c>
      <c r="D106">
        <f t="shared" si="9"/>
        <v>7.1736238308711204</v>
      </c>
      <c r="E106">
        <f t="shared" si="16"/>
        <v>7.1736238308711204</v>
      </c>
      <c r="F106">
        <f t="shared" si="17"/>
        <v>7.7391198883521639E-2</v>
      </c>
      <c r="G106">
        <f t="shared" si="10"/>
        <v>6.8640590353370339</v>
      </c>
      <c r="H106">
        <f t="shared" si="11"/>
        <v>-4.533001238771206E-3</v>
      </c>
      <c r="I106">
        <f t="shared" si="12"/>
        <v>7.0962326319875988</v>
      </c>
      <c r="P106" s="2">
        <v>24838</v>
      </c>
      <c r="Q106">
        <v>7.2858197644750433E-2</v>
      </c>
      <c r="R106">
        <f t="shared" si="13"/>
        <v>7.7391198883521639E-2</v>
      </c>
      <c r="S106">
        <f t="shared" si="14"/>
        <v>-4.533001238771206E-3</v>
      </c>
      <c r="T106">
        <v>1.8450707913116648E-2</v>
      </c>
    </row>
    <row r="107" spans="2:20" x14ac:dyDescent="0.25">
      <c r="B107">
        <f t="shared" si="15"/>
        <v>106</v>
      </c>
      <c r="C107">
        <v>7.3280591318305E-2</v>
      </c>
      <c r="D107">
        <f t="shared" si="9"/>
        <v>7.2469044221894254</v>
      </c>
      <c r="E107">
        <f t="shared" si="16"/>
        <v>7.2469044221894254</v>
      </c>
      <c r="F107">
        <f t="shared" si="17"/>
        <v>7.6569077370478314E-2</v>
      </c>
      <c r="G107">
        <f t="shared" si="10"/>
        <v>6.940628112707512</v>
      </c>
      <c r="H107">
        <f t="shared" si="11"/>
        <v>-3.2884860521733145E-3</v>
      </c>
      <c r="I107">
        <f t="shared" si="12"/>
        <v>7.1703353448189473</v>
      </c>
      <c r="P107" s="2">
        <v>24869</v>
      </c>
      <c r="Q107">
        <v>7.3280591318305E-2</v>
      </c>
      <c r="R107">
        <f t="shared" si="13"/>
        <v>7.6569077370478314E-2</v>
      </c>
      <c r="S107">
        <f t="shared" si="14"/>
        <v>-3.2884860521733145E-3</v>
      </c>
      <c r="T107">
        <v>2.5401697082950925E-2</v>
      </c>
    </row>
    <row r="108" spans="2:20" x14ac:dyDescent="0.25">
      <c r="B108">
        <f t="shared" si="15"/>
        <v>107</v>
      </c>
      <c r="C108">
        <v>7.6079495245765294E-2</v>
      </c>
      <c r="D108">
        <f t="shared" si="9"/>
        <v>7.3229839174351907</v>
      </c>
      <c r="E108">
        <f t="shared" si="16"/>
        <v>7.3229839174351907</v>
      </c>
      <c r="F108">
        <f t="shared" si="17"/>
        <v>7.6471160945535743E-2</v>
      </c>
      <c r="G108">
        <f t="shared" si="10"/>
        <v>7.0170992736530478</v>
      </c>
      <c r="H108">
        <f t="shared" si="11"/>
        <v>-3.9166569977044929E-4</v>
      </c>
      <c r="I108">
        <f t="shared" si="12"/>
        <v>7.246512756489655</v>
      </c>
      <c r="P108" s="2">
        <v>24898</v>
      </c>
      <c r="Q108">
        <v>7.6079495245765294E-2</v>
      </c>
      <c r="R108">
        <f t="shared" si="13"/>
        <v>7.6471160945535743E-2</v>
      </c>
      <c r="S108">
        <f t="shared" si="14"/>
        <v>-3.9166569977044929E-4</v>
      </c>
      <c r="T108">
        <v>2.316705928153473E-2</v>
      </c>
    </row>
    <row r="109" spans="2:20" x14ac:dyDescent="0.25">
      <c r="B109">
        <f t="shared" si="15"/>
        <v>108</v>
      </c>
      <c r="C109">
        <v>7.6989270186646586E-2</v>
      </c>
      <c r="D109">
        <f t="shared" si="9"/>
        <v>7.3999731876218373</v>
      </c>
      <c r="E109">
        <f t="shared" si="16"/>
        <v>7.3999731876218373</v>
      </c>
      <c r="F109">
        <f t="shared" si="17"/>
        <v>7.6574782793757915E-2</v>
      </c>
      <c r="G109">
        <f t="shared" si="10"/>
        <v>7.0936740564468055</v>
      </c>
      <c r="H109">
        <f t="shared" si="11"/>
        <v>4.1448739288867109E-4</v>
      </c>
      <c r="I109">
        <f t="shared" si="12"/>
        <v>7.3233984048280796</v>
      </c>
      <c r="P109" s="2">
        <v>24929</v>
      </c>
      <c r="Q109">
        <v>7.6989270186646586E-2</v>
      </c>
      <c r="R109">
        <f t="shared" si="13"/>
        <v>7.6574782793757915E-2</v>
      </c>
      <c r="S109">
        <f t="shared" si="14"/>
        <v>4.1448739288867109E-4</v>
      </c>
      <c r="T109">
        <v>2.7891716307925307E-2</v>
      </c>
    </row>
    <row r="110" spans="2:20" x14ac:dyDescent="0.25">
      <c r="B110">
        <f t="shared" si="15"/>
        <v>109</v>
      </c>
      <c r="C110">
        <v>7.6448262037850157E-2</v>
      </c>
      <c r="D110">
        <f t="shared" si="9"/>
        <v>7.4764214496596875</v>
      </c>
      <c r="E110">
        <f t="shared" si="16"/>
        <v>7.4764214496596875</v>
      </c>
      <c r="F110">
        <f t="shared" si="17"/>
        <v>7.6549478642576399E-2</v>
      </c>
      <c r="G110">
        <f t="shared" si="10"/>
        <v>7.1702235350893817</v>
      </c>
      <c r="H110">
        <f t="shared" si="11"/>
        <v>-1.012166047262425E-4</v>
      </c>
      <c r="I110">
        <f t="shared" si="12"/>
        <v>7.3998719710171112</v>
      </c>
      <c r="P110" s="2">
        <v>24959</v>
      </c>
      <c r="Q110">
        <v>7.6448262037850157E-2</v>
      </c>
      <c r="R110">
        <f t="shared" si="13"/>
        <v>7.6549478642576399E-2</v>
      </c>
      <c r="S110">
        <f t="shared" si="14"/>
        <v>-1.012166047262425E-4</v>
      </c>
      <c r="T110">
        <v>3.0828129361302192E-2</v>
      </c>
    </row>
    <row r="111" spans="2:20" x14ac:dyDescent="0.25">
      <c r="B111">
        <f t="shared" si="15"/>
        <v>110</v>
      </c>
      <c r="C111">
        <v>7.5332712049617889E-2</v>
      </c>
      <c r="D111">
        <f t="shared" si="9"/>
        <v>7.5517541617093054</v>
      </c>
      <c r="E111">
        <f t="shared" si="16"/>
        <v>7.5517541617093054</v>
      </c>
      <c r="F111">
        <f t="shared" si="17"/>
        <v>7.630612532398473E-2</v>
      </c>
      <c r="G111">
        <f t="shared" si="10"/>
        <v>7.2465296604133664</v>
      </c>
      <c r="H111">
        <f t="shared" si="11"/>
        <v>-9.7341327436684111E-4</v>
      </c>
      <c r="I111">
        <f t="shared" si="12"/>
        <v>7.4754480363853206</v>
      </c>
      <c r="P111" s="2">
        <v>24990</v>
      </c>
      <c r="Q111">
        <v>7.5332712049617889E-2</v>
      </c>
      <c r="R111">
        <f t="shared" si="13"/>
        <v>7.630612532398473E-2</v>
      </c>
      <c r="S111">
        <f t="shared" si="14"/>
        <v>-9.7341327436684111E-4</v>
      </c>
      <c r="T111">
        <v>3.439782960149973E-2</v>
      </c>
    </row>
    <row r="112" spans="2:20" x14ac:dyDescent="0.25">
      <c r="B112">
        <f t="shared" si="15"/>
        <v>111</v>
      </c>
      <c r="C112">
        <v>7.4429429429460292E-2</v>
      </c>
      <c r="D112">
        <f t="shared" si="9"/>
        <v>7.6261835911387656</v>
      </c>
      <c r="E112">
        <f t="shared" si="16"/>
        <v>7.6261835911387656</v>
      </c>
      <c r="F112">
        <f t="shared" si="17"/>
        <v>7.5930786145079851E-2</v>
      </c>
      <c r="G112">
        <f t="shared" si="10"/>
        <v>7.3224604465584466</v>
      </c>
      <c r="H112">
        <f t="shared" si="11"/>
        <v>-1.501356715619559E-3</v>
      </c>
      <c r="I112">
        <f t="shared" si="12"/>
        <v>7.5502528049936855</v>
      </c>
      <c r="P112" s="2">
        <v>25020</v>
      </c>
      <c r="Q112">
        <v>7.4429429429460292E-2</v>
      </c>
      <c r="R112">
        <f t="shared" si="13"/>
        <v>7.5930786145079851E-2</v>
      </c>
      <c r="S112">
        <f t="shared" si="14"/>
        <v>-1.501356715619559E-3</v>
      </c>
      <c r="T112">
        <v>3.5437498070886253E-2</v>
      </c>
    </row>
    <row r="113" spans="2:20" x14ac:dyDescent="0.25">
      <c r="B113">
        <f t="shared" si="15"/>
        <v>112</v>
      </c>
      <c r="C113">
        <v>7.2012388794849613E-2</v>
      </c>
      <c r="D113">
        <f t="shared" si="9"/>
        <v>7.6981959799336153</v>
      </c>
      <c r="E113">
        <f t="shared" si="16"/>
        <v>7.6981959799336153</v>
      </c>
      <c r="F113">
        <f t="shared" si="17"/>
        <v>7.5147106675033729E-2</v>
      </c>
      <c r="G113">
        <f t="shared" si="10"/>
        <v>7.3976075532334802</v>
      </c>
      <c r="H113">
        <f t="shared" si="11"/>
        <v>-3.1347178801841152E-3</v>
      </c>
      <c r="I113">
        <f t="shared" si="12"/>
        <v>7.6230488732585817</v>
      </c>
      <c r="P113" s="2">
        <v>25051</v>
      </c>
      <c r="Q113">
        <v>7.2012388794849613E-2</v>
      </c>
      <c r="R113">
        <f t="shared" si="13"/>
        <v>7.5147106675033729E-2</v>
      </c>
      <c r="S113">
        <f t="shared" si="14"/>
        <v>-3.1347178801841152E-3</v>
      </c>
      <c r="T113">
        <v>3.6460473133578031E-2</v>
      </c>
    </row>
    <row r="114" spans="2:20" x14ac:dyDescent="0.25">
      <c r="B114">
        <f t="shared" si="15"/>
        <v>113</v>
      </c>
      <c r="C114">
        <v>6.7445314769662978E-2</v>
      </c>
      <c r="D114">
        <f t="shared" si="9"/>
        <v>7.7656412947032782</v>
      </c>
      <c r="E114">
        <f t="shared" si="16"/>
        <v>7.7656412947032782</v>
      </c>
      <c r="F114">
        <f t="shared" si="17"/>
        <v>7.360674829395962E-2</v>
      </c>
      <c r="G114">
        <f t="shared" si="10"/>
        <v>7.4712143015274401</v>
      </c>
      <c r="H114">
        <f t="shared" si="11"/>
        <v>-6.1614335242966417E-3</v>
      </c>
      <c r="I114">
        <f t="shared" si="12"/>
        <v>7.6920345464093183</v>
      </c>
      <c r="P114" s="2">
        <v>25082</v>
      </c>
      <c r="Q114">
        <v>6.7445314769662978E-2</v>
      </c>
      <c r="R114">
        <f t="shared" si="13"/>
        <v>7.360674829395962E-2</v>
      </c>
      <c r="S114">
        <f t="shared" si="14"/>
        <v>-6.1614335242966417E-3</v>
      </c>
      <c r="T114">
        <v>3.5257149886847472E-2</v>
      </c>
    </row>
    <row r="115" spans="2:20" x14ac:dyDescent="0.25">
      <c r="B115">
        <f t="shared" si="15"/>
        <v>114</v>
      </c>
      <c r="C115">
        <v>6.4066146408899627E-2</v>
      </c>
      <c r="D115">
        <f t="shared" si="9"/>
        <v>7.8297074411121779</v>
      </c>
      <c r="E115">
        <f t="shared" si="16"/>
        <v>7.8297074411121779</v>
      </c>
      <c r="F115">
        <f t="shared" si="17"/>
        <v>7.1698627916947547E-2</v>
      </c>
      <c r="G115">
        <f t="shared" si="10"/>
        <v>7.5429129294443875</v>
      </c>
      <c r="H115">
        <f t="shared" si="11"/>
        <v>-7.6324815080479197E-3</v>
      </c>
      <c r="I115">
        <f t="shared" si="12"/>
        <v>7.7580088131952305</v>
      </c>
      <c r="P115" s="2">
        <v>25112</v>
      </c>
      <c r="Q115">
        <v>6.4066146408899627E-2</v>
      </c>
      <c r="R115">
        <f t="shared" si="13"/>
        <v>7.1698627916947547E-2</v>
      </c>
      <c r="S115">
        <f t="shared" si="14"/>
        <v>-7.6324815080479197E-3</v>
      </c>
      <c r="T115">
        <v>3.4748338538496348E-2</v>
      </c>
    </row>
    <row r="116" spans="2:20" x14ac:dyDescent="0.25">
      <c r="B116">
        <f t="shared" si="15"/>
        <v>115</v>
      </c>
      <c r="C116">
        <v>6.027955625055359E-2</v>
      </c>
      <c r="D116">
        <f t="shared" ref="D116:D179" si="18">D115 +C116</f>
        <v>7.8899869973627315</v>
      </c>
      <c r="E116">
        <f t="shared" si="16"/>
        <v>7.8899869973627315</v>
      </c>
      <c r="F116">
        <f t="shared" si="17"/>
        <v>6.9414813583668786E-2</v>
      </c>
      <c r="G116">
        <f t="shared" ref="G116:G179" si="19">G115 + F116</f>
        <v>7.6123277430280565</v>
      </c>
      <c r="H116">
        <f t="shared" ref="H116:H179" si="20">C116-F116</f>
        <v>-9.1352573331151959E-3</v>
      </c>
      <c r="I116">
        <f t="shared" ref="I116:I179" si="21">E116-F116</f>
        <v>7.8205721837790625</v>
      </c>
      <c r="P116" s="2">
        <v>25143</v>
      </c>
      <c r="Q116">
        <v>6.027955625055359E-2</v>
      </c>
      <c r="R116">
        <f t="shared" ref="R116:R179" si="22">F116</f>
        <v>6.9414813583668786E-2</v>
      </c>
      <c r="S116">
        <f t="shared" ref="S116:S179" si="23">H116</f>
        <v>-9.1352573331151959E-3</v>
      </c>
      <c r="T116">
        <v>3.2446970405774156E-2</v>
      </c>
    </row>
    <row r="117" spans="2:20" x14ac:dyDescent="0.25">
      <c r="B117">
        <f t="shared" si="15"/>
        <v>116</v>
      </c>
      <c r="C117">
        <v>5.4373728810845456E-2</v>
      </c>
      <c r="D117">
        <f t="shared" si="18"/>
        <v>7.9443607261735769</v>
      </c>
      <c r="E117">
        <f t="shared" si="16"/>
        <v>7.9443607261735769</v>
      </c>
      <c r="F117">
        <f t="shared" si="17"/>
        <v>6.6406596629104087E-2</v>
      </c>
      <c r="G117">
        <f t="shared" si="19"/>
        <v>7.6787343396571606</v>
      </c>
      <c r="H117">
        <f t="shared" si="20"/>
        <v>-1.203286781825863E-2</v>
      </c>
      <c r="I117">
        <f t="shared" si="21"/>
        <v>7.8779541295444728</v>
      </c>
      <c r="P117" s="2">
        <v>25173</v>
      </c>
      <c r="Q117">
        <v>5.4373728810845456E-2</v>
      </c>
      <c r="R117">
        <f t="shared" si="22"/>
        <v>6.6406596629104087E-2</v>
      </c>
      <c r="S117">
        <f t="shared" si="23"/>
        <v>-1.203286781825863E-2</v>
      </c>
      <c r="T117">
        <v>3.4901905542758627E-2</v>
      </c>
    </row>
    <row r="118" spans="2:20" x14ac:dyDescent="0.25">
      <c r="B118">
        <f t="shared" si="15"/>
        <v>117</v>
      </c>
      <c r="C118">
        <v>5.0199849974230659E-2</v>
      </c>
      <c r="D118">
        <f t="shared" si="18"/>
        <v>7.9945605761478076</v>
      </c>
      <c r="E118">
        <f t="shared" si="16"/>
        <v>7.9945605761478076</v>
      </c>
      <c r="F118">
        <f t="shared" si="17"/>
        <v>6.3165247298129404E-2</v>
      </c>
      <c r="G118">
        <f t="shared" si="19"/>
        <v>7.7418995869552898</v>
      </c>
      <c r="H118">
        <f t="shared" si="20"/>
        <v>-1.2965397323898745E-2</v>
      </c>
      <c r="I118">
        <f t="shared" si="21"/>
        <v>7.9313953288496784</v>
      </c>
      <c r="P118" s="2">
        <v>25204</v>
      </c>
      <c r="Q118">
        <v>5.0199849974230659E-2</v>
      </c>
      <c r="R118">
        <f t="shared" si="22"/>
        <v>6.3165247298129404E-2</v>
      </c>
      <c r="S118">
        <f t="shared" si="23"/>
        <v>-1.2965397323898745E-2</v>
      </c>
      <c r="T118">
        <v>3.4851739957528771E-2</v>
      </c>
    </row>
    <row r="119" spans="2:20" x14ac:dyDescent="0.25">
      <c r="B119">
        <f t="shared" si="15"/>
        <v>118</v>
      </c>
      <c r="C119">
        <v>4.5231197987306793E-2</v>
      </c>
      <c r="D119">
        <f t="shared" si="18"/>
        <v>8.0397917741351144</v>
      </c>
      <c r="E119">
        <f t="shared" si="16"/>
        <v>8.0397917741351144</v>
      </c>
      <c r="F119">
        <f t="shared" si="17"/>
        <v>5.9578437435964915E-2</v>
      </c>
      <c r="G119">
        <f t="shared" si="19"/>
        <v>7.8014780243912547</v>
      </c>
      <c r="H119">
        <f t="shared" si="20"/>
        <v>-1.4347239448658122E-2</v>
      </c>
      <c r="I119">
        <f t="shared" si="21"/>
        <v>7.9802133366991495</v>
      </c>
      <c r="P119" s="2">
        <v>25235</v>
      </c>
      <c r="Q119">
        <v>4.5231197987306793E-2</v>
      </c>
      <c r="R119">
        <f t="shared" si="22"/>
        <v>5.9578437435964915E-2</v>
      </c>
      <c r="S119">
        <f t="shared" si="23"/>
        <v>-1.4347239448658122E-2</v>
      </c>
      <c r="T119">
        <v>2.9018693889035774E-2</v>
      </c>
    </row>
    <row r="120" spans="2:20" x14ac:dyDescent="0.25">
      <c r="B120">
        <f t="shared" si="15"/>
        <v>119</v>
      </c>
      <c r="C120">
        <v>4.0082033761329683E-2</v>
      </c>
      <c r="D120">
        <f t="shared" si="18"/>
        <v>8.079873807896444</v>
      </c>
      <c r="E120">
        <f t="shared" si="16"/>
        <v>8.079873807896444</v>
      </c>
      <c r="F120">
        <f t="shared" si="17"/>
        <v>5.5679156701037874E-2</v>
      </c>
      <c r="G120">
        <f t="shared" si="19"/>
        <v>7.8571571810922922</v>
      </c>
      <c r="H120">
        <f t="shared" si="20"/>
        <v>-1.5597122939708191E-2</v>
      </c>
      <c r="I120">
        <f t="shared" si="21"/>
        <v>8.0241946511954065</v>
      </c>
      <c r="P120" s="2">
        <v>25263</v>
      </c>
      <c r="Q120">
        <v>4.0082033761329683E-2</v>
      </c>
      <c r="R120">
        <f t="shared" si="22"/>
        <v>5.5679156701037874E-2</v>
      </c>
      <c r="S120">
        <f t="shared" si="23"/>
        <v>-1.5597122939708191E-2</v>
      </c>
      <c r="T120">
        <v>3.2191620929613141E-2</v>
      </c>
    </row>
    <row r="121" spans="2:20" x14ac:dyDescent="0.25">
      <c r="B121">
        <f t="shared" si="15"/>
        <v>120</v>
      </c>
      <c r="C121">
        <v>3.6550357591683458E-2</v>
      </c>
      <c r="D121">
        <f t="shared" si="18"/>
        <v>8.1164241654881266</v>
      </c>
      <c r="E121">
        <f t="shared" si="16"/>
        <v>8.1164241654881266</v>
      </c>
      <c r="F121">
        <f t="shared" si="17"/>
        <v>5.1853396879166881E-2</v>
      </c>
      <c r="G121">
        <f t="shared" si="19"/>
        <v>7.9090105779714595</v>
      </c>
      <c r="H121">
        <f t="shared" si="20"/>
        <v>-1.5303039287483423E-2</v>
      </c>
      <c r="I121">
        <f t="shared" si="21"/>
        <v>8.0645707686089594</v>
      </c>
      <c r="P121" s="2">
        <v>25294</v>
      </c>
      <c r="Q121">
        <v>3.6550357591683458E-2</v>
      </c>
      <c r="R121">
        <f t="shared" si="22"/>
        <v>5.1853396879166881E-2</v>
      </c>
      <c r="S121">
        <f t="shared" si="23"/>
        <v>-1.5303039287483423E-2</v>
      </c>
      <c r="T121">
        <v>2.9948762354621294E-2</v>
      </c>
    </row>
    <row r="122" spans="2:20" x14ac:dyDescent="0.25">
      <c r="B122">
        <f t="shared" si="15"/>
        <v>121</v>
      </c>
      <c r="C122">
        <v>3.5036804918090247E-2</v>
      </c>
      <c r="D122">
        <f t="shared" si="18"/>
        <v>8.151460970406216</v>
      </c>
      <c r="E122">
        <f t="shared" si="16"/>
        <v>8.151460970406216</v>
      </c>
      <c r="F122">
        <f t="shared" si="17"/>
        <v>4.8490078486951305E-2</v>
      </c>
      <c r="G122">
        <f t="shared" si="19"/>
        <v>7.9575006564584108</v>
      </c>
      <c r="H122">
        <f t="shared" si="20"/>
        <v>-1.3453273568861057E-2</v>
      </c>
      <c r="I122">
        <f t="shared" si="21"/>
        <v>8.1029708919192647</v>
      </c>
      <c r="P122" s="2">
        <v>25324</v>
      </c>
      <c r="Q122">
        <v>3.5036804918090247E-2</v>
      </c>
      <c r="R122">
        <f t="shared" si="22"/>
        <v>4.8490078486951305E-2</v>
      </c>
      <c r="S122">
        <f t="shared" si="23"/>
        <v>-1.3453273568861057E-2</v>
      </c>
      <c r="T122">
        <v>3.4455548293609972E-2</v>
      </c>
    </row>
    <row r="123" spans="2:20" x14ac:dyDescent="0.25">
      <c r="B123">
        <f t="shared" si="15"/>
        <v>122</v>
      </c>
      <c r="C123">
        <v>2.4867453048898369E-2</v>
      </c>
      <c r="D123">
        <f t="shared" si="18"/>
        <v>8.1763284234551143</v>
      </c>
      <c r="E123">
        <f t="shared" si="16"/>
        <v>8.1763284234551143</v>
      </c>
      <c r="F123">
        <f t="shared" si="17"/>
        <v>4.3765553399340719E-2</v>
      </c>
      <c r="G123">
        <f t="shared" si="19"/>
        <v>8.0012662098577518</v>
      </c>
      <c r="H123">
        <f t="shared" si="20"/>
        <v>-1.889810035044235E-2</v>
      </c>
      <c r="I123">
        <f t="shared" si="21"/>
        <v>8.1325628700557733</v>
      </c>
      <c r="P123" s="2">
        <v>25355</v>
      </c>
      <c r="Q123">
        <v>2.4867453048898369E-2</v>
      </c>
      <c r="R123">
        <f t="shared" si="22"/>
        <v>4.3765553399340719E-2</v>
      </c>
      <c r="S123">
        <f t="shared" si="23"/>
        <v>-1.889810035044235E-2</v>
      </c>
      <c r="T123">
        <v>3.1861102068984071E-2</v>
      </c>
    </row>
    <row r="124" spans="2:20" x14ac:dyDescent="0.25">
      <c r="B124">
        <f t="shared" si="15"/>
        <v>123</v>
      </c>
      <c r="C124">
        <v>2.2209744794459141E-2</v>
      </c>
      <c r="D124">
        <f t="shared" si="18"/>
        <v>8.1985381682495735</v>
      </c>
      <c r="E124">
        <f t="shared" si="16"/>
        <v>8.1985381682495735</v>
      </c>
      <c r="F124">
        <f t="shared" si="17"/>
        <v>3.9454391678364335E-2</v>
      </c>
      <c r="G124">
        <f t="shared" si="19"/>
        <v>8.0407206015361155</v>
      </c>
      <c r="H124">
        <f t="shared" si="20"/>
        <v>-1.7244646883905194E-2</v>
      </c>
      <c r="I124">
        <f t="shared" si="21"/>
        <v>8.1590837765712099</v>
      </c>
      <c r="P124" s="2">
        <v>25385</v>
      </c>
      <c r="Q124">
        <v>2.2209744794459141E-2</v>
      </c>
      <c r="R124">
        <f t="shared" si="22"/>
        <v>3.9454391678364335E-2</v>
      </c>
      <c r="S124">
        <f t="shared" si="23"/>
        <v>-1.7244646883905194E-2</v>
      </c>
      <c r="T124">
        <v>3.5611025323183831E-2</v>
      </c>
    </row>
    <row r="125" spans="2:20" x14ac:dyDescent="0.25">
      <c r="B125">
        <f t="shared" si="15"/>
        <v>124</v>
      </c>
      <c r="C125">
        <v>2.1820297045518799E-2</v>
      </c>
      <c r="D125">
        <f t="shared" si="18"/>
        <v>8.2203584652950923</v>
      </c>
      <c r="E125">
        <f t="shared" si="16"/>
        <v>8.2203584652950923</v>
      </c>
      <c r="F125">
        <f t="shared" si="17"/>
        <v>3.5927572751795367E-2</v>
      </c>
      <c r="G125">
        <f t="shared" si="19"/>
        <v>8.0766481742879108</v>
      </c>
      <c r="H125">
        <f t="shared" si="20"/>
        <v>-1.4107275706276567E-2</v>
      </c>
      <c r="I125">
        <f t="shared" si="21"/>
        <v>8.1844308925432969</v>
      </c>
      <c r="P125" s="2">
        <v>25416</v>
      </c>
      <c r="Q125">
        <v>2.1820297045518799E-2</v>
      </c>
      <c r="R125">
        <f t="shared" si="22"/>
        <v>3.5927572751795367E-2</v>
      </c>
      <c r="S125">
        <f t="shared" si="23"/>
        <v>-1.4107275706276567E-2</v>
      </c>
      <c r="T125">
        <v>3.552334124625256E-2</v>
      </c>
    </row>
    <row r="126" spans="2:20" x14ac:dyDescent="0.25">
      <c r="B126">
        <f t="shared" si="15"/>
        <v>125</v>
      </c>
      <c r="C126">
        <v>2.5686343709327986E-2</v>
      </c>
      <c r="D126">
        <f t="shared" si="18"/>
        <v>8.2460448090044203</v>
      </c>
      <c r="E126">
        <f t="shared" si="16"/>
        <v>8.2460448090044203</v>
      </c>
      <c r="F126">
        <f t="shared" si="17"/>
        <v>3.3879326943301889E-2</v>
      </c>
      <c r="G126">
        <f t="shared" si="19"/>
        <v>8.1105275012312124</v>
      </c>
      <c r="H126">
        <f t="shared" si="20"/>
        <v>-8.1929832339739037E-3</v>
      </c>
      <c r="I126">
        <f t="shared" si="21"/>
        <v>8.2121654820611187</v>
      </c>
      <c r="P126" s="2">
        <v>25447</v>
      </c>
      <c r="Q126">
        <v>2.5686343709327986E-2</v>
      </c>
      <c r="R126">
        <f t="shared" si="22"/>
        <v>3.3879326943301889E-2</v>
      </c>
      <c r="S126">
        <f t="shared" si="23"/>
        <v>-8.1929832339739037E-3</v>
      </c>
      <c r="T126">
        <v>3.3020211028134128E-2</v>
      </c>
    </row>
    <row r="127" spans="2:20" x14ac:dyDescent="0.25">
      <c r="B127">
        <f t="shared" si="15"/>
        <v>126</v>
      </c>
      <c r="C127">
        <v>2.8458936885150443E-2</v>
      </c>
      <c r="D127">
        <f t="shared" si="18"/>
        <v>8.2745037458895716</v>
      </c>
      <c r="E127">
        <f t="shared" si="16"/>
        <v>8.2745037458895716</v>
      </c>
      <c r="F127">
        <f t="shared" si="17"/>
        <v>3.279524893167185E-2</v>
      </c>
      <c r="G127">
        <f t="shared" si="19"/>
        <v>8.1433227501628842</v>
      </c>
      <c r="H127">
        <f t="shared" si="20"/>
        <v>-4.3363120465214067E-3</v>
      </c>
      <c r="I127">
        <f t="shared" si="21"/>
        <v>8.2417084969578998</v>
      </c>
      <c r="P127" s="2">
        <v>25477</v>
      </c>
      <c r="Q127">
        <v>2.8458936885150443E-2</v>
      </c>
      <c r="R127">
        <f t="shared" si="22"/>
        <v>3.279524893167185E-2</v>
      </c>
      <c r="S127">
        <f t="shared" si="23"/>
        <v>-4.3363120465214067E-3</v>
      </c>
      <c r="T127">
        <v>2.8062171109814127E-2</v>
      </c>
    </row>
    <row r="128" spans="2:20" x14ac:dyDescent="0.25">
      <c r="B128">
        <f t="shared" si="15"/>
        <v>127</v>
      </c>
      <c r="C128">
        <v>3.3262866310073136E-2</v>
      </c>
      <c r="D128">
        <f t="shared" si="18"/>
        <v>8.3077666121996447</v>
      </c>
      <c r="E128">
        <f t="shared" si="16"/>
        <v>8.3077666121996447</v>
      </c>
      <c r="F128">
        <f t="shared" si="17"/>
        <v>3.2888772407352107E-2</v>
      </c>
      <c r="G128">
        <f t="shared" si="19"/>
        <v>8.1762115225702363</v>
      </c>
      <c r="H128">
        <f t="shared" si="20"/>
        <v>3.7409390272102883E-4</v>
      </c>
      <c r="I128">
        <f t="shared" si="21"/>
        <v>8.2748778397922926</v>
      </c>
      <c r="P128" s="2">
        <v>25508</v>
      </c>
      <c r="Q128">
        <v>3.3262866310073136E-2</v>
      </c>
      <c r="R128">
        <f t="shared" si="22"/>
        <v>3.2888772407352107E-2</v>
      </c>
      <c r="S128">
        <f t="shared" si="23"/>
        <v>3.7409390272102883E-4</v>
      </c>
      <c r="T128">
        <v>2.4528209352122854E-2</v>
      </c>
    </row>
    <row r="129" spans="2:20" x14ac:dyDescent="0.25">
      <c r="B129">
        <f t="shared" si="15"/>
        <v>128</v>
      </c>
      <c r="C129">
        <v>4.1862652640849873E-2</v>
      </c>
      <c r="D129">
        <f t="shared" si="18"/>
        <v>8.3496292648404946</v>
      </c>
      <c r="E129">
        <f t="shared" si="16"/>
        <v>8.3496292648404946</v>
      </c>
      <c r="F129">
        <f t="shared" si="17"/>
        <v>3.4683548454051659E-2</v>
      </c>
      <c r="G129">
        <f t="shared" si="19"/>
        <v>8.2108950710242876</v>
      </c>
      <c r="H129">
        <f t="shared" si="20"/>
        <v>7.1791041867982144E-3</v>
      </c>
      <c r="I129">
        <f t="shared" si="21"/>
        <v>8.3149457163864433</v>
      </c>
      <c r="P129" s="2">
        <v>25538</v>
      </c>
      <c r="Q129">
        <v>4.1862652640849873E-2</v>
      </c>
      <c r="R129">
        <f t="shared" si="22"/>
        <v>3.4683548454051659E-2</v>
      </c>
      <c r="S129">
        <f t="shared" si="23"/>
        <v>7.1791041867982144E-3</v>
      </c>
      <c r="T129">
        <v>2.3069880174965807E-2</v>
      </c>
    </row>
    <row r="130" spans="2:20" x14ac:dyDescent="0.25">
      <c r="B130">
        <f t="shared" si="15"/>
        <v>129</v>
      </c>
      <c r="C130">
        <v>4.8781983574620824E-2</v>
      </c>
      <c r="D130">
        <f t="shared" si="18"/>
        <v>8.3984112484151154</v>
      </c>
      <c r="E130">
        <f t="shared" si="16"/>
        <v>8.3984112484151154</v>
      </c>
      <c r="F130">
        <f t="shared" si="17"/>
        <v>3.7503235478165566E-2</v>
      </c>
      <c r="G130">
        <f t="shared" si="19"/>
        <v>8.2483983065024535</v>
      </c>
      <c r="H130">
        <f t="shared" si="20"/>
        <v>1.1278748096455259E-2</v>
      </c>
      <c r="I130">
        <f t="shared" si="21"/>
        <v>8.3609080129369495</v>
      </c>
      <c r="P130" s="2">
        <v>25569</v>
      </c>
      <c r="Q130">
        <v>4.8781983574620824E-2</v>
      </c>
      <c r="R130">
        <f t="shared" si="22"/>
        <v>3.7503235478165566E-2</v>
      </c>
      <c r="S130">
        <f t="shared" si="23"/>
        <v>1.1278748096455259E-2</v>
      </c>
      <c r="T130">
        <v>2.0619287202735759E-2</v>
      </c>
    </row>
    <row r="131" spans="2:20" x14ac:dyDescent="0.25">
      <c r="B131">
        <f t="shared" si="15"/>
        <v>130</v>
      </c>
      <c r="C131">
        <v>5.5023046012339094E-2</v>
      </c>
      <c r="D131">
        <f t="shared" si="18"/>
        <v>8.4534342944274545</v>
      </c>
      <c r="E131">
        <f t="shared" si="16"/>
        <v>8.4534342944274545</v>
      </c>
      <c r="F131">
        <f t="shared" si="17"/>
        <v>4.1007197585000203E-2</v>
      </c>
      <c r="G131">
        <f t="shared" si="19"/>
        <v>8.289405504087453</v>
      </c>
      <c r="H131">
        <f t="shared" si="20"/>
        <v>1.4015848427338891E-2</v>
      </c>
      <c r="I131">
        <f t="shared" si="21"/>
        <v>8.412427096842455</v>
      </c>
      <c r="P131" s="2">
        <v>25600</v>
      </c>
      <c r="Q131">
        <v>5.5023046012339094E-2</v>
      </c>
      <c r="R131">
        <f t="shared" si="22"/>
        <v>4.1007197585000203E-2</v>
      </c>
      <c r="S131">
        <f t="shared" si="23"/>
        <v>1.4015848427338891E-2</v>
      </c>
      <c r="T131">
        <v>2.0619287202735759E-2</v>
      </c>
    </row>
    <row r="132" spans="2:20" x14ac:dyDescent="0.25">
      <c r="B132">
        <f t="shared" ref="B132:B195" si="24">B131+1</f>
        <v>131</v>
      </c>
      <c r="C132">
        <v>5.9196725307471887E-2</v>
      </c>
      <c r="D132">
        <f t="shared" si="18"/>
        <v>8.5126310197349255</v>
      </c>
      <c r="E132">
        <f t="shared" ref="E132:E195" si="25">D132</f>
        <v>8.5126310197349255</v>
      </c>
      <c r="F132">
        <f t="shared" ref="F132:F195" si="26">$K$1*(E132-G131)</f>
        <v>4.4645103129494504E-2</v>
      </c>
      <c r="G132">
        <f t="shared" si="19"/>
        <v>8.3340506072169482</v>
      </c>
      <c r="H132">
        <f t="shared" si="20"/>
        <v>1.4551622177977383E-2</v>
      </c>
      <c r="I132">
        <f t="shared" si="21"/>
        <v>8.4679859166054303</v>
      </c>
      <c r="P132" s="2">
        <v>25628</v>
      </c>
      <c r="Q132">
        <v>5.9196725307471887E-2</v>
      </c>
      <c r="R132">
        <f t="shared" si="22"/>
        <v>4.4645103129494504E-2</v>
      </c>
      <c r="S132">
        <f t="shared" si="23"/>
        <v>1.4551622177977383E-2</v>
      </c>
      <c r="T132">
        <v>1.8829008152907889E-2</v>
      </c>
    </row>
    <row r="133" spans="2:20" x14ac:dyDescent="0.25">
      <c r="B133">
        <f t="shared" si="24"/>
        <v>132</v>
      </c>
      <c r="C133">
        <v>6.3591908927913998E-2</v>
      </c>
      <c r="D133">
        <f t="shared" si="18"/>
        <v>8.5762229286628404</v>
      </c>
      <c r="E133">
        <f t="shared" si="25"/>
        <v>8.5762229286628404</v>
      </c>
      <c r="F133">
        <f t="shared" si="26"/>
        <v>4.8434464289178442E-2</v>
      </c>
      <c r="G133">
        <f t="shared" si="19"/>
        <v>8.3824850715061263</v>
      </c>
      <c r="H133">
        <f t="shared" si="20"/>
        <v>1.5157444638735557E-2</v>
      </c>
      <c r="I133">
        <f t="shared" si="21"/>
        <v>8.5277884643736623</v>
      </c>
      <c r="P133" s="2">
        <v>25659</v>
      </c>
      <c r="Q133">
        <v>6.3591908927913998E-2</v>
      </c>
      <c r="R133">
        <f t="shared" si="22"/>
        <v>4.8434464289178442E-2</v>
      </c>
      <c r="S133">
        <f t="shared" si="23"/>
        <v>1.5157444638735557E-2</v>
      </c>
      <c r="T133">
        <v>1.7409910491312797E-2</v>
      </c>
    </row>
    <row r="134" spans="2:20" x14ac:dyDescent="0.25">
      <c r="B134">
        <f t="shared" si="24"/>
        <v>133</v>
      </c>
      <c r="C134">
        <v>7.0868090906133219E-2</v>
      </c>
      <c r="D134">
        <f t="shared" si="18"/>
        <v>8.6470910195689736</v>
      </c>
      <c r="E134">
        <f t="shared" si="25"/>
        <v>8.6470910195689736</v>
      </c>
      <c r="F134">
        <f t="shared" si="26"/>
        <v>5.2921189612569468E-2</v>
      </c>
      <c r="G134">
        <f t="shared" si="19"/>
        <v>8.4354062611186951</v>
      </c>
      <c r="H134">
        <f t="shared" si="20"/>
        <v>1.7946901293563751E-2</v>
      </c>
      <c r="I134">
        <f t="shared" si="21"/>
        <v>8.5941698299564049</v>
      </c>
      <c r="P134" s="2">
        <v>25689</v>
      </c>
      <c r="Q134">
        <v>7.0868090906133219E-2</v>
      </c>
      <c r="R134">
        <f t="shared" si="22"/>
        <v>5.2921189612569468E-2</v>
      </c>
      <c r="S134">
        <f t="shared" si="23"/>
        <v>1.7946901293563751E-2</v>
      </c>
      <c r="T134">
        <v>1.2836256040868133E-2</v>
      </c>
    </row>
    <row r="135" spans="2:20" x14ac:dyDescent="0.25">
      <c r="B135">
        <f t="shared" si="24"/>
        <v>134</v>
      </c>
      <c r="C135">
        <v>8.9197852950500867E-2</v>
      </c>
      <c r="D135">
        <f t="shared" si="18"/>
        <v>8.7362888725194736</v>
      </c>
      <c r="E135">
        <f t="shared" si="25"/>
        <v>8.7362888725194736</v>
      </c>
      <c r="F135">
        <f t="shared" si="26"/>
        <v>6.0176522280155714E-2</v>
      </c>
      <c r="G135">
        <f t="shared" si="19"/>
        <v>8.4955827833988504</v>
      </c>
      <c r="H135">
        <f t="shared" si="20"/>
        <v>2.9021330670345152E-2</v>
      </c>
      <c r="I135">
        <f t="shared" si="21"/>
        <v>8.6761123502393183</v>
      </c>
      <c r="P135" s="2">
        <v>25720</v>
      </c>
      <c r="Q135">
        <v>8.9197852950500867E-2</v>
      </c>
      <c r="R135">
        <f t="shared" si="22"/>
        <v>6.0176522280155714E-2</v>
      </c>
      <c r="S135">
        <f t="shared" si="23"/>
        <v>2.9021330670345152E-2</v>
      </c>
      <c r="T135">
        <v>1.039870722089864E-2</v>
      </c>
    </row>
    <row r="136" spans="2:20" x14ac:dyDescent="0.25">
      <c r="B136">
        <f t="shared" si="24"/>
        <v>135</v>
      </c>
      <c r="C136">
        <v>0.1012827423718301</v>
      </c>
      <c r="D136">
        <f t="shared" si="18"/>
        <v>8.8375716148913028</v>
      </c>
      <c r="E136">
        <f t="shared" si="25"/>
        <v>8.8375716148913028</v>
      </c>
      <c r="F136">
        <f t="shared" si="26"/>
        <v>6.8397766298490481E-2</v>
      </c>
      <c r="G136">
        <f t="shared" si="19"/>
        <v>8.5639805496973409</v>
      </c>
      <c r="H136">
        <f t="shared" si="20"/>
        <v>3.2884976073339622E-2</v>
      </c>
      <c r="I136">
        <f t="shared" si="21"/>
        <v>8.7691738485928123</v>
      </c>
      <c r="P136" s="2">
        <v>25750</v>
      </c>
      <c r="Q136">
        <v>0.1012827423718301</v>
      </c>
      <c r="R136">
        <f t="shared" si="22"/>
        <v>6.8397766298490481E-2</v>
      </c>
      <c r="S136">
        <f t="shared" si="23"/>
        <v>3.2884976073339622E-2</v>
      </c>
      <c r="T136">
        <v>3.4578181064155444E-3</v>
      </c>
    </row>
    <row r="137" spans="2:20" x14ac:dyDescent="0.25">
      <c r="B137">
        <f t="shared" si="24"/>
        <v>136</v>
      </c>
      <c r="C137">
        <v>0.11240566063557722</v>
      </c>
      <c r="D137">
        <f t="shared" si="18"/>
        <v>8.94997727552688</v>
      </c>
      <c r="E137">
        <f t="shared" si="25"/>
        <v>8.94997727552688</v>
      </c>
      <c r="F137">
        <f t="shared" si="26"/>
        <v>7.7199345165907832E-2</v>
      </c>
      <c r="G137">
        <f t="shared" si="19"/>
        <v>8.6411798948632494</v>
      </c>
      <c r="H137">
        <f t="shared" si="20"/>
        <v>3.5206315469669389E-2</v>
      </c>
      <c r="I137">
        <f t="shared" si="21"/>
        <v>8.8727779303609715</v>
      </c>
      <c r="P137" s="2">
        <v>25781</v>
      </c>
      <c r="Q137">
        <v>0.11240566063557722</v>
      </c>
      <c r="R137">
        <f t="shared" si="22"/>
        <v>7.7199345165907832E-2</v>
      </c>
      <c r="S137">
        <f t="shared" si="23"/>
        <v>3.5206315469669389E-2</v>
      </c>
      <c r="T137">
        <v>1.3812156891983562E-3</v>
      </c>
    </row>
    <row r="138" spans="2:20" x14ac:dyDescent="0.25">
      <c r="B138">
        <f t="shared" si="24"/>
        <v>137</v>
      </c>
      <c r="C138">
        <v>0.11967848620557309</v>
      </c>
      <c r="D138">
        <f t="shared" si="18"/>
        <v>9.0696557617324522</v>
      </c>
      <c r="E138">
        <f t="shared" si="25"/>
        <v>9.0696557617324522</v>
      </c>
      <c r="F138">
        <f t="shared" si="26"/>
        <v>8.5695173373840569E-2</v>
      </c>
      <c r="G138">
        <f t="shared" si="19"/>
        <v>8.7268750682370904</v>
      </c>
      <c r="H138">
        <f t="shared" si="20"/>
        <v>3.3983312831732518E-2</v>
      </c>
      <c r="I138">
        <f t="shared" si="21"/>
        <v>8.9839605883586113</v>
      </c>
      <c r="P138" s="2">
        <v>25812</v>
      </c>
      <c r="Q138">
        <v>0.11967848620557309</v>
      </c>
      <c r="R138">
        <f t="shared" si="22"/>
        <v>8.5695173373840569E-2</v>
      </c>
      <c r="S138">
        <f t="shared" si="23"/>
        <v>3.3983312831732518E-2</v>
      </c>
      <c r="T138">
        <v>3.4494687532573565E-3</v>
      </c>
    </row>
    <row r="139" spans="2:20" x14ac:dyDescent="0.25">
      <c r="B139">
        <f t="shared" si="24"/>
        <v>138</v>
      </c>
      <c r="C139">
        <v>0.12284784612584598</v>
      </c>
      <c r="D139">
        <f t="shared" si="18"/>
        <v>9.1925036078582991</v>
      </c>
      <c r="E139">
        <f t="shared" si="25"/>
        <v>9.1925036078582991</v>
      </c>
      <c r="F139">
        <f t="shared" si="26"/>
        <v>9.3125707924241755E-2</v>
      </c>
      <c r="G139">
        <f t="shared" si="19"/>
        <v>8.8200007761613328</v>
      </c>
      <c r="H139">
        <f t="shared" si="20"/>
        <v>2.9722138201604228E-2</v>
      </c>
      <c r="I139">
        <f t="shared" si="21"/>
        <v>9.0993778999340567</v>
      </c>
      <c r="P139" s="2">
        <v>25842</v>
      </c>
      <c r="Q139">
        <v>0.12284784612584598</v>
      </c>
      <c r="R139">
        <f t="shared" si="22"/>
        <v>9.3125707924241755E-2</v>
      </c>
      <c r="S139">
        <f t="shared" si="23"/>
        <v>2.9722138201604228E-2</v>
      </c>
      <c r="T139">
        <v>6.8942017292772384E-3</v>
      </c>
    </row>
    <row r="140" spans="2:20" x14ac:dyDescent="0.25">
      <c r="B140">
        <f t="shared" si="24"/>
        <v>139</v>
      </c>
      <c r="C140">
        <v>0.126075860707898</v>
      </c>
      <c r="D140">
        <f t="shared" si="18"/>
        <v>9.3185794685661971</v>
      </c>
      <c r="E140">
        <f t="shared" si="25"/>
        <v>9.3185794685661971</v>
      </c>
      <c r="F140">
        <f t="shared" si="26"/>
        <v>9.9715738480972871E-2</v>
      </c>
      <c r="G140">
        <f t="shared" si="19"/>
        <v>8.919716514642305</v>
      </c>
      <c r="H140">
        <f t="shared" si="20"/>
        <v>2.6360122226925131E-2</v>
      </c>
      <c r="I140">
        <f t="shared" si="21"/>
        <v>9.218863730085225</v>
      </c>
      <c r="P140" s="2">
        <v>25873</v>
      </c>
      <c r="Q140">
        <v>0.126075860707898</v>
      </c>
      <c r="R140">
        <f t="shared" si="22"/>
        <v>9.9715738480972871E-2</v>
      </c>
      <c r="S140">
        <f t="shared" si="23"/>
        <v>2.6360122226925131E-2</v>
      </c>
      <c r="T140">
        <v>8.9593983183573478E-3</v>
      </c>
    </row>
    <row r="141" spans="2:20" x14ac:dyDescent="0.25">
      <c r="B141">
        <f t="shared" si="24"/>
        <v>140</v>
      </c>
      <c r="C141">
        <v>0.12508534388950032</v>
      </c>
      <c r="D141">
        <f t="shared" si="18"/>
        <v>9.4436648124556974</v>
      </c>
      <c r="E141">
        <f t="shared" si="25"/>
        <v>9.4436648124556974</v>
      </c>
      <c r="F141">
        <f t="shared" si="26"/>
        <v>0.10478965956267849</v>
      </c>
      <c r="G141">
        <f t="shared" si="19"/>
        <v>9.0245061742049835</v>
      </c>
      <c r="H141">
        <f t="shared" si="20"/>
        <v>2.0295684326821828E-2</v>
      </c>
      <c r="I141">
        <f t="shared" si="21"/>
        <v>9.3388751528930189</v>
      </c>
      <c r="P141" s="2">
        <v>25903</v>
      </c>
      <c r="Q141">
        <v>0.12508534388950032</v>
      </c>
      <c r="R141">
        <f t="shared" si="22"/>
        <v>0.10478965956267849</v>
      </c>
      <c r="S141">
        <f t="shared" si="23"/>
        <v>2.0295684326821828E-2</v>
      </c>
      <c r="T141">
        <v>8.2588218913017819E-3</v>
      </c>
    </row>
    <row r="142" spans="2:20" x14ac:dyDescent="0.25">
      <c r="B142">
        <f t="shared" si="24"/>
        <v>141</v>
      </c>
      <c r="C142">
        <v>0.12488400020918267</v>
      </c>
      <c r="D142">
        <f t="shared" si="18"/>
        <v>9.5685488126648792</v>
      </c>
      <c r="E142">
        <f t="shared" si="25"/>
        <v>9.5685488126648792</v>
      </c>
      <c r="F142">
        <f t="shared" si="26"/>
        <v>0.10880852769197916</v>
      </c>
      <c r="G142">
        <f t="shared" si="19"/>
        <v>9.1333147018969623</v>
      </c>
      <c r="H142">
        <f t="shared" si="20"/>
        <v>1.607547251720351E-2</v>
      </c>
      <c r="I142">
        <f t="shared" si="21"/>
        <v>9.4597402849729004</v>
      </c>
      <c r="P142" s="2">
        <v>25934</v>
      </c>
      <c r="Q142">
        <v>0.12488400020918267</v>
      </c>
      <c r="R142">
        <f t="shared" si="22"/>
        <v>0.10880852769197916</v>
      </c>
      <c r="S142">
        <f t="shared" si="23"/>
        <v>1.607547251720351E-2</v>
      </c>
      <c r="T142">
        <v>1.1692017649610698E-2</v>
      </c>
    </row>
    <row r="143" spans="2:20" x14ac:dyDescent="0.25">
      <c r="B143">
        <f t="shared" si="24"/>
        <v>142</v>
      </c>
      <c r="C143">
        <v>0.12489590107943194</v>
      </c>
      <c r="D143">
        <f t="shared" si="18"/>
        <v>9.6934447137443112</v>
      </c>
      <c r="E143">
        <f t="shared" si="25"/>
        <v>9.6934447137443112</v>
      </c>
      <c r="F143">
        <f t="shared" si="26"/>
        <v>0.11202600236946979</v>
      </c>
      <c r="G143">
        <f t="shared" si="19"/>
        <v>9.2453407042664324</v>
      </c>
      <c r="H143">
        <f t="shared" si="20"/>
        <v>1.2869898709962149E-2</v>
      </c>
      <c r="I143">
        <f t="shared" si="21"/>
        <v>9.581418711374841</v>
      </c>
      <c r="P143" s="2">
        <v>25965</v>
      </c>
      <c r="Q143">
        <v>0.12489590107943194</v>
      </c>
      <c r="R143">
        <f t="shared" si="22"/>
        <v>0.11202600236946979</v>
      </c>
      <c r="S143">
        <f t="shared" si="23"/>
        <v>1.2869898709962149E-2</v>
      </c>
      <c r="T143">
        <v>1.5104990245850658E-2</v>
      </c>
    </row>
    <row r="144" spans="2:20" x14ac:dyDescent="0.25">
      <c r="B144">
        <f t="shared" si="24"/>
        <v>143</v>
      </c>
      <c r="C144">
        <v>0.1261381663418808</v>
      </c>
      <c r="D144">
        <f t="shared" si="18"/>
        <v>9.8195828800861911</v>
      </c>
      <c r="E144">
        <f t="shared" si="25"/>
        <v>9.8195828800861911</v>
      </c>
      <c r="F144">
        <f t="shared" si="26"/>
        <v>0.11484843516395174</v>
      </c>
      <c r="G144">
        <f t="shared" si="19"/>
        <v>9.3601891394303838</v>
      </c>
      <c r="H144">
        <f t="shared" si="20"/>
        <v>1.1289731177929058E-2</v>
      </c>
      <c r="I144">
        <f t="shared" si="21"/>
        <v>9.7047344449222397</v>
      </c>
      <c r="P144" s="2">
        <v>25993</v>
      </c>
      <c r="Q144">
        <v>0.1261381663418808</v>
      </c>
      <c r="R144">
        <f t="shared" si="22"/>
        <v>0.11484843516395174</v>
      </c>
      <c r="S144">
        <f t="shared" si="23"/>
        <v>1.1289731177929058E-2</v>
      </c>
      <c r="T144">
        <v>1.3722342255101161E-2</v>
      </c>
    </row>
    <row r="145" spans="2:20" x14ac:dyDescent="0.25">
      <c r="B145">
        <f t="shared" si="24"/>
        <v>144</v>
      </c>
      <c r="C145">
        <v>0.12553864166764139</v>
      </c>
      <c r="D145">
        <f t="shared" si="18"/>
        <v>9.9451215217538333</v>
      </c>
      <c r="E145">
        <f t="shared" si="25"/>
        <v>9.9451215217538333</v>
      </c>
      <c r="F145">
        <f t="shared" si="26"/>
        <v>0.11698647646468992</v>
      </c>
      <c r="G145">
        <f t="shared" si="19"/>
        <v>9.4771756158950744</v>
      </c>
      <c r="H145">
        <f t="shared" si="20"/>
        <v>8.5521652029514755E-3</v>
      </c>
      <c r="I145">
        <f t="shared" si="21"/>
        <v>9.8281350452891427</v>
      </c>
      <c r="P145" s="2">
        <v>26024</v>
      </c>
      <c r="Q145">
        <v>0.12553864166764139</v>
      </c>
      <c r="R145">
        <f t="shared" si="22"/>
        <v>0.11698647646468992</v>
      </c>
      <c r="S145">
        <f t="shared" si="23"/>
        <v>8.5521652029514755E-3</v>
      </c>
      <c r="T145">
        <v>1.5073940784644524E-2</v>
      </c>
    </row>
    <row r="146" spans="2:20" x14ac:dyDescent="0.25">
      <c r="B146">
        <f t="shared" si="24"/>
        <v>145</v>
      </c>
      <c r="C146">
        <v>0.125739222654766</v>
      </c>
      <c r="D146">
        <f t="shared" si="18"/>
        <v>10.070860744408598</v>
      </c>
      <c r="E146">
        <f t="shared" si="25"/>
        <v>10.070860744408598</v>
      </c>
      <c r="F146">
        <f t="shared" si="26"/>
        <v>0.11873702570270482</v>
      </c>
      <c r="G146">
        <f t="shared" si="19"/>
        <v>9.5959126415977796</v>
      </c>
      <c r="H146">
        <f t="shared" si="20"/>
        <v>7.0021969520611821E-3</v>
      </c>
      <c r="I146">
        <f t="shared" si="21"/>
        <v>9.9521237187058933</v>
      </c>
      <c r="P146" s="2">
        <v>26054</v>
      </c>
      <c r="Q146">
        <v>0.125739222654766</v>
      </c>
      <c r="R146">
        <f t="shared" si="22"/>
        <v>0.11873702570270482</v>
      </c>
      <c r="S146">
        <f t="shared" si="23"/>
        <v>7.0021969520611821E-3</v>
      </c>
      <c r="T146">
        <v>1.2333147077216111E-2</v>
      </c>
    </row>
    <row r="147" spans="2:20" x14ac:dyDescent="0.25">
      <c r="B147">
        <f t="shared" si="24"/>
        <v>146</v>
      </c>
      <c r="C147">
        <v>0.12410724936342188</v>
      </c>
      <c r="D147">
        <f t="shared" si="18"/>
        <v>10.194967993772021</v>
      </c>
      <c r="E147">
        <f t="shared" si="25"/>
        <v>10.194967993772021</v>
      </c>
      <c r="F147">
        <f t="shared" si="26"/>
        <v>0.11981107043484834</v>
      </c>
      <c r="G147">
        <f t="shared" si="19"/>
        <v>9.7157237120326272</v>
      </c>
      <c r="H147">
        <f t="shared" si="20"/>
        <v>4.2961789285735352E-3</v>
      </c>
      <c r="I147">
        <f t="shared" si="21"/>
        <v>10.075156923337174</v>
      </c>
      <c r="P147" s="2">
        <v>26085</v>
      </c>
      <c r="Q147">
        <v>0.12410724936342188</v>
      </c>
      <c r="R147">
        <f t="shared" si="22"/>
        <v>0.11981107043484834</v>
      </c>
      <c r="S147">
        <f t="shared" si="23"/>
        <v>4.2961789285735352E-3</v>
      </c>
      <c r="T147">
        <v>1.4038922579429514E-2</v>
      </c>
    </row>
    <row r="148" spans="2:20" x14ac:dyDescent="0.25">
      <c r="B148">
        <f t="shared" si="24"/>
        <v>147</v>
      </c>
      <c r="C148">
        <v>0.12100909268273252</v>
      </c>
      <c r="D148">
        <f t="shared" si="18"/>
        <v>10.315977086454755</v>
      </c>
      <c r="E148">
        <f t="shared" si="25"/>
        <v>10.315977086454755</v>
      </c>
      <c r="F148">
        <f t="shared" si="26"/>
        <v>0.1200506748844255</v>
      </c>
      <c r="G148">
        <f t="shared" si="19"/>
        <v>9.835774386917052</v>
      </c>
      <c r="H148">
        <f t="shared" si="20"/>
        <v>9.5841779830702079E-4</v>
      </c>
      <c r="I148">
        <f t="shared" si="21"/>
        <v>10.19592641157033</v>
      </c>
      <c r="P148" s="2">
        <v>26115</v>
      </c>
      <c r="Q148">
        <v>0.12100909268273252</v>
      </c>
      <c r="R148">
        <f t="shared" si="22"/>
        <v>0.1200506748844255</v>
      </c>
      <c r="S148">
        <f t="shared" si="23"/>
        <v>9.5841779830702079E-4</v>
      </c>
      <c r="T148">
        <v>1.5073940784644524E-2</v>
      </c>
    </row>
    <row r="149" spans="2:20" x14ac:dyDescent="0.25">
      <c r="B149">
        <f t="shared" si="24"/>
        <v>148</v>
      </c>
      <c r="C149">
        <v>0.11467303382578198</v>
      </c>
      <c r="D149">
        <f t="shared" si="18"/>
        <v>10.430650120280536</v>
      </c>
      <c r="E149">
        <f t="shared" si="25"/>
        <v>10.430650120280536</v>
      </c>
      <c r="F149">
        <f t="shared" si="26"/>
        <v>0.11897514667269676</v>
      </c>
      <c r="G149">
        <f t="shared" si="19"/>
        <v>9.954749533589748</v>
      </c>
      <c r="H149">
        <f t="shared" si="20"/>
        <v>-4.3021128469147851E-3</v>
      </c>
      <c r="I149">
        <f t="shared" si="21"/>
        <v>10.31167497360784</v>
      </c>
      <c r="P149" s="2">
        <v>26146</v>
      </c>
      <c r="Q149">
        <v>0.11467303382578198</v>
      </c>
      <c r="R149">
        <f t="shared" si="22"/>
        <v>0.11897514667269676</v>
      </c>
      <c r="S149">
        <f t="shared" si="23"/>
        <v>-4.3021128469147851E-3</v>
      </c>
      <c r="T149">
        <v>1.9139340210697409E-2</v>
      </c>
    </row>
    <row r="150" spans="2:20" x14ac:dyDescent="0.25">
      <c r="B150">
        <f t="shared" si="24"/>
        <v>149</v>
      </c>
      <c r="C150">
        <v>0.10875956210723281</v>
      </c>
      <c r="D150">
        <f t="shared" si="18"/>
        <v>10.539409682387769</v>
      </c>
      <c r="E150">
        <f t="shared" si="25"/>
        <v>10.539409682387769</v>
      </c>
      <c r="F150">
        <f t="shared" si="26"/>
        <v>0.11693202975960411</v>
      </c>
      <c r="G150">
        <f t="shared" si="19"/>
        <v>10.071681563349353</v>
      </c>
      <c r="H150">
        <f t="shared" si="20"/>
        <v>-8.1724676523712986E-3</v>
      </c>
      <c r="I150">
        <f t="shared" si="21"/>
        <v>10.422477652628164</v>
      </c>
      <c r="P150" s="2">
        <v>26177</v>
      </c>
      <c r="Q150">
        <v>0.10875956210723281</v>
      </c>
      <c r="R150">
        <f t="shared" si="22"/>
        <v>0.11693202975960411</v>
      </c>
      <c r="S150">
        <f t="shared" si="23"/>
        <v>-8.1724676523712986E-3</v>
      </c>
      <c r="T150">
        <v>1.8086143907790397E-2</v>
      </c>
    </row>
    <row r="151" spans="2:20" x14ac:dyDescent="0.25">
      <c r="B151">
        <f t="shared" si="24"/>
        <v>150</v>
      </c>
      <c r="C151">
        <v>0.10792779686428844</v>
      </c>
      <c r="D151">
        <f t="shared" si="18"/>
        <v>10.647337479252057</v>
      </c>
      <c r="E151">
        <f t="shared" si="25"/>
        <v>10.647337479252057</v>
      </c>
      <c r="F151">
        <f t="shared" si="26"/>
        <v>0.11513118318054083</v>
      </c>
      <c r="G151">
        <f t="shared" si="19"/>
        <v>10.186812746529894</v>
      </c>
      <c r="H151">
        <f t="shared" si="20"/>
        <v>-7.2033863162523915E-3</v>
      </c>
      <c r="I151">
        <f t="shared" si="21"/>
        <v>10.532206296071516</v>
      </c>
      <c r="P151" s="2">
        <v>26207</v>
      </c>
      <c r="Q151">
        <v>0.10792779686428844</v>
      </c>
      <c r="R151">
        <f t="shared" si="22"/>
        <v>0.11513118318054083</v>
      </c>
      <c r="S151">
        <f t="shared" si="23"/>
        <v>-7.2033863162523915E-3</v>
      </c>
      <c r="T151">
        <v>1.7030384355968042E-2</v>
      </c>
    </row>
    <row r="152" spans="2:20" x14ac:dyDescent="0.25">
      <c r="B152">
        <f t="shared" si="24"/>
        <v>151</v>
      </c>
      <c r="C152">
        <v>0.11115593223805043</v>
      </c>
      <c r="D152">
        <f t="shared" si="18"/>
        <v>10.758493411490107</v>
      </c>
      <c r="E152">
        <f t="shared" si="25"/>
        <v>10.758493411490107</v>
      </c>
      <c r="F152">
        <f t="shared" si="26"/>
        <v>0.11433613299204276</v>
      </c>
      <c r="G152">
        <f t="shared" si="19"/>
        <v>10.301148879521936</v>
      </c>
      <c r="H152">
        <f t="shared" si="20"/>
        <v>-3.1802007539923349E-3</v>
      </c>
      <c r="I152">
        <f t="shared" si="21"/>
        <v>10.644157278498065</v>
      </c>
      <c r="P152" s="2">
        <v>26238</v>
      </c>
      <c r="Q152">
        <v>0.11115593223805043</v>
      </c>
      <c r="R152">
        <f t="shared" si="22"/>
        <v>0.11433613299204276</v>
      </c>
      <c r="S152">
        <f t="shared" si="23"/>
        <v>-3.1802007539923349E-3</v>
      </c>
      <c r="T152">
        <v>1.3628831055605861E-2</v>
      </c>
    </row>
    <row r="153" spans="2:20" x14ac:dyDescent="0.25">
      <c r="B153">
        <f t="shared" si="24"/>
        <v>152</v>
      </c>
      <c r="C153">
        <v>0.11455227735271745</v>
      </c>
      <c r="D153">
        <f t="shared" si="18"/>
        <v>10.873045688842826</v>
      </c>
      <c r="E153">
        <f t="shared" si="25"/>
        <v>10.873045688842826</v>
      </c>
      <c r="F153">
        <f t="shared" si="26"/>
        <v>0.11437936186417802</v>
      </c>
      <c r="G153">
        <f t="shared" si="19"/>
        <v>10.415528241386113</v>
      </c>
      <c r="H153">
        <f t="shared" si="20"/>
        <v>1.7291548853942684E-4</v>
      </c>
      <c r="I153">
        <f t="shared" si="21"/>
        <v>10.758666326978648</v>
      </c>
      <c r="P153" s="2">
        <v>26268</v>
      </c>
      <c r="Q153">
        <v>0.11455227735271745</v>
      </c>
      <c r="R153">
        <f t="shared" si="22"/>
        <v>0.11437936186417802</v>
      </c>
      <c r="S153">
        <f t="shared" si="23"/>
        <v>1.7291548853942684E-4</v>
      </c>
      <c r="T153">
        <v>1.4628599018860378E-2</v>
      </c>
    </row>
    <row r="154" spans="2:20" x14ac:dyDescent="0.25">
      <c r="B154">
        <f t="shared" si="24"/>
        <v>153</v>
      </c>
      <c r="C154">
        <v>0.11680381590384847</v>
      </c>
      <c r="D154">
        <f t="shared" si="18"/>
        <v>10.989849504746674</v>
      </c>
      <c r="E154">
        <f t="shared" si="25"/>
        <v>10.989849504746674</v>
      </c>
      <c r="F154">
        <f t="shared" si="26"/>
        <v>0.11486425267211225</v>
      </c>
      <c r="G154">
        <f t="shared" si="19"/>
        <v>10.530392494058225</v>
      </c>
      <c r="H154">
        <f t="shared" si="20"/>
        <v>1.9395632317362188E-3</v>
      </c>
      <c r="I154">
        <f t="shared" si="21"/>
        <v>10.874985252074563</v>
      </c>
      <c r="P154" s="2">
        <v>26299</v>
      </c>
      <c r="Q154">
        <v>0.11680381590384847</v>
      </c>
      <c r="R154">
        <f t="shared" si="22"/>
        <v>0.11486425267211225</v>
      </c>
      <c r="S154">
        <f t="shared" si="23"/>
        <v>1.9395632317362188E-3</v>
      </c>
      <c r="T154">
        <v>1.2232568435634583E-2</v>
      </c>
    </row>
    <row r="155" spans="2:20" x14ac:dyDescent="0.25">
      <c r="B155">
        <f t="shared" si="24"/>
        <v>154</v>
      </c>
      <c r="C155">
        <v>0.11930917101554517</v>
      </c>
      <c r="D155">
        <f t="shared" si="18"/>
        <v>11.10915867576222</v>
      </c>
      <c r="E155">
        <f t="shared" si="25"/>
        <v>11.10915867576222</v>
      </c>
      <c r="F155">
        <f t="shared" si="26"/>
        <v>0.11575323634079915</v>
      </c>
      <c r="G155">
        <f t="shared" si="19"/>
        <v>10.646145730399024</v>
      </c>
      <c r="H155">
        <f t="shared" si="20"/>
        <v>3.5559346747460197E-3</v>
      </c>
      <c r="I155">
        <f t="shared" si="21"/>
        <v>10.993405439421421</v>
      </c>
      <c r="P155" s="2">
        <v>26330</v>
      </c>
      <c r="Q155">
        <v>0.11930917101554517</v>
      </c>
      <c r="R155">
        <f t="shared" si="22"/>
        <v>0.11575323634079915</v>
      </c>
      <c r="S155">
        <f t="shared" si="23"/>
        <v>3.5559346747460197E-3</v>
      </c>
      <c r="T155">
        <v>1.3536585717533356E-2</v>
      </c>
    </row>
    <row r="156" spans="2:20" x14ac:dyDescent="0.25">
      <c r="B156">
        <f t="shared" si="24"/>
        <v>155</v>
      </c>
      <c r="C156">
        <v>0.11932724282393004</v>
      </c>
      <c r="D156">
        <f t="shared" si="18"/>
        <v>11.22848591858615</v>
      </c>
      <c r="E156">
        <f t="shared" si="25"/>
        <v>11.22848591858615</v>
      </c>
      <c r="F156">
        <f t="shared" si="26"/>
        <v>0.11646803763742533</v>
      </c>
      <c r="G156">
        <f t="shared" si="19"/>
        <v>10.762613768036449</v>
      </c>
      <c r="H156">
        <f t="shared" si="20"/>
        <v>2.8592051865047041E-3</v>
      </c>
      <c r="I156">
        <f t="shared" si="21"/>
        <v>11.112017880948725</v>
      </c>
      <c r="P156" s="2">
        <v>26359</v>
      </c>
      <c r="Q156">
        <v>0.11932724282393004</v>
      </c>
      <c r="R156">
        <f t="shared" si="22"/>
        <v>0.11646803763742533</v>
      </c>
      <c r="S156">
        <f t="shared" si="23"/>
        <v>2.8592051865047041E-3</v>
      </c>
      <c r="T156">
        <v>1.4544480981757424E-2</v>
      </c>
    </row>
    <row r="157" spans="2:20" x14ac:dyDescent="0.25">
      <c r="B157">
        <f t="shared" si="24"/>
        <v>156</v>
      </c>
      <c r="C157">
        <v>0.121795186755846</v>
      </c>
      <c r="D157">
        <f t="shared" si="18"/>
        <v>11.350281105341995</v>
      </c>
      <c r="E157">
        <f t="shared" si="25"/>
        <v>11.350281105341995</v>
      </c>
      <c r="F157">
        <f t="shared" si="26"/>
        <v>0.11753346746110936</v>
      </c>
      <c r="G157">
        <f t="shared" si="19"/>
        <v>10.880147235497558</v>
      </c>
      <c r="H157">
        <f t="shared" si="20"/>
        <v>4.261719294736635E-3</v>
      </c>
      <c r="I157">
        <f t="shared" si="21"/>
        <v>11.232747637880886</v>
      </c>
      <c r="P157" s="2">
        <v>26390</v>
      </c>
      <c r="Q157">
        <v>0.121795186755846</v>
      </c>
      <c r="R157">
        <f t="shared" si="22"/>
        <v>0.11753346746110936</v>
      </c>
      <c r="S157">
        <f t="shared" si="23"/>
        <v>4.261719294736635E-3</v>
      </c>
      <c r="T157">
        <v>1.3509155124076244E-2</v>
      </c>
    </row>
    <row r="158" spans="2:20" x14ac:dyDescent="0.25">
      <c r="B158">
        <f t="shared" si="24"/>
        <v>157</v>
      </c>
      <c r="C158">
        <v>0.12135289503065394</v>
      </c>
      <c r="D158">
        <f t="shared" si="18"/>
        <v>11.471634000372649</v>
      </c>
      <c r="E158">
        <f t="shared" si="25"/>
        <v>11.471634000372649</v>
      </c>
      <c r="F158">
        <f t="shared" si="26"/>
        <v>0.1182973529750182</v>
      </c>
      <c r="G158">
        <f t="shared" si="19"/>
        <v>10.998444588472577</v>
      </c>
      <c r="H158">
        <f t="shared" si="20"/>
        <v>3.0555420556357404E-3</v>
      </c>
      <c r="I158">
        <f t="shared" si="21"/>
        <v>11.353336647397631</v>
      </c>
      <c r="P158" s="2">
        <v>26420</v>
      </c>
      <c r="Q158">
        <v>0.12135289503065394</v>
      </c>
      <c r="R158">
        <f t="shared" si="22"/>
        <v>0.1182973529750182</v>
      </c>
      <c r="S158">
        <f t="shared" si="23"/>
        <v>3.0555420556357404E-3</v>
      </c>
      <c r="T158">
        <v>1.587603012503136E-2</v>
      </c>
    </row>
    <row r="159" spans="2:20" x14ac:dyDescent="0.25">
      <c r="B159">
        <f t="shared" si="24"/>
        <v>158</v>
      </c>
      <c r="C159">
        <v>0.11494650229584025</v>
      </c>
      <c r="D159">
        <f t="shared" si="18"/>
        <v>11.58658050266849</v>
      </c>
      <c r="E159">
        <f t="shared" si="25"/>
        <v>11.58658050266849</v>
      </c>
      <c r="F159">
        <f t="shared" si="26"/>
        <v>0.11762718283918261</v>
      </c>
      <c r="G159">
        <f t="shared" si="19"/>
        <v>11.116071771311759</v>
      </c>
      <c r="H159">
        <f t="shared" si="20"/>
        <v>-2.6806805433423619E-3</v>
      </c>
      <c r="I159">
        <f t="shared" si="21"/>
        <v>11.468953319829307</v>
      </c>
      <c r="P159" s="2">
        <v>26451</v>
      </c>
      <c r="Q159">
        <v>0.11494650229584025</v>
      </c>
      <c r="R159">
        <f t="shared" si="22"/>
        <v>0.11762718283918261</v>
      </c>
      <c r="S159">
        <f t="shared" si="23"/>
        <v>-2.6806805433423619E-3</v>
      </c>
      <c r="T159">
        <v>1.451502276965666E-2</v>
      </c>
    </row>
    <row r="160" spans="2:20" x14ac:dyDescent="0.25">
      <c r="B160">
        <f t="shared" si="24"/>
        <v>159</v>
      </c>
      <c r="C160">
        <v>0.10572854608582904</v>
      </c>
      <c r="D160">
        <f t="shared" si="18"/>
        <v>11.692309048754318</v>
      </c>
      <c r="E160">
        <f t="shared" si="25"/>
        <v>11.692309048754318</v>
      </c>
      <c r="F160">
        <f t="shared" si="26"/>
        <v>0.11524745548851173</v>
      </c>
      <c r="G160">
        <f t="shared" si="19"/>
        <v>11.23131922680027</v>
      </c>
      <c r="H160">
        <f t="shared" si="20"/>
        <v>-9.5189094026826848E-3</v>
      </c>
      <c r="I160">
        <f t="shared" si="21"/>
        <v>11.577061593265807</v>
      </c>
      <c r="P160" s="2">
        <v>26481</v>
      </c>
      <c r="Q160">
        <v>0.10572854608582904</v>
      </c>
      <c r="R160">
        <f t="shared" si="22"/>
        <v>0.11524745548851173</v>
      </c>
      <c r="S160">
        <f t="shared" si="23"/>
        <v>-9.5189094026826848E-3</v>
      </c>
      <c r="T160">
        <v>1.451502276965666E-2</v>
      </c>
    </row>
    <row r="161" spans="2:20" x14ac:dyDescent="0.25">
      <c r="B161">
        <f t="shared" si="24"/>
        <v>160</v>
      </c>
      <c r="C161">
        <v>0.1044527364703427</v>
      </c>
      <c r="D161">
        <f t="shared" si="18"/>
        <v>11.79676178522466</v>
      </c>
      <c r="E161">
        <f t="shared" si="25"/>
        <v>11.79676178522466</v>
      </c>
      <c r="F161">
        <f t="shared" si="26"/>
        <v>0.11308851168487806</v>
      </c>
      <c r="G161">
        <f t="shared" si="19"/>
        <v>11.344407738485149</v>
      </c>
      <c r="H161">
        <f t="shared" si="20"/>
        <v>-8.63577521453536E-3</v>
      </c>
      <c r="I161">
        <f t="shared" si="21"/>
        <v>11.683673273539782</v>
      </c>
      <c r="P161" s="2">
        <v>26512</v>
      </c>
      <c r="Q161">
        <v>0.1044527364703427</v>
      </c>
      <c r="R161">
        <f t="shared" si="22"/>
        <v>0.11308851168487806</v>
      </c>
      <c r="S161">
        <f t="shared" si="23"/>
        <v>-8.63577521453536E-3</v>
      </c>
      <c r="T161">
        <v>9.0986305867462036E-3</v>
      </c>
    </row>
    <row r="162" spans="2:20" x14ac:dyDescent="0.25">
      <c r="B162">
        <f t="shared" si="24"/>
        <v>161</v>
      </c>
      <c r="C162">
        <v>0.10646309607636528</v>
      </c>
      <c r="D162">
        <f t="shared" si="18"/>
        <v>11.903224881301025</v>
      </c>
      <c r="E162">
        <f t="shared" si="25"/>
        <v>11.903224881301025</v>
      </c>
      <c r="F162">
        <f t="shared" si="26"/>
        <v>0.11176342856317519</v>
      </c>
      <c r="G162">
        <f t="shared" si="19"/>
        <v>11.456171167048325</v>
      </c>
      <c r="H162">
        <f t="shared" si="20"/>
        <v>-5.3003324868099028E-3</v>
      </c>
      <c r="I162">
        <f t="shared" si="21"/>
        <v>11.791461452737849</v>
      </c>
      <c r="P162" s="2">
        <v>26543</v>
      </c>
      <c r="Q162">
        <v>0.10646309607636528</v>
      </c>
      <c r="R162">
        <f t="shared" si="22"/>
        <v>0.11176342856317519</v>
      </c>
      <c r="S162">
        <f t="shared" si="23"/>
        <v>-5.3003324868099028E-3</v>
      </c>
      <c r="T162">
        <v>9.0894414711746307E-3</v>
      </c>
    </row>
    <row r="163" spans="2:20" x14ac:dyDescent="0.25">
      <c r="B163">
        <f t="shared" si="24"/>
        <v>162</v>
      </c>
      <c r="C163">
        <v>0.10572059487914487</v>
      </c>
      <c r="D163">
        <f t="shared" si="18"/>
        <v>12.00894547618017</v>
      </c>
      <c r="E163">
        <f t="shared" si="25"/>
        <v>12.00894547618017</v>
      </c>
      <c r="F163">
        <f t="shared" si="26"/>
        <v>0.11055486182636898</v>
      </c>
      <c r="G163">
        <f t="shared" si="19"/>
        <v>11.566726028874694</v>
      </c>
      <c r="H163">
        <f t="shared" si="20"/>
        <v>-4.8342669472241084E-3</v>
      </c>
      <c r="I163">
        <f t="shared" si="21"/>
        <v>11.898390614353801</v>
      </c>
      <c r="P163" s="2">
        <v>26573</v>
      </c>
      <c r="Q163">
        <v>0.10572059487914487</v>
      </c>
      <c r="R163">
        <f t="shared" si="22"/>
        <v>0.11055486182636898</v>
      </c>
      <c r="S163">
        <f t="shared" si="23"/>
        <v>-4.8342669472241084E-3</v>
      </c>
      <c r="T163">
        <v>7.7376332220602251E-3</v>
      </c>
    </row>
    <row r="164" spans="2:20" x14ac:dyDescent="0.25">
      <c r="B164">
        <f t="shared" si="24"/>
        <v>163</v>
      </c>
      <c r="C164">
        <v>9.6566198391051294E-2</v>
      </c>
      <c r="D164">
        <f t="shared" si="18"/>
        <v>12.105511674571222</v>
      </c>
      <c r="E164">
        <f t="shared" si="25"/>
        <v>12.105511674571222</v>
      </c>
      <c r="F164">
        <f t="shared" si="26"/>
        <v>0.10775712913930563</v>
      </c>
      <c r="G164">
        <f t="shared" si="19"/>
        <v>11.674483158013999</v>
      </c>
      <c r="H164">
        <f t="shared" si="20"/>
        <v>-1.1190930748254335E-2</v>
      </c>
      <c r="I164">
        <f t="shared" si="21"/>
        <v>11.997754545431917</v>
      </c>
      <c r="P164" s="2">
        <v>26604</v>
      </c>
      <c r="Q164">
        <v>9.6566198391051294E-2</v>
      </c>
      <c r="R164">
        <f t="shared" si="22"/>
        <v>0.10775712913930563</v>
      </c>
      <c r="S164">
        <f t="shared" si="23"/>
        <v>-1.1190930748254335E-2</v>
      </c>
      <c r="T164">
        <v>1.2443409254169424E-2</v>
      </c>
    </row>
    <row r="165" spans="2:20" x14ac:dyDescent="0.25">
      <c r="B165">
        <f t="shared" si="24"/>
        <v>164</v>
      </c>
      <c r="C165">
        <v>8.7271522672678792E-2</v>
      </c>
      <c r="D165">
        <f t="shared" si="18"/>
        <v>12.192783197243902</v>
      </c>
      <c r="E165">
        <f t="shared" si="25"/>
        <v>12.192783197243902</v>
      </c>
      <c r="F165">
        <f t="shared" si="26"/>
        <v>0.10366000784598058</v>
      </c>
      <c r="G165">
        <f t="shared" si="19"/>
        <v>11.77814316585998</v>
      </c>
      <c r="H165">
        <f t="shared" si="20"/>
        <v>-1.6388485173301784E-2</v>
      </c>
      <c r="I165">
        <f t="shared" si="21"/>
        <v>12.08912318939792</v>
      </c>
      <c r="P165" s="2">
        <v>26634</v>
      </c>
      <c r="Q165">
        <v>8.7271522672678792E-2</v>
      </c>
      <c r="R165">
        <f t="shared" si="22"/>
        <v>0.10366000784598058</v>
      </c>
      <c r="S165">
        <f t="shared" si="23"/>
        <v>-1.6388485173301784E-2</v>
      </c>
      <c r="T165">
        <v>1.1083236877982294E-2</v>
      </c>
    </row>
    <row r="166" spans="2:20" x14ac:dyDescent="0.25">
      <c r="B166">
        <f t="shared" si="24"/>
        <v>165</v>
      </c>
      <c r="C166">
        <v>7.545615712343956E-2</v>
      </c>
      <c r="D166">
        <f t="shared" si="18"/>
        <v>12.268239354367342</v>
      </c>
      <c r="E166">
        <f t="shared" si="25"/>
        <v>12.268239354367342</v>
      </c>
      <c r="F166">
        <f t="shared" si="26"/>
        <v>9.8019237701472417E-2</v>
      </c>
      <c r="G166">
        <f t="shared" si="19"/>
        <v>11.876162403561452</v>
      </c>
      <c r="H166">
        <f t="shared" si="20"/>
        <v>-2.2563080578032857E-2</v>
      </c>
      <c r="I166">
        <f t="shared" si="21"/>
        <v>12.17022011666587</v>
      </c>
      <c r="P166" s="2">
        <v>26665</v>
      </c>
      <c r="Q166">
        <v>7.545615712343956E-2</v>
      </c>
      <c r="R166">
        <f t="shared" si="22"/>
        <v>9.8019237701472417E-2</v>
      </c>
      <c r="S166">
        <f t="shared" si="23"/>
        <v>-2.2563080578032857E-2</v>
      </c>
      <c r="T166">
        <v>1.2418350560951641E-2</v>
      </c>
    </row>
    <row r="167" spans="2:20" x14ac:dyDescent="0.25">
      <c r="B167">
        <f t="shared" si="24"/>
        <v>166</v>
      </c>
      <c r="C167">
        <v>6.8391174003978428E-2</v>
      </c>
      <c r="D167">
        <f t="shared" si="18"/>
        <v>12.33663052837132</v>
      </c>
      <c r="E167">
        <f t="shared" si="25"/>
        <v>12.33663052837132</v>
      </c>
      <c r="F167">
        <f t="shared" si="26"/>
        <v>9.2093624961973583E-2</v>
      </c>
      <c r="G167">
        <f t="shared" si="19"/>
        <v>11.968256028523426</v>
      </c>
      <c r="H167">
        <f t="shared" si="20"/>
        <v>-2.3702450957995155E-2</v>
      </c>
      <c r="I167">
        <f t="shared" si="21"/>
        <v>12.244536903409346</v>
      </c>
      <c r="P167" s="2">
        <v>26696</v>
      </c>
      <c r="Q167">
        <v>6.8391174003978428E-2</v>
      </c>
      <c r="R167">
        <f t="shared" si="22"/>
        <v>9.2093624961973583E-2</v>
      </c>
      <c r="S167">
        <f t="shared" si="23"/>
        <v>-2.3702450957995155E-2</v>
      </c>
      <c r="T167">
        <v>7.7013606828129078E-3</v>
      </c>
    </row>
    <row r="168" spans="2:20" x14ac:dyDescent="0.25">
      <c r="B168">
        <f t="shared" si="24"/>
        <v>167</v>
      </c>
      <c r="C168">
        <v>6.6983885012854572E-2</v>
      </c>
      <c r="D168">
        <f t="shared" si="18"/>
        <v>12.403614413384174</v>
      </c>
      <c r="E168">
        <f t="shared" si="25"/>
        <v>12.403614413384174</v>
      </c>
      <c r="F168">
        <f t="shared" si="26"/>
        <v>8.7071676972149709E-2</v>
      </c>
      <c r="G168">
        <f t="shared" si="19"/>
        <v>12.055327705495575</v>
      </c>
      <c r="H168">
        <f t="shared" si="20"/>
        <v>-2.0087791959295137E-2</v>
      </c>
      <c r="I168">
        <f t="shared" si="21"/>
        <v>12.316542736412025</v>
      </c>
      <c r="P168" s="2">
        <v>26724</v>
      </c>
      <c r="Q168">
        <v>6.6983885012854572E-2</v>
      </c>
      <c r="R168">
        <f t="shared" si="22"/>
        <v>8.7071676972149709E-2</v>
      </c>
      <c r="S168">
        <f t="shared" si="23"/>
        <v>-2.0087791959295137E-2</v>
      </c>
      <c r="T168">
        <v>6.6934654185888398E-3</v>
      </c>
    </row>
    <row r="169" spans="2:20" x14ac:dyDescent="0.25">
      <c r="B169">
        <f t="shared" si="24"/>
        <v>168</v>
      </c>
      <c r="C169">
        <v>6.4203490572637634E-2</v>
      </c>
      <c r="D169">
        <f t="shared" si="18"/>
        <v>12.467817903956812</v>
      </c>
      <c r="E169">
        <f t="shared" si="25"/>
        <v>12.467817903956812</v>
      </c>
      <c r="F169">
        <f t="shared" si="26"/>
        <v>8.2498039692247366E-2</v>
      </c>
      <c r="G169">
        <f t="shared" si="19"/>
        <v>12.137825745187822</v>
      </c>
      <c r="H169">
        <f t="shared" si="20"/>
        <v>-1.8294549119609732E-2</v>
      </c>
      <c r="I169">
        <f t="shared" si="21"/>
        <v>12.385319864264565</v>
      </c>
      <c r="P169" s="2">
        <v>26755</v>
      </c>
      <c r="Q169">
        <v>6.4203490572637634E-2</v>
      </c>
      <c r="R169">
        <f t="shared" si="22"/>
        <v>8.2498039692247366E-2</v>
      </c>
      <c r="S169">
        <f t="shared" si="23"/>
        <v>-1.8294549119609732E-2</v>
      </c>
      <c r="T169">
        <v>6.6867517622957173E-3</v>
      </c>
    </row>
    <row r="170" spans="2:20" x14ac:dyDescent="0.25">
      <c r="B170">
        <f t="shared" si="24"/>
        <v>169</v>
      </c>
      <c r="C170">
        <v>5.9178941713718736E-2</v>
      </c>
      <c r="D170">
        <f t="shared" si="18"/>
        <v>12.526996845670531</v>
      </c>
      <c r="E170">
        <f t="shared" si="25"/>
        <v>12.526996845670531</v>
      </c>
      <c r="F170">
        <f t="shared" si="26"/>
        <v>7.7834220096541895E-2</v>
      </c>
      <c r="G170">
        <f t="shared" si="19"/>
        <v>12.215659965284363</v>
      </c>
      <c r="H170">
        <f t="shared" si="20"/>
        <v>-1.8655278382823159E-2</v>
      </c>
      <c r="I170">
        <f t="shared" si="21"/>
        <v>12.44916262557399</v>
      </c>
      <c r="P170" s="2">
        <v>26785</v>
      </c>
      <c r="Q170">
        <v>5.9178941713718736E-2</v>
      </c>
      <c r="R170">
        <f t="shared" si="22"/>
        <v>7.7834220096541895E-2</v>
      </c>
      <c r="S170">
        <f t="shared" si="23"/>
        <v>-1.8655278382823159E-2</v>
      </c>
      <c r="T170">
        <v>6.6800515603735455E-3</v>
      </c>
    </row>
    <row r="171" spans="2:20" x14ac:dyDescent="0.25">
      <c r="B171">
        <f t="shared" si="24"/>
        <v>170</v>
      </c>
      <c r="C171">
        <v>5.9721014917901272E-2</v>
      </c>
      <c r="D171">
        <f t="shared" si="18"/>
        <v>12.586717860588433</v>
      </c>
      <c r="E171">
        <f t="shared" si="25"/>
        <v>12.586717860588433</v>
      </c>
      <c r="F171">
        <f t="shared" si="26"/>
        <v>7.4211579060813909E-2</v>
      </c>
      <c r="G171">
        <f t="shared" si="19"/>
        <v>12.289871544345177</v>
      </c>
      <c r="H171">
        <f t="shared" si="20"/>
        <v>-1.4490564142912638E-2</v>
      </c>
      <c r="I171">
        <f t="shared" si="21"/>
        <v>12.512506281527619</v>
      </c>
      <c r="P171" s="2">
        <v>26816</v>
      </c>
      <c r="Q171">
        <v>5.9721014917901272E-2</v>
      </c>
      <c r="R171">
        <f t="shared" si="22"/>
        <v>7.4211579060813909E-2</v>
      </c>
      <c r="S171">
        <f t="shared" si="23"/>
        <v>-1.4490564142912638E-2</v>
      </c>
      <c r="T171">
        <v>9.0075671580822636E-3</v>
      </c>
    </row>
    <row r="172" spans="2:20" x14ac:dyDescent="0.25">
      <c r="B172">
        <f t="shared" si="24"/>
        <v>171</v>
      </c>
      <c r="C172">
        <v>6.5052003903113942E-2</v>
      </c>
      <c r="D172">
        <f t="shared" si="18"/>
        <v>12.651769864491547</v>
      </c>
      <c r="E172">
        <f t="shared" si="25"/>
        <v>12.651769864491547</v>
      </c>
      <c r="F172">
        <f t="shared" si="26"/>
        <v>7.2379664029273982E-2</v>
      </c>
      <c r="G172">
        <f t="shared" si="19"/>
        <v>12.362251208374451</v>
      </c>
      <c r="H172">
        <f t="shared" si="20"/>
        <v>-7.3276601261600405E-3</v>
      </c>
      <c r="I172">
        <f t="shared" si="21"/>
        <v>12.579390200462273</v>
      </c>
      <c r="P172" s="2">
        <v>26846</v>
      </c>
      <c r="Q172">
        <v>6.5052003903113942E-2</v>
      </c>
      <c r="R172">
        <f t="shared" si="22"/>
        <v>7.2379664029273982E-2</v>
      </c>
      <c r="S172">
        <f t="shared" si="23"/>
        <v>-7.3276601261600405E-3</v>
      </c>
      <c r="T172">
        <v>1.0998277835409631E-2</v>
      </c>
    </row>
    <row r="173" spans="2:20" x14ac:dyDescent="0.25">
      <c r="B173">
        <f t="shared" si="24"/>
        <v>172</v>
      </c>
      <c r="C173">
        <v>6.2882582082319338E-2</v>
      </c>
      <c r="D173">
        <f t="shared" si="18"/>
        <v>12.714652446573865</v>
      </c>
      <c r="E173">
        <f t="shared" si="25"/>
        <v>12.714652446573865</v>
      </c>
      <c r="F173">
        <f t="shared" si="26"/>
        <v>7.0480247639882879E-2</v>
      </c>
      <c r="G173">
        <f t="shared" si="19"/>
        <v>12.432731456014334</v>
      </c>
      <c r="H173">
        <f t="shared" si="20"/>
        <v>-7.5976655575635405E-3</v>
      </c>
      <c r="I173">
        <f t="shared" si="21"/>
        <v>12.644172198933981</v>
      </c>
      <c r="P173" s="2">
        <v>26877</v>
      </c>
      <c r="Q173">
        <v>6.2882582082319338E-2</v>
      </c>
      <c r="R173">
        <f t="shared" si="22"/>
        <v>7.0480247639882879E-2</v>
      </c>
      <c r="S173">
        <f t="shared" si="23"/>
        <v>-7.5976655575635405E-3</v>
      </c>
      <c r="T173">
        <v>1.3329087708600529E-2</v>
      </c>
    </row>
    <row r="174" spans="2:20" x14ac:dyDescent="0.25">
      <c r="B174">
        <f t="shared" si="24"/>
        <v>173</v>
      </c>
      <c r="C174">
        <v>5.6203811171207541E-2</v>
      </c>
      <c r="D174">
        <f t="shared" si="18"/>
        <v>12.770856257745073</v>
      </c>
      <c r="E174">
        <f t="shared" si="25"/>
        <v>12.770856257745073</v>
      </c>
      <c r="F174">
        <f t="shared" si="26"/>
        <v>6.7624960346147844E-2</v>
      </c>
      <c r="G174">
        <f t="shared" si="19"/>
        <v>12.500356416360482</v>
      </c>
      <c r="H174">
        <f t="shared" si="20"/>
        <v>-1.1421149174940304E-2</v>
      </c>
      <c r="I174">
        <f t="shared" si="21"/>
        <v>12.703231297398926</v>
      </c>
      <c r="P174" s="2">
        <v>26908</v>
      </c>
      <c r="Q174">
        <v>5.6203811171207541E-2</v>
      </c>
      <c r="R174">
        <f t="shared" si="22"/>
        <v>6.7624960346147844E-2</v>
      </c>
      <c r="S174">
        <f t="shared" si="23"/>
        <v>-1.1421149174940304E-2</v>
      </c>
      <c r="T174">
        <v>1.3315775975772048E-2</v>
      </c>
    </row>
    <row r="175" spans="2:20" x14ac:dyDescent="0.25">
      <c r="B175">
        <f t="shared" si="24"/>
        <v>174</v>
      </c>
      <c r="C175">
        <v>5.2025055865972725E-2</v>
      </c>
      <c r="D175">
        <f t="shared" si="18"/>
        <v>12.822881313611045</v>
      </c>
      <c r="E175">
        <f t="shared" si="25"/>
        <v>12.822881313611045</v>
      </c>
      <c r="F175">
        <f t="shared" si="26"/>
        <v>6.4504979450112646E-2</v>
      </c>
      <c r="G175">
        <f t="shared" si="19"/>
        <v>12.564861395810595</v>
      </c>
      <c r="H175">
        <f t="shared" si="20"/>
        <v>-1.2479923584139921E-2</v>
      </c>
      <c r="I175">
        <f t="shared" si="21"/>
        <v>12.758376334160932</v>
      </c>
      <c r="P175" s="2">
        <v>26938</v>
      </c>
      <c r="Q175">
        <v>5.2025055865972725E-2</v>
      </c>
      <c r="R175">
        <f t="shared" si="22"/>
        <v>6.4504979450112646E-2</v>
      </c>
      <c r="S175">
        <f t="shared" si="23"/>
        <v>-1.2479923584139921E-2</v>
      </c>
      <c r="T175">
        <v>1.2323220063020113E-2</v>
      </c>
    </row>
    <row r="176" spans="2:20" x14ac:dyDescent="0.25">
      <c r="B176">
        <f t="shared" si="24"/>
        <v>175</v>
      </c>
      <c r="C176">
        <v>5.2285031981007535E-2</v>
      </c>
      <c r="D176">
        <f t="shared" si="18"/>
        <v>12.875166345592053</v>
      </c>
      <c r="E176">
        <f t="shared" si="25"/>
        <v>12.875166345592053</v>
      </c>
      <c r="F176">
        <f t="shared" si="26"/>
        <v>6.206098995629148E-2</v>
      </c>
      <c r="G176">
        <f t="shared" si="19"/>
        <v>12.626922385766887</v>
      </c>
      <c r="H176">
        <f t="shared" si="20"/>
        <v>-9.7759579752839457E-3</v>
      </c>
      <c r="I176">
        <f t="shared" si="21"/>
        <v>12.813105355635761</v>
      </c>
      <c r="P176" s="2">
        <v>26969</v>
      </c>
      <c r="Q176">
        <v>5.2285031981007535E-2</v>
      </c>
      <c r="R176">
        <f t="shared" si="22"/>
        <v>6.206098995629148E-2</v>
      </c>
      <c r="S176">
        <f t="shared" si="23"/>
        <v>-9.7759579752839457E-3</v>
      </c>
      <c r="T176">
        <v>9.9768037383167751E-3</v>
      </c>
    </row>
    <row r="177" spans="2:20" x14ac:dyDescent="0.25">
      <c r="B177">
        <f t="shared" si="24"/>
        <v>176</v>
      </c>
      <c r="C177">
        <v>5.2597879383993629E-2</v>
      </c>
      <c r="D177">
        <f t="shared" si="18"/>
        <v>12.927764224976046</v>
      </c>
      <c r="E177">
        <f t="shared" si="25"/>
        <v>12.927764224976046</v>
      </c>
      <c r="F177">
        <f t="shared" si="26"/>
        <v>6.0168367841831841E-2</v>
      </c>
      <c r="G177">
        <f t="shared" si="19"/>
        <v>12.68709075360872</v>
      </c>
      <c r="H177">
        <f t="shared" si="20"/>
        <v>-7.570488457838212E-3</v>
      </c>
      <c r="I177">
        <f t="shared" si="21"/>
        <v>12.867595857134214</v>
      </c>
      <c r="P177" s="2">
        <v>26999</v>
      </c>
      <c r="Q177">
        <v>5.2597879383993629E-2</v>
      </c>
      <c r="R177">
        <f t="shared" si="22"/>
        <v>6.0168367841831841E-2</v>
      </c>
      <c r="S177">
        <f t="shared" si="23"/>
        <v>-7.570488457838212E-3</v>
      </c>
      <c r="T177">
        <v>1.1292049577765528E-2</v>
      </c>
    </row>
    <row r="178" spans="2:20" x14ac:dyDescent="0.25">
      <c r="B178">
        <f t="shared" si="24"/>
        <v>177</v>
      </c>
      <c r="C178">
        <v>5.6290912949499727E-2</v>
      </c>
      <c r="D178">
        <f t="shared" si="18"/>
        <v>12.984055137925546</v>
      </c>
      <c r="E178">
        <f t="shared" si="25"/>
        <v>12.984055137925546</v>
      </c>
      <c r="F178">
        <f t="shared" si="26"/>
        <v>5.9392876863365279E-2</v>
      </c>
      <c r="G178">
        <f t="shared" si="19"/>
        <v>12.746483630472085</v>
      </c>
      <c r="H178">
        <f t="shared" si="20"/>
        <v>-3.1019639138655519E-3</v>
      </c>
      <c r="I178">
        <f t="shared" si="21"/>
        <v>12.924662261062181</v>
      </c>
      <c r="P178" s="2">
        <v>27030</v>
      </c>
      <c r="Q178">
        <v>5.6290912949499727E-2</v>
      </c>
      <c r="R178">
        <f t="shared" si="22"/>
        <v>5.9392876863365279E-2</v>
      </c>
      <c r="S178">
        <f t="shared" si="23"/>
        <v>-3.1019639138655519E-3</v>
      </c>
      <c r="T178">
        <v>1.4569794156694904E-2</v>
      </c>
    </row>
    <row r="179" spans="2:20" x14ac:dyDescent="0.25">
      <c r="B179">
        <f t="shared" si="24"/>
        <v>178</v>
      </c>
      <c r="C179">
        <v>5.8430121162877491E-2</v>
      </c>
      <c r="D179">
        <f t="shared" si="18"/>
        <v>13.042485259088423</v>
      </c>
      <c r="E179">
        <f t="shared" si="25"/>
        <v>13.042485259088423</v>
      </c>
      <c r="F179">
        <f t="shared" si="26"/>
        <v>5.9200325723267611E-2</v>
      </c>
      <c r="G179">
        <f t="shared" si="19"/>
        <v>12.805683956195352</v>
      </c>
      <c r="H179">
        <f t="shared" si="20"/>
        <v>-7.7020456039011975E-4</v>
      </c>
      <c r="I179">
        <f t="shared" si="21"/>
        <v>12.983284933365155</v>
      </c>
      <c r="P179" s="2">
        <v>27061</v>
      </c>
      <c r="Q179">
        <v>5.8430121162877491E-2</v>
      </c>
      <c r="R179">
        <f t="shared" si="22"/>
        <v>5.9200325723267611E-2</v>
      </c>
      <c r="S179">
        <f t="shared" si="23"/>
        <v>-7.7020456039011975E-4</v>
      </c>
      <c r="T179">
        <v>1.3254004493175042E-2</v>
      </c>
    </row>
    <row r="180" spans="2:20" x14ac:dyDescent="0.25">
      <c r="B180">
        <f t="shared" si="24"/>
        <v>179</v>
      </c>
      <c r="C180">
        <v>5.689660289213716E-2</v>
      </c>
      <c r="D180">
        <f t="shared" ref="D180:D243" si="27">D179 +C180</f>
        <v>13.099381861980561</v>
      </c>
      <c r="E180">
        <f t="shared" si="25"/>
        <v>13.099381861980561</v>
      </c>
      <c r="F180">
        <f t="shared" si="26"/>
        <v>5.8739581157041698E-2</v>
      </c>
      <c r="G180">
        <f t="shared" ref="G180:G243" si="28">G179 + F180</f>
        <v>12.864423537352394</v>
      </c>
      <c r="H180">
        <f t="shared" ref="H180:H243" si="29">C180-F180</f>
        <v>-1.8429782649045379E-3</v>
      </c>
      <c r="I180">
        <f t="shared" ref="I180:I243" si="30">E180-F180</f>
        <v>13.040642280823519</v>
      </c>
      <c r="P180" s="2">
        <v>27089</v>
      </c>
      <c r="Q180">
        <v>5.689660289213716E-2</v>
      </c>
      <c r="R180">
        <f t="shared" ref="R180:R243" si="31">F180</f>
        <v>5.8739581157041698E-2</v>
      </c>
      <c r="S180">
        <f t="shared" ref="S180:S243" si="32">H180</f>
        <v>-1.8429782649045379E-3</v>
      </c>
      <c r="T180">
        <v>1.3254004493175042E-2</v>
      </c>
    </row>
    <row r="181" spans="2:20" x14ac:dyDescent="0.25">
      <c r="B181">
        <f t="shared" si="24"/>
        <v>180</v>
      </c>
      <c r="C181">
        <v>5.3039285330345187E-2</v>
      </c>
      <c r="D181">
        <f t="shared" si="27"/>
        <v>13.152421147310907</v>
      </c>
      <c r="E181">
        <f t="shared" si="25"/>
        <v>13.152421147310907</v>
      </c>
      <c r="F181">
        <f t="shared" si="26"/>
        <v>5.7599521991702575E-2</v>
      </c>
      <c r="G181">
        <f t="shared" si="28"/>
        <v>12.922023059344097</v>
      </c>
      <c r="H181">
        <f t="shared" si="29"/>
        <v>-4.5602366613573878E-3</v>
      </c>
      <c r="I181">
        <f t="shared" si="30"/>
        <v>13.094821625319204</v>
      </c>
      <c r="P181" s="2">
        <v>27120</v>
      </c>
      <c r="Q181">
        <v>5.3039285330345187E-2</v>
      </c>
      <c r="R181">
        <f t="shared" si="31"/>
        <v>5.7599521991702575E-2</v>
      </c>
      <c r="S181">
        <f t="shared" si="32"/>
        <v>-4.5602366613573878E-3</v>
      </c>
      <c r="T181">
        <v>1.2253837715351157E-2</v>
      </c>
    </row>
    <row r="182" spans="2:20" x14ac:dyDescent="0.25">
      <c r="B182">
        <f t="shared" si="24"/>
        <v>181</v>
      </c>
      <c r="C182">
        <v>5.2786885880337309E-2</v>
      </c>
      <c r="D182">
        <f t="shared" si="27"/>
        <v>13.205208033191244</v>
      </c>
      <c r="E182">
        <f t="shared" si="25"/>
        <v>13.205208033191244</v>
      </c>
      <c r="F182">
        <f t="shared" si="26"/>
        <v>5.6636994769429454E-2</v>
      </c>
      <c r="G182">
        <f t="shared" si="28"/>
        <v>12.978660054113526</v>
      </c>
      <c r="H182">
        <f t="shared" si="29"/>
        <v>-3.850108889092145E-3</v>
      </c>
      <c r="I182">
        <f t="shared" si="30"/>
        <v>13.148571038421816</v>
      </c>
      <c r="P182" s="2">
        <v>27150</v>
      </c>
      <c r="Q182">
        <v>5.2786885880337309E-2</v>
      </c>
      <c r="R182">
        <f t="shared" si="31"/>
        <v>5.6636994769429454E-2</v>
      </c>
      <c r="S182">
        <f t="shared" si="32"/>
        <v>-3.850108889092145E-3</v>
      </c>
      <c r="T182">
        <v>1.3227706097551195E-2</v>
      </c>
    </row>
    <row r="183" spans="2:20" x14ac:dyDescent="0.25">
      <c r="B183">
        <f t="shared" si="24"/>
        <v>182</v>
      </c>
      <c r="C183">
        <v>5.6135751161940028E-2</v>
      </c>
      <c r="D183">
        <f t="shared" si="27"/>
        <v>13.261343784353183</v>
      </c>
      <c r="E183">
        <f t="shared" si="25"/>
        <v>13.261343784353183</v>
      </c>
      <c r="F183">
        <f t="shared" si="26"/>
        <v>5.6536746047931533E-2</v>
      </c>
      <c r="G183">
        <f t="shared" si="28"/>
        <v>13.035196800161458</v>
      </c>
      <c r="H183">
        <f t="shared" si="29"/>
        <v>-4.0099488599150412E-4</v>
      </c>
      <c r="I183">
        <f t="shared" si="30"/>
        <v>13.204807038305251</v>
      </c>
      <c r="P183" s="2">
        <v>27181</v>
      </c>
      <c r="Q183">
        <v>5.6135751161940028E-2</v>
      </c>
      <c r="R183">
        <f t="shared" si="31"/>
        <v>5.6536746047931533E-2</v>
      </c>
      <c r="S183">
        <f t="shared" si="32"/>
        <v>-4.0099488599150412E-4</v>
      </c>
      <c r="T183">
        <v>1.221338832480301E-2</v>
      </c>
    </row>
    <row r="184" spans="2:20" x14ac:dyDescent="0.25">
      <c r="B184">
        <f t="shared" si="24"/>
        <v>183</v>
      </c>
      <c r="C184">
        <v>6.1185589940445873E-2</v>
      </c>
      <c r="D184">
        <f t="shared" si="27"/>
        <v>13.32252937429363</v>
      </c>
      <c r="E184">
        <f t="shared" si="25"/>
        <v>13.32252937429363</v>
      </c>
      <c r="F184">
        <f t="shared" si="26"/>
        <v>5.7466514826434438E-2</v>
      </c>
      <c r="G184">
        <f t="shared" si="28"/>
        <v>13.092663314987892</v>
      </c>
      <c r="H184">
        <f t="shared" si="29"/>
        <v>3.7190751140114345E-3</v>
      </c>
      <c r="I184">
        <f t="shared" si="30"/>
        <v>13.265062859467196</v>
      </c>
      <c r="P184" s="2">
        <v>27211</v>
      </c>
      <c r="Q184">
        <v>6.1185589940445873E-2</v>
      </c>
      <c r="R184">
        <f t="shared" si="31"/>
        <v>5.7466514826434438E-2</v>
      </c>
      <c r="S184">
        <f t="shared" si="32"/>
        <v>3.7190751140114345E-3</v>
      </c>
      <c r="T184">
        <v>1.1206445557608191E-2</v>
      </c>
    </row>
    <row r="185" spans="2:20" x14ac:dyDescent="0.25">
      <c r="B185">
        <f t="shared" si="24"/>
        <v>184</v>
      </c>
      <c r="C185">
        <v>6.8832473700097374E-2</v>
      </c>
      <c r="D185">
        <f t="shared" si="27"/>
        <v>13.391361847993728</v>
      </c>
      <c r="E185">
        <f t="shared" si="25"/>
        <v>13.391361847993728</v>
      </c>
      <c r="F185">
        <f t="shared" si="26"/>
        <v>5.9739706601167342E-2</v>
      </c>
      <c r="G185">
        <f t="shared" si="28"/>
        <v>13.152403021589059</v>
      </c>
      <c r="H185">
        <f t="shared" si="29"/>
        <v>9.0927670989300324E-3</v>
      </c>
      <c r="I185">
        <f t="shared" si="30"/>
        <v>13.331622141392561</v>
      </c>
      <c r="P185" s="2">
        <v>27242</v>
      </c>
      <c r="Q185">
        <v>6.8832473700097374E-2</v>
      </c>
      <c r="R185">
        <f t="shared" si="31"/>
        <v>5.9739706601167342E-2</v>
      </c>
      <c r="S185">
        <f t="shared" si="32"/>
        <v>9.0927670989300324E-3</v>
      </c>
      <c r="T185">
        <v>8.8977354198651604E-3</v>
      </c>
    </row>
    <row r="186" spans="2:20" x14ac:dyDescent="0.25">
      <c r="B186">
        <f t="shared" si="24"/>
        <v>185</v>
      </c>
      <c r="C186">
        <v>8.0482372480175535E-2</v>
      </c>
      <c r="D186">
        <f t="shared" si="27"/>
        <v>13.471844220473905</v>
      </c>
      <c r="E186">
        <f t="shared" si="25"/>
        <v>13.471844220473905</v>
      </c>
      <c r="F186">
        <f t="shared" si="26"/>
        <v>6.3888239776969155E-2</v>
      </c>
      <c r="G186">
        <f t="shared" si="28"/>
        <v>13.216291261366027</v>
      </c>
      <c r="H186">
        <f t="shared" si="29"/>
        <v>1.659413270320638E-2</v>
      </c>
      <c r="I186">
        <f t="shared" si="30"/>
        <v>13.407955980696936</v>
      </c>
      <c r="P186" s="2">
        <v>27273</v>
      </c>
      <c r="Q186">
        <v>8.0482372480175535E-2</v>
      </c>
      <c r="R186">
        <f t="shared" si="31"/>
        <v>6.3888239776969155E-2</v>
      </c>
      <c r="S186">
        <f t="shared" si="32"/>
        <v>1.659413270320638E-2</v>
      </c>
      <c r="T186">
        <v>8.8889474172457739E-3</v>
      </c>
    </row>
    <row r="187" spans="2:20" x14ac:dyDescent="0.25">
      <c r="B187">
        <f t="shared" si="24"/>
        <v>186</v>
      </c>
      <c r="C187">
        <v>9.2634634543991901E-2</v>
      </c>
      <c r="D187">
        <f t="shared" si="27"/>
        <v>13.564478855017896</v>
      </c>
      <c r="E187">
        <f t="shared" si="25"/>
        <v>13.564478855017896</v>
      </c>
      <c r="F187">
        <f t="shared" si="26"/>
        <v>6.9637518730373674E-2</v>
      </c>
      <c r="G187">
        <f t="shared" si="28"/>
        <v>13.285928780096402</v>
      </c>
      <c r="H187">
        <f t="shared" si="29"/>
        <v>2.2997115813618227E-2</v>
      </c>
      <c r="I187">
        <f t="shared" si="30"/>
        <v>13.494841336287521</v>
      </c>
      <c r="P187" s="2">
        <v>27303</v>
      </c>
      <c r="Q187">
        <v>9.2634634543991901E-2</v>
      </c>
      <c r="R187">
        <f t="shared" si="31"/>
        <v>6.9637518730373674E-2</v>
      </c>
      <c r="S187">
        <f t="shared" si="32"/>
        <v>2.2997115813618227E-2</v>
      </c>
      <c r="T187">
        <v>1.3153757558740597E-2</v>
      </c>
    </row>
    <row r="188" spans="2:20" x14ac:dyDescent="0.25">
      <c r="B188">
        <f t="shared" si="24"/>
        <v>187</v>
      </c>
      <c r="C188">
        <v>0.10102847743318666</v>
      </c>
      <c r="D188">
        <f t="shared" si="27"/>
        <v>13.665507332451082</v>
      </c>
      <c r="E188">
        <f t="shared" si="25"/>
        <v>13.665507332451082</v>
      </c>
      <c r="F188">
        <f t="shared" si="26"/>
        <v>7.5915710470935954E-2</v>
      </c>
      <c r="G188">
        <f t="shared" si="28"/>
        <v>13.361844490567337</v>
      </c>
      <c r="H188">
        <f t="shared" si="29"/>
        <v>2.5112766962250704E-2</v>
      </c>
      <c r="I188">
        <f t="shared" si="30"/>
        <v>13.589591621980146</v>
      </c>
      <c r="P188" s="2">
        <v>27334</v>
      </c>
      <c r="Q188">
        <v>0.10102847743318666</v>
      </c>
      <c r="R188">
        <f t="shared" si="31"/>
        <v>7.5915710470935954E-2</v>
      </c>
      <c r="S188">
        <f t="shared" si="32"/>
        <v>2.5112766962250704E-2</v>
      </c>
      <c r="T188">
        <v>1.5432911787051307E-2</v>
      </c>
    </row>
    <row r="189" spans="2:20" x14ac:dyDescent="0.25">
      <c r="B189">
        <f t="shared" si="24"/>
        <v>188</v>
      </c>
      <c r="C189">
        <v>0.10614066596111993</v>
      </c>
      <c r="D189">
        <f t="shared" si="27"/>
        <v>13.771647998412202</v>
      </c>
      <c r="E189">
        <f t="shared" si="25"/>
        <v>13.771647998412202</v>
      </c>
      <c r="F189">
        <f t="shared" si="26"/>
        <v>8.1960701568973005E-2</v>
      </c>
      <c r="G189">
        <f t="shared" si="28"/>
        <v>13.44380519213631</v>
      </c>
      <c r="H189">
        <f t="shared" si="29"/>
        <v>2.4179964392146924E-2</v>
      </c>
      <c r="I189">
        <f t="shared" si="30"/>
        <v>13.68968729684323</v>
      </c>
      <c r="P189" s="2">
        <v>27364</v>
      </c>
      <c r="Q189">
        <v>0.10614066596111993</v>
      </c>
      <c r="R189">
        <f t="shared" si="31"/>
        <v>8.1960701568973005E-2</v>
      </c>
      <c r="S189">
        <f t="shared" si="32"/>
        <v>2.4179964392146924E-2</v>
      </c>
      <c r="T189">
        <v>1.5402565683278802E-2</v>
      </c>
    </row>
    <row r="190" spans="2:20" x14ac:dyDescent="0.25">
      <c r="B190">
        <f t="shared" si="24"/>
        <v>189</v>
      </c>
      <c r="C190">
        <v>0.11035982392156907</v>
      </c>
      <c r="D190">
        <f t="shared" si="27"/>
        <v>13.882007822333772</v>
      </c>
      <c r="E190">
        <f t="shared" si="25"/>
        <v>13.882007822333772</v>
      </c>
      <c r="F190">
        <f t="shared" si="26"/>
        <v>8.7640526039492531E-2</v>
      </c>
      <c r="G190">
        <f t="shared" si="28"/>
        <v>13.531445718175803</v>
      </c>
      <c r="H190">
        <f t="shared" si="29"/>
        <v>2.2719297882076536E-2</v>
      </c>
      <c r="I190">
        <f t="shared" si="30"/>
        <v>13.794367296294279</v>
      </c>
      <c r="P190" s="2">
        <v>27395</v>
      </c>
      <c r="Q190">
        <v>0.11035982392156907</v>
      </c>
      <c r="R190">
        <f t="shared" si="31"/>
        <v>8.7640526039492531E-2</v>
      </c>
      <c r="S190">
        <f t="shared" si="32"/>
        <v>2.2719297882076536E-2</v>
      </c>
      <c r="T190">
        <v>9.8136214483246498E-3</v>
      </c>
    </row>
    <row r="191" spans="2:20" x14ac:dyDescent="0.25">
      <c r="B191">
        <f t="shared" si="24"/>
        <v>190</v>
      </c>
      <c r="C191">
        <v>0.11063038471914322</v>
      </c>
      <c r="D191">
        <f t="shared" si="27"/>
        <v>13.992638207052916</v>
      </c>
      <c r="E191">
        <f t="shared" si="25"/>
        <v>13.992638207052916</v>
      </c>
      <c r="F191">
        <f t="shared" si="26"/>
        <v>9.2238497775422701E-2</v>
      </c>
      <c r="G191">
        <f t="shared" si="28"/>
        <v>13.623684215951226</v>
      </c>
      <c r="H191">
        <f t="shared" si="29"/>
        <v>1.8391886943720515E-2</v>
      </c>
      <c r="I191">
        <f t="shared" si="30"/>
        <v>13.900399709277494</v>
      </c>
      <c r="P191" s="2">
        <v>27426</v>
      </c>
      <c r="Q191">
        <v>0.11063038471914322</v>
      </c>
      <c r="R191">
        <f t="shared" si="31"/>
        <v>9.2238497775422701E-2</v>
      </c>
      <c r="S191">
        <f t="shared" si="32"/>
        <v>1.8391886943720515E-2</v>
      </c>
      <c r="T191">
        <v>1.2105497084899941E-2</v>
      </c>
    </row>
    <row r="192" spans="2:20" x14ac:dyDescent="0.25">
      <c r="B192">
        <f t="shared" si="24"/>
        <v>191</v>
      </c>
      <c r="C192">
        <v>0.11379358628550929</v>
      </c>
      <c r="D192">
        <f t="shared" si="27"/>
        <v>14.106431793338427</v>
      </c>
      <c r="E192">
        <f t="shared" si="25"/>
        <v>14.106431793338427</v>
      </c>
      <c r="F192">
        <f t="shared" si="26"/>
        <v>9.6549515477440201E-2</v>
      </c>
      <c r="G192">
        <f t="shared" si="28"/>
        <v>13.720233731428666</v>
      </c>
      <c r="H192">
        <f t="shared" si="29"/>
        <v>1.7244070808069084E-2</v>
      </c>
      <c r="I192">
        <f t="shared" si="30"/>
        <v>14.009882277860987</v>
      </c>
      <c r="P192" s="2">
        <v>27454</v>
      </c>
      <c r="Q192">
        <v>0.11379358628550929</v>
      </c>
      <c r="R192">
        <f t="shared" si="31"/>
        <v>9.6549515477440201E-2</v>
      </c>
      <c r="S192">
        <f t="shared" si="32"/>
        <v>1.7244070808069084E-2</v>
      </c>
      <c r="T192">
        <v>1.3080631243106211E-2</v>
      </c>
    </row>
    <row r="193" spans="2:20" x14ac:dyDescent="0.25">
      <c r="B193">
        <f t="shared" si="24"/>
        <v>192</v>
      </c>
      <c r="C193">
        <v>0.1191000804970388</v>
      </c>
      <c r="D193">
        <f t="shared" si="27"/>
        <v>14.225531873835465</v>
      </c>
      <c r="E193">
        <f t="shared" si="25"/>
        <v>14.225531873835465</v>
      </c>
      <c r="F193">
        <f t="shared" si="26"/>
        <v>0.10105962848135981</v>
      </c>
      <c r="G193">
        <f t="shared" si="28"/>
        <v>13.821293359910026</v>
      </c>
      <c r="H193">
        <f t="shared" si="29"/>
        <v>1.8040452015678984E-2</v>
      </c>
      <c r="I193">
        <f t="shared" si="30"/>
        <v>14.124472245354104</v>
      </c>
      <c r="P193" s="2">
        <v>27485</v>
      </c>
      <c r="Q193">
        <v>0.1191000804970388</v>
      </c>
      <c r="R193">
        <f t="shared" si="31"/>
        <v>0.10105962848135981</v>
      </c>
      <c r="S193">
        <f t="shared" si="32"/>
        <v>1.8040452015678984E-2</v>
      </c>
      <c r="T193">
        <v>1.6324227988948614E-2</v>
      </c>
    </row>
    <row r="194" spans="2:20" x14ac:dyDescent="0.25">
      <c r="B194">
        <f t="shared" si="24"/>
        <v>193</v>
      </c>
      <c r="C194">
        <v>0.12463727306546701</v>
      </c>
      <c r="D194">
        <f t="shared" si="27"/>
        <v>14.350169146900932</v>
      </c>
      <c r="E194">
        <f t="shared" si="25"/>
        <v>14.350169146900932</v>
      </c>
      <c r="F194">
        <f t="shared" si="26"/>
        <v>0.10577515739818111</v>
      </c>
      <c r="G194">
        <f t="shared" si="28"/>
        <v>13.927068517308207</v>
      </c>
      <c r="H194">
        <f t="shared" si="29"/>
        <v>1.8862115667285906E-2</v>
      </c>
      <c r="I194">
        <f t="shared" si="30"/>
        <v>14.24439398950275</v>
      </c>
      <c r="P194" s="2">
        <v>27515</v>
      </c>
      <c r="Q194">
        <v>0.12463727306546701</v>
      </c>
      <c r="R194">
        <f t="shared" si="31"/>
        <v>0.10577515739818111</v>
      </c>
      <c r="S194">
        <f t="shared" si="32"/>
        <v>1.8862115667285906E-2</v>
      </c>
      <c r="T194">
        <v>1.6292312151434896E-2</v>
      </c>
    </row>
    <row r="195" spans="2:20" x14ac:dyDescent="0.25">
      <c r="B195">
        <f t="shared" si="24"/>
        <v>194</v>
      </c>
      <c r="C195">
        <v>0.12932443741707633</v>
      </c>
      <c r="D195">
        <f t="shared" si="27"/>
        <v>14.479493584318007</v>
      </c>
      <c r="E195">
        <f t="shared" si="25"/>
        <v>14.479493584318007</v>
      </c>
      <c r="F195">
        <f t="shared" si="26"/>
        <v>0.11048501340195999</v>
      </c>
      <c r="G195">
        <f t="shared" si="28"/>
        <v>14.037553530710166</v>
      </c>
      <c r="H195">
        <f t="shared" si="29"/>
        <v>1.8839424015116346E-2</v>
      </c>
      <c r="I195">
        <f t="shared" si="30"/>
        <v>14.369008570916048</v>
      </c>
      <c r="P195" s="2">
        <v>27546</v>
      </c>
      <c r="Q195">
        <v>0.12932443741707633</v>
      </c>
      <c r="R195">
        <f t="shared" si="31"/>
        <v>0.11048501340195999</v>
      </c>
      <c r="S195">
        <f t="shared" si="32"/>
        <v>1.8839424015116346E-2</v>
      </c>
      <c r="T195">
        <v>1.4009025325579572E-2</v>
      </c>
    </row>
    <row r="196" spans="2:20" x14ac:dyDescent="0.25">
      <c r="B196">
        <f t="shared" ref="B196:B259" si="33">B195+1</f>
        <v>195</v>
      </c>
      <c r="C196">
        <v>0.12675170563914406</v>
      </c>
      <c r="D196">
        <f t="shared" si="27"/>
        <v>14.606245289957151</v>
      </c>
      <c r="E196">
        <f t="shared" ref="E196:E259" si="34">D196</f>
        <v>14.606245289957151</v>
      </c>
      <c r="F196">
        <f t="shared" ref="F196:F259" si="35">$K$1*(E196-G195)</f>
        <v>0.11373835184939694</v>
      </c>
      <c r="G196">
        <f t="shared" si="28"/>
        <v>14.151291882559564</v>
      </c>
      <c r="H196">
        <f t="shared" si="29"/>
        <v>1.301335378974712E-2</v>
      </c>
      <c r="I196">
        <f t="shared" si="30"/>
        <v>14.492506938107754</v>
      </c>
      <c r="P196" s="2">
        <v>27576</v>
      </c>
      <c r="Q196">
        <v>0.12675170563914406</v>
      </c>
      <c r="R196">
        <f t="shared" si="31"/>
        <v>0.11373835184939694</v>
      </c>
      <c r="S196">
        <f t="shared" si="32"/>
        <v>1.301335378974712E-2</v>
      </c>
      <c r="T196">
        <v>1.3995346416341814E-2</v>
      </c>
    </row>
    <row r="197" spans="2:20" x14ac:dyDescent="0.25">
      <c r="B197">
        <f t="shared" si="33"/>
        <v>196</v>
      </c>
      <c r="C197">
        <v>0.1261251439901967</v>
      </c>
      <c r="D197">
        <f t="shared" si="27"/>
        <v>14.732370433947349</v>
      </c>
      <c r="E197">
        <f t="shared" si="34"/>
        <v>14.732370433947349</v>
      </c>
      <c r="F197">
        <f t="shared" si="35"/>
        <v>0.11621571027755701</v>
      </c>
      <c r="G197">
        <f t="shared" si="28"/>
        <v>14.26750759283712</v>
      </c>
      <c r="H197">
        <f t="shared" si="29"/>
        <v>9.9094337126396925E-3</v>
      </c>
      <c r="I197">
        <f t="shared" si="30"/>
        <v>14.616154723669792</v>
      </c>
      <c r="P197" s="2">
        <v>27607</v>
      </c>
      <c r="Q197">
        <v>0.1261251439901967</v>
      </c>
      <c r="R197">
        <f t="shared" si="31"/>
        <v>0.11621571027755701</v>
      </c>
      <c r="S197">
        <f t="shared" si="32"/>
        <v>9.9094337126396925E-3</v>
      </c>
      <c r="T197">
        <v>1.5302268312159306E-2</v>
      </c>
    </row>
    <row r="198" spans="2:20" x14ac:dyDescent="0.25">
      <c r="B198">
        <f t="shared" si="33"/>
        <v>197</v>
      </c>
      <c r="C198">
        <v>0.12312560940319806</v>
      </c>
      <c r="D198">
        <f t="shared" si="27"/>
        <v>14.855496043350547</v>
      </c>
      <c r="E198">
        <f t="shared" si="34"/>
        <v>14.855496043350547</v>
      </c>
      <c r="F198">
        <f t="shared" si="35"/>
        <v>0.11759769010268535</v>
      </c>
      <c r="G198">
        <f t="shared" si="28"/>
        <v>14.385105282939806</v>
      </c>
      <c r="H198">
        <f t="shared" si="29"/>
        <v>5.5279193005127042E-3</v>
      </c>
      <c r="I198">
        <f t="shared" si="30"/>
        <v>14.737898353247861</v>
      </c>
      <c r="P198" s="2">
        <v>27638</v>
      </c>
      <c r="Q198">
        <v>0.12312560940319806</v>
      </c>
      <c r="R198">
        <f t="shared" si="31"/>
        <v>0.11759769010268535</v>
      </c>
      <c r="S198">
        <f t="shared" si="32"/>
        <v>5.5279193005127042E-3</v>
      </c>
      <c r="T198">
        <v>1.5287336260144446E-2</v>
      </c>
    </row>
    <row r="199" spans="2:20" x14ac:dyDescent="0.25">
      <c r="B199">
        <f t="shared" si="33"/>
        <v>198</v>
      </c>
      <c r="C199">
        <v>0.11243821329802817</v>
      </c>
      <c r="D199">
        <f t="shared" si="27"/>
        <v>14.967934256648576</v>
      </c>
      <c r="E199">
        <f t="shared" si="34"/>
        <v>14.967934256648576</v>
      </c>
      <c r="F199">
        <f t="shared" si="35"/>
        <v>0.11656579474175395</v>
      </c>
      <c r="G199">
        <f t="shared" si="28"/>
        <v>14.501671077681561</v>
      </c>
      <c r="H199">
        <f t="shared" si="29"/>
        <v>-4.1275814437257835E-3</v>
      </c>
      <c r="I199">
        <f t="shared" si="30"/>
        <v>14.851368461906821</v>
      </c>
      <c r="P199" s="2">
        <v>27668</v>
      </c>
      <c r="Q199">
        <v>0.11243821329802817</v>
      </c>
      <c r="R199">
        <f t="shared" si="31"/>
        <v>0.11656579474175395</v>
      </c>
      <c r="S199">
        <f t="shared" si="32"/>
        <v>-4.1275814437257835E-3</v>
      </c>
      <c r="T199">
        <v>1.2982980155036739E-2</v>
      </c>
    </row>
    <row r="200" spans="2:20" x14ac:dyDescent="0.25">
      <c r="B200">
        <f t="shared" si="33"/>
        <v>199</v>
      </c>
      <c r="C200">
        <v>0.10799267559863157</v>
      </c>
      <c r="D200">
        <f t="shared" si="27"/>
        <v>15.075926932247206</v>
      </c>
      <c r="E200">
        <f t="shared" si="34"/>
        <v>15.075926932247206</v>
      </c>
      <c r="F200">
        <f t="shared" si="35"/>
        <v>0.11485117091312916</v>
      </c>
      <c r="G200">
        <f t="shared" si="28"/>
        <v>14.61652224859469</v>
      </c>
      <c r="H200">
        <f t="shared" si="29"/>
        <v>-6.8584953144975869E-3</v>
      </c>
      <c r="I200">
        <f t="shared" si="30"/>
        <v>14.961075761334078</v>
      </c>
      <c r="P200" s="2">
        <v>27699</v>
      </c>
      <c r="Q200">
        <v>0.10799267559863157</v>
      </c>
      <c r="R200">
        <f t="shared" si="31"/>
        <v>0.11485117091312916</v>
      </c>
      <c r="S200">
        <f t="shared" si="32"/>
        <v>-6.8584953144975869E-3</v>
      </c>
      <c r="T200">
        <v>1.0695289116747997E-2</v>
      </c>
    </row>
    <row r="201" spans="2:20" x14ac:dyDescent="0.25">
      <c r="B201">
        <f t="shared" si="33"/>
        <v>200</v>
      </c>
      <c r="C201">
        <v>0.11117209733395672</v>
      </c>
      <c r="D201">
        <f t="shared" si="27"/>
        <v>15.187099029581162</v>
      </c>
      <c r="E201">
        <f t="shared" si="34"/>
        <v>15.187099029581162</v>
      </c>
      <c r="F201">
        <f t="shared" si="35"/>
        <v>0.11411535619729457</v>
      </c>
      <c r="G201">
        <f t="shared" si="28"/>
        <v>14.730637604791983</v>
      </c>
      <c r="H201">
        <f t="shared" si="29"/>
        <v>-2.9432588633378498E-3</v>
      </c>
      <c r="I201">
        <f t="shared" si="30"/>
        <v>15.072983673383868</v>
      </c>
      <c r="P201" s="2">
        <v>27729</v>
      </c>
      <c r="Q201">
        <v>0.11117209733395672</v>
      </c>
      <c r="R201">
        <f t="shared" si="31"/>
        <v>0.11411535619729457</v>
      </c>
      <c r="S201">
        <f t="shared" si="32"/>
        <v>-2.9432588633378498E-3</v>
      </c>
      <c r="T201">
        <v>9.7088141269612294E-3</v>
      </c>
    </row>
    <row r="202" spans="2:20" x14ac:dyDescent="0.25">
      <c r="B202">
        <f t="shared" si="33"/>
        <v>201</v>
      </c>
      <c r="C202">
        <v>0.1136168074727939</v>
      </c>
      <c r="D202">
        <f t="shared" si="27"/>
        <v>15.300715837053957</v>
      </c>
      <c r="E202">
        <f t="shared" si="34"/>
        <v>15.300715837053957</v>
      </c>
      <c r="F202">
        <f t="shared" si="35"/>
        <v>0.11401564645239476</v>
      </c>
      <c r="G202">
        <f t="shared" si="28"/>
        <v>14.844653251244377</v>
      </c>
      <c r="H202">
        <f t="shared" si="29"/>
        <v>-3.9883897960085735E-4</v>
      </c>
      <c r="I202">
        <f t="shared" si="30"/>
        <v>15.186700190601563</v>
      </c>
      <c r="P202" s="2">
        <v>27760</v>
      </c>
      <c r="Q202">
        <v>0.1136168074727939</v>
      </c>
      <c r="R202">
        <f t="shared" si="31"/>
        <v>0.11401564645239476</v>
      </c>
      <c r="S202">
        <f t="shared" si="32"/>
        <v>-3.9883897960085735E-4</v>
      </c>
      <c r="T202">
        <v>1.1650617219975512E-2</v>
      </c>
    </row>
    <row r="203" spans="2:20" x14ac:dyDescent="0.25">
      <c r="B203">
        <f t="shared" si="33"/>
        <v>202</v>
      </c>
      <c r="C203">
        <v>0.1199854592115841</v>
      </c>
      <c r="D203">
        <f t="shared" si="27"/>
        <v>15.420701296265541</v>
      </c>
      <c r="E203">
        <f t="shared" si="34"/>
        <v>15.420701296265541</v>
      </c>
      <c r="F203">
        <f t="shared" si="35"/>
        <v>0.11520960900423277</v>
      </c>
      <c r="G203">
        <f t="shared" si="28"/>
        <v>14.959862860248609</v>
      </c>
      <c r="H203">
        <f t="shared" si="29"/>
        <v>4.7758502073513287E-3</v>
      </c>
      <c r="I203">
        <f t="shared" si="30"/>
        <v>15.305491687261309</v>
      </c>
      <c r="P203" s="2">
        <v>27791</v>
      </c>
      <c r="Q203">
        <v>0.1199854592115841</v>
      </c>
      <c r="R203">
        <f t="shared" si="31"/>
        <v>0.11520960900423277</v>
      </c>
      <c r="S203">
        <f t="shared" si="32"/>
        <v>4.7758502073513287E-3</v>
      </c>
      <c r="T203">
        <v>1.1960705057664001E-2</v>
      </c>
    </row>
    <row r="204" spans="2:20" x14ac:dyDescent="0.25">
      <c r="B204">
        <f t="shared" si="33"/>
        <v>203</v>
      </c>
      <c r="C204">
        <v>0.12257176324745522</v>
      </c>
      <c r="D204">
        <f t="shared" si="27"/>
        <v>15.543273059512996</v>
      </c>
      <c r="E204">
        <f t="shared" si="34"/>
        <v>15.543273059512996</v>
      </c>
      <c r="F204">
        <f t="shared" si="35"/>
        <v>0.11668203985287739</v>
      </c>
      <c r="G204">
        <f t="shared" si="28"/>
        <v>15.076544900101487</v>
      </c>
      <c r="H204">
        <f t="shared" si="29"/>
        <v>5.8897233945778282E-3</v>
      </c>
      <c r="I204">
        <f t="shared" si="30"/>
        <v>15.426591019660119</v>
      </c>
      <c r="P204" s="2">
        <v>27820</v>
      </c>
      <c r="Q204">
        <v>0.12257176324745522</v>
      </c>
      <c r="R204">
        <f t="shared" si="31"/>
        <v>0.11668203985287739</v>
      </c>
      <c r="S204">
        <f t="shared" si="32"/>
        <v>5.8897233945778282E-3</v>
      </c>
      <c r="T204">
        <v>1.3873427871955002E-2</v>
      </c>
    </row>
    <row r="205" spans="2:20" x14ac:dyDescent="0.25">
      <c r="B205">
        <f t="shared" si="33"/>
        <v>204</v>
      </c>
      <c r="C205">
        <v>0.12542938209620491</v>
      </c>
      <c r="D205">
        <f t="shared" si="27"/>
        <v>15.668702441609202</v>
      </c>
      <c r="E205">
        <f t="shared" si="34"/>
        <v>15.668702441609202</v>
      </c>
      <c r="F205">
        <f t="shared" si="35"/>
        <v>0.11843150830154309</v>
      </c>
      <c r="G205">
        <f t="shared" si="28"/>
        <v>15.194976408403029</v>
      </c>
      <c r="H205">
        <f t="shared" si="29"/>
        <v>6.9978737946618241E-3</v>
      </c>
      <c r="I205">
        <f t="shared" si="30"/>
        <v>15.55027093330766</v>
      </c>
      <c r="P205" s="2">
        <v>27851</v>
      </c>
      <c r="Q205">
        <v>0.12542938209620491</v>
      </c>
      <c r="R205">
        <f t="shared" si="31"/>
        <v>0.11843150830154309</v>
      </c>
      <c r="S205">
        <f t="shared" si="32"/>
        <v>6.9978737946618241E-3</v>
      </c>
      <c r="T205">
        <v>1.1910651025835328E-2</v>
      </c>
    </row>
    <row r="206" spans="2:20" x14ac:dyDescent="0.25">
      <c r="B206">
        <f t="shared" si="33"/>
        <v>205</v>
      </c>
      <c r="C206">
        <v>0.12664037495907632</v>
      </c>
      <c r="D206">
        <f t="shared" si="27"/>
        <v>15.795342816568279</v>
      </c>
      <c r="E206">
        <f t="shared" si="34"/>
        <v>15.795342816568279</v>
      </c>
      <c r="F206">
        <f t="shared" si="35"/>
        <v>0.12007328163305005</v>
      </c>
      <c r="G206">
        <f t="shared" si="28"/>
        <v>15.31504969003608</v>
      </c>
      <c r="H206">
        <f t="shared" si="29"/>
        <v>6.5670933260262715E-3</v>
      </c>
      <c r="I206">
        <f t="shared" si="30"/>
        <v>15.675269534935229</v>
      </c>
      <c r="P206" s="2">
        <v>27881</v>
      </c>
      <c r="Q206">
        <v>0.12664037495907632</v>
      </c>
      <c r="R206">
        <f t="shared" si="31"/>
        <v>0.12007328163305005</v>
      </c>
      <c r="S206">
        <f t="shared" si="32"/>
        <v>6.5670933260262715E-3</v>
      </c>
      <c r="T206">
        <v>1.0929070532190277E-2</v>
      </c>
    </row>
    <row r="207" spans="2:20" x14ac:dyDescent="0.25">
      <c r="B207">
        <f t="shared" si="33"/>
        <v>206</v>
      </c>
      <c r="C207">
        <v>0.12396933589776182</v>
      </c>
      <c r="D207">
        <f t="shared" si="27"/>
        <v>15.919312152466041</v>
      </c>
      <c r="E207">
        <f t="shared" si="34"/>
        <v>15.919312152466041</v>
      </c>
      <c r="F207">
        <f t="shared" si="35"/>
        <v>0.12085249248599227</v>
      </c>
      <c r="G207">
        <f t="shared" si="28"/>
        <v>15.435902182522073</v>
      </c>
      <c r="H207">
        <f t="shared" si="29"/>
        <v>3.116843411769557E-3</v>
      </c>
      <c r="I207">
        <f t="shared" si="30"/>
        <v>15.798459659980049</v>
      </c>
      <c r="P207" s="2">
        <v>27912</v>
      </c>
      <c r="Q207">
        <v>0.12396933589776182</v>
      </c>
      <c r="R207">
        <f t="shared" si="31"/>
        <v>0.12085249248599227</v>
      </c>
      <c r="S207">
        <f t="shared" si="32"/>
        <v>3.116843411769557E-3</v>
      </c>
      <c r="T207">
        <v>1.1899159533085069E-2</v>
      </c>
    </row>
    <row r="208" spans="2:20" x14ac:dyDescent="0.25">
      <c r="B208">
        <f t="shared" si="33"/>
        <v>207</v>
      </c>
      <c r="C208">
        <v>0.12390184364867984</v>
      </c>
      <c r="D208">
        <f t="shared" si="27"/>
        <v>16.043213996114723</v>
      </c>
      <c r="E208">
        <f t="shared" si="34"/>
        <v>16.043213996114723</v>
      </c>
      <c r="F208">
        <f t="shared" si="35"/>
        <v>0.12146236271853006</v>
      </c>
      <c r="G208">
        <f t="shared" si="28"/>
        <v>15.557364545240603</v>
      </c>
      <c r="H208">
        <f t="shared" si="29"/>
        <v>2.4394809301497844E-3</v>
      </c>
      <c r="I208">
        <f t="shared" si="30"/>
        <v>15.921751633396193</v>
      </c>
      <c r="P208" s="2">
        <v>27942</v>
      </c>
      <c r="Q208">
        <v>0.12390184364867984</v>
      </c>
      <c r="R208">
        <f t="shared" si="31"/>
        <v>0.12146236271853006</v>
      </c>
      <c r="S208">
        <f t="shared" si="32"/>
        <v>2.4394809301497844E-3</v>
      </c>
      <c r="T208">
        <v>1.1887690193394196E-2</v>
      </c>
    </row>
    <row r="209" spans="2:20" x14ac:dyDescent="0.25">
      <c r="B209">
        <f t="shared" si="33"/>
        <v>208</v>
      </c>
      <c r="C209">
        <v>0.12296482744325576</v>
      </c>
      <c r="D209">
        <f t="shared" si="27"/>
        <v>16.166178823557978</v>
      </c>
      <c r="E209">
        <f t="shared" si="34"/>
        <v>16.166178823557978</v>
      </c>
      <c r="F209">
        <f t="shared" si="35"/>
        <v>0.12176285566347503</v>
      </c>
      <c r="G209">
        <f t="shared" si="28"/>
        <v>15.679127400904077</v>
      </c>
      <c r="H209">
        <f t="shared" si="29"/>
        <v>1.2019717797807361E-3</v>
      </c>
      <c r="I209">
        <f t="shared" si="30"/>
        <v>16.044415967894501</v>
      </c>
      <c r="P209" s="2">
        <v>27973</v>
      </c>
      <c r="Q209">
        <v>0.12296482744325576</v>
      </c>
      <c r="R209">
        <f t="shared" si="31"/>
        <v>0.12176285566347503</v>
      </c>
      <c r="S209">
        <f t="shared" si="32"/>
        <v>1.2019717797807361E-3</v>
      </c>
      <c r="T209">
        <v>1.3797748174281477E-2</v>
      </c>
    </row>
    <row r="210" spans="2:20" x14ac:dyDescent="0.25">
      <c r="B210">
        <f t="shared" si="33"/>
        <v>209</v>
      </c>
      <c r="C210">
        <v>0.12017422975259873</v>
      </c>
      <c r="D210">
        <f t="shared" si="27"/>
        <v>16.286353053310577</v>
      </c>
      <c r="E210">
        <f t="shared" si="34"/>
        <v>16.286353053310577</v>
      </c>
      <c r="F210">
        <f t="shared" si="35"/>
        <v>0.12144513048130001</v>
      </c>
      <c r="G210">
        <f t="shared" si="28"/>
        <v>15.800572531385377</v>
      </c>
      <c r="H210">
        <f t="shared" si="29"/>
        <v>-1.2709007287012852E-3</v>
      </c>
      <c r="I210">
        <f t="shared" si="30"/>
        <v>16.164907922829279</v>
      </c>
      <c r="P210" s="2">
        <v>28004</v>
      </c>
      <c r="Q210">
        <v>0.12017422975259873</v>
      </c>
      <c r="R210">
        <f t="shared" si="31"/>
        <v>0.12144513048130001</v>
      </c>
      <c r="S210">
        <f t="shared" si="32"/>
        <v>-1.2709007287012852E-3</v>
      </c>
      <c r="T210">
        <v>1.6010588560479988E-2</v>
      </c>
    </row>
    <row r="211" spans="2:20" x14ac:dyDescent="0.25">
      <c r="B211">
        <f t="shared" si="33"/>
        <v>210</v>
      </c>
      <c r="C211">
        <v>0.12230960607831953</v>
      </c>
      <c r="D211">
        <f t="shared" si="27"/>
        <v>16.408662659388895</v>
      </c>
      <c r="E211">
        <f t="shared" si="34"/>
        <v>16.408662659388895</v>
      </c>
      <c r="F211">
        <f t="shared" si="35"/>
        <v>0.12161802560070356</v>
      </c>
      <c r="G211">
        <f t="shared" si="28"/>
        <v>15.922190556986081</v>
      </c>
      <c r="H211">
        <f t="shared" si="29"/>
        <v>6.9158047761597174E-4</v>
      </c>
      <c r="I211">
        <f t="shared" si="30"/>
        <v>16.287044633788192</v>
      </c>
      <c r="P211" s="2">
        <v>28034</v>
      </c>
      <c r="Q211">
        <v>0.12230960607831953</v>
      </c>
      <c r="R211">
        <f t="shared" si="31"/>
        <v>0.12161802560070356</v>
      </c>
      <c r="S211">
        <f t="shared" si="32"/>
        <v>6.9158047761597174E-4</v>
      </c>
      <c r="T211">
        <v>1.916379311516847E-2</v>
      </c>
    </row>
    <row r="212" spans="2:20" x14ac:dyDescent="0.25">
      <c r="B212">
        <f t="shared" si="33"/>
        <v>211</v>
      </c>
      <c r="C212">
        <v>0.1215502105990014</v>
      </c>
      <c r="D212">
        <f t="shared" si="27"/>
        <v>16.530212869987896</v>
      </c>
      <c r="E212">
        <f t="shared" si="34"/>
        <v>16.530212869987896</v>
      </c>
      <c r="F212">
        <f t="shared" si="35"/>
        <v>0.12160446260036295</v>
      </c>
      <c r="G212">
        <f t="shared" si="28"/>
        <v>16.043795019586444</v>
      </c>
      <c r="H212">
        <f t="shared" si="29"/>
        <v>-5.4252001361554392E-5</v>
      </c>
      <c r="I212">
        <f t="shared" si="30"/>
        <v>16.408608407387533</v>
      </c>
      <c r="P212" s="2">
        <v>28065</v>
      </c>
      <c r="Q212">
        <v>0.1215502105990014</v>
      </c>
      <c r="R212">
        <f t="shared" si="31"/>
        <v>0.12160446260036295</v>
      </c>
      <c r="S212">
        <f t="shared" si="32"/>
        <v>-5.4252001361554392E-5</v>
      </c>
      <c r="T212">
        <v>1.7891851079103294E-2</v>
      </c>
    </row>
    <row r="213" spans="2:20" x14ac:dyDescent="0.25">
      <c r="B213">
        <f t="shared" si="33"/>
        <v>212</v>
      </c>
      <c r="C213">
        <v>0.11856143068565217</v>
      </c>
      <c r="D213">
        <f t="shared" si="27"/>
        <v>16.648774300673548</v>
      </c>
      <c r="E213">
        <f t="shared" si="34"/>
        <v>16.648774300673548</v>
      </c>
      <c r="F213">
        <f t="shared" si="35"/>
        <v>0.1209958562174208</v>
      </c>
      <c r="G213">
        <f t="shared" si="28"/>
        <v>16.164790875803863</v>
      </c>
      <c r="H213">
        <f t="shared" si="29"/>
        <v>-2.4344255317686331E-3</v>
      </c>
      <c r="I213">
        <f t="shared" si="30"/>
        <v>16.527778444456128</v>
      </c>
      <c r="P213" s="2">
        <v>28095</v>
      </c>
      <c r="Q213">
        <v>0.11856143068565217</v>
      </c>
      <c r="R213">
        <f t="shared" si="31"/>
        <v>0.1209958562174208</v>
      </c>
      <c r="S213">
        <f t="shared" si="32"/>
        <v>-2.4344255317686331E-3</v>
      </c>
      <c r="T213">
        <v>1.5974780607734385E-2</v>
      </c>
    </row>
    <row r="214" spans="2:20" x14ac:dyDescent="0.25">
      <c r="B214">
        <f t="shared" si="33"/>
        <v>213</v>
      </c>
      <c r="C214">
        <v>0.11501844467747713</v>
      </c>
      <c r="D214">
        <f t="shared" si="27"/>
        <v>16.763792745351026</v>
      </c>
      <c r="E214">
        <f t="shared" si="34"/>
        <v>16.763792745351026</v>
      </c>
      <c r="F214">
        <f t="shared" si="35"/>
        <v>0.11980037390943253</v>
      </c>
      <c r="G214">
        <f t="shared" si="28"/>
        <v>16.284591249713294</v>
      </c>
      <c r="H214">
        <f t="shared" si="29"/>
        <v>-4.7819292319554035E-3</v>
      </c>
      <c r="I214">
        <f t="shared" si="30"/>
        <v>16.643992371441595</v>
      </c>
      <c r="P214" s="2">
        <v>28126</v>
      </c>
      <c r="Q214">
        <v>0.11501844467747713</v>
      </c>
      <c r="R214">
        <f t="shared" si="31"/>
        <v>0.11980037390943253</v>
      </c>
      <c r="S214">
        <f t="shared" si="32"/>
        <v>-4.7819292319554035E-3</v>
      </c>
      <c r="T214">
        <v>1.7225306281879238E-2</v>
      </c>
    </row>
    <row r="215" spans="2:20" x14ac:dyDescent="0.25">
      <c r="B215">
        <f t="shared" si="33"/>
        <v>214</v>
      </c>
      <c r="C215">
        <v>0.1085554065543457</v>
      </c>
      <c r="D215">
        <f t="shared" si="27"/>
        <v>16.872348151905371</v>
      </c>
      <c r="E215">
        <f t="shared" si="34"/>
        <v>16.872348151905371</v>
      </c>
      <c r="F215">
        <f t="shared" si="35"/>
        <v>0.11755138043841527</v>
      </c>
      <c r="G215">
        <f t="shared" si="28"/>
        <v>16.402142630151708</v>
      </c>
      <c r="H215">
        <f t="shared" si="29"/>
        <v>-8.9959738840695719E-3</v>
      </c>
      <c r="I215">
        <f t="shared" si="30"/>
        <v>16.754796771466957</v>
      </c>
      <c r="P215" s="2">
        <v>28157</v>
      </c>
      <c r="Q215">
        <v>0.1085554065543457</v>
      </c>
      <c r="R215">
        <f t="shared" si="31"/>
        <v>0.11755138043841527</v>
      </c>
      <c r="S215">
        <f t="shared" si="32"/>
        <v>-8.9959738840695719E-3</v>
      </c>
      <c r="T215">
        <v>1.6887449279994637E-2</v>
      </c>
    </row>
    <row r="216" spans="2:20" x14ac:dyDescent="0.25">
      <c r="B216">
        <f t="shared" si="33"/>
        <v>215</v>
      </c>
      <c r="C216">
        <v>0.10356660392258554</v>
      </c>
      <c r="D216">
        <f t="shared" si="27"/>
        <v>16.975914755827958</v>
      </c>
      <c r="E216">
        <f t="shared" si="34"/>
        <v>16.975914755827958</v>
      </c>
      <c r="F216">
        <f t="shared" si="35"/>
        <v>0.11475442513524997</v>
      </c>
      <c r="G216">
        <f t="shared" si="28"/>
        <v>16.516897055286957</v>
      </c>
      <c r="H216">
        <f t="shared" si="29"/>
        <v>-1.1187821212664428E-2</v>
      </c>
      <c r="I216">
        <f t="shared" si="30"/>
        <v>16.861160330692709</v>
      </c>
      <c r="P216" s="2">
        <v>28185</v>
      </c>
      <c r="Q216">
        <v>0.10356660392258554</v>
      </c>
      <c r="R216">
        <f t="shared" si="31"/>
        <v>0.11475442513524997</v>
      </c>
      <c r="S216">
        <f t="shared" si="32"/>
        <v>-1.1187821212664428E-2</v>
      </c>
      <c r="T216">
        <v>1.7154169056012858E-2</v>
      </c>
    </row>
    <row r="217" spans="2:20" x14ac:dyDescent="0.25">
      <c r="B217">
        <f t="shared" si="33"/>
        <v>216</v>
      </c>
      <c r="C217">
        <v>9.7753530773577957E-2</v>
      </c>
      <c r="D217">
        <f t="shared" si="27"/>
        <v>17.073668286601535</v>
      </c>
      <c r="E217">
        <f t="shared" si="34"/>
        <v>17.073668286601535</v>
      </c>
      <c r="F217">
        <f t="shared" si="35"/>
        <v>0.11135424626291553</v>
      </c>
      <c r="G217">
        <f t="shared" si="28"/>
        <v>16.628251301549874</v>
      </c>
      <c r="H217">
        <f t="shared" si="29"/>
        <v>-1.360071548933757E-2</v>
      </c>
      <c r="I217">
        <f t="shared" si="30"/>
        <v>16.962314040338619</v>
      </c>
      <c r="P217" s="2">
        <v>28216</v>
      </c>
      <c r="Q217">
        <v>9.7753530773577957E-2</v>
      </c>
      <c r="R217">
        <f t="shared" si="31"/>
        <v>0.11135424626291553</v>
      </c>
      <c r="S217">
        <f t="shared" si="32"/>
        <v>-1.360071548933757E-2</v>
      </c>
      <c r="T217">
        <v>1.9018005835761631E-2</v>
      </c>
    </row>
    <row r="218" spans="2:20" x14ac:dyDescent="0.25">
      <c r="B218">
        <f t="shared" si="33"/>
        <v>217</v>
      </c>
      <c r="C218">
        <v>9.3732929358271377E-2</v>
      </c>
      <c r="D218">
        <f t="shared" si="27"/>
        <v>17.167401215959806</v>
      </c>
      <c r="E218">
        <f t="shared" si="34"/>
        <v>17.167401215959806</v>
      </c>
      <c r="F218">
        <f t="shared" si="35"/>
        <v>0.10782998288198656</v>
      </c>
      <c r="G218">
        <f t="shared" si="28"/>
        <v>16.736081284431862</v>
      </c>
      <c r="H218">
        <f t="shared" si="29"/>
        <v>-1.4097053523715181E-2</v>
      </c>
      <c r="I218">
        <f t="shared" si="30"/>
        <v>17.059571233077818</v>
      </c>
      <c r="P218" s="2">
        <v>28246</v>
      </c>
      <c r="Q218">
        <v>9.3732929358271377E-2</v>
      </c>
      <c r="R218">
        <f t="shared" si="31"/>
        <v>0.10782998288198656</v>
      </c>
      <c r="S218">
        <f t="shared" si="32"/>
        <v>-1.4097053523715181E-2</v>
      </c>
      <c r="T218">
        <v>1.899993824490398E-2</v>
      </c>
    </row>
    <row r="219" spans="2:20" x14ac:dyDescent="0.25">
      <c r="B219">
        <f t="shared" si="33"/>
        <v>218</v>
      </c>
      <c r="C219">
        <v>8.7669278731333122E-2</v>
      </c>
      <c r="D219">
        <f t="shared" si="27"/>
        <v>17.25507049469114</v>
      </c>
      <c r="E219">
        <f t="shared" si="34"/>
        <v>17.25507049469114</v>
      </c>
      <c r="F219">
        <f t="shared" si="35"/>
        <v>0.10379784205185559</v>
      </c>
      <c r="G219">
        <f t="shared" si="28"/>
        <v>16.839879126483716</v>
      </c>
      <c r="H219">
        <f t="shared" si="29"/>
        <v>-1.6128563320522468E-2</v>
      </c>
      <c r="I219">
        <f t="shared" si="30"/>
        <v>17.151272652639285</v>
      </c>
      <c r="P219" s="2">
        <v>28277</v>
      </c>
      <c r="Q219">
        <v>8.7669278731333122E-2</v>
      </c>
      <c r="R219">
        <f t="shared" si="31"/>
        <v>0.10379784205185559</v>
      </c>
      <c r="S219">
        <f t="shared" si="32"/>
        <v>-1.6128563320522468E-2</v>
      </c>
      <c r="T219">
        <v>2.5253867321203494E-2</v>
      </c>
    </row>
    <row r="220" spans="2:20" x14ac:dyDescent="0.25">
      <c r="B220">
        <f t="shared" si="33"/>
        <v>219</v>
      </c>
      <c r="C220">
        <v>8.3654184323815883E-2</v>
      </c>
      <c r="D220">
        <f t="shared" si="27"/>
        <v>17.338724679014955</v>
      </c>
      <c r="E220">
        <f t="shared" si="34"/>
        <v>17.338724679014955</v>
      </c>
      <c r="F220">
        <f t="shared" si="35"/>
        <v>9.9769110506247927E-2</v>
      </c>
      <c r="G220">
        <f t="shared" si="28"/>
        <v>16.939648236989964</v>
      </c>
      <c r="H220">
        <f t="shared" si="29"/>
        <v>-1.6114926182432043E-2</v>
      </c>
      <c r="I220">
        <f t="shared" si="30"/>
        <v>17.238955568508707</v>
      </c>
      <c r="P220" s="2">
        <v>28307</v>
      </c>
      <c r="Q220">
        <v>8.3654184323815883E-2</v>
      </c>
      <c r="R220">
        <f t="shared" si="31"/>
        <v>9.9769110506247927E-2</v>
      </c>
      <c r="S220">
        <f t="shared" si="32"/>
        <v>-1.6114926182432043E-2</v>
      </c>
      <c r="T220">
        <v>2.7407606225922976E-2</v>
      </c>
    </row>
    <row r="221" spans="2:20" x14ac:dyDescent="0.25">
      <c r="B221">
        <f t="shared" si="33"/>
        <v>220</v>
      </c>
      <c r="C221">
        <v>8.0683741554896216E-2</v>
      </c>
      <c r="D221">
        <f t="shared" si="27"/>
        <v>17.419408420569852</v>
      </c>
      <c r="E221">
        <f t="shared" si="34"/>
        <v>17.419408420569852</v>
      </c>
      <c r="F221">
        <f t="shared" si="35"/>
        <v>9.5952036715977587E-2</v>
      </c>
      <c r="G221">
        <f t="shared" si="28"/>
        <v>17.035600273705942</v>
      </c>
      <c r="H221">
        <f t="shared" si="29"/>
        <v>-1.5268295161081372E-2</v>
      </c>
      <c r="I221">
        <f t="shared" si="30"/>
        <v>17.323456383853873</v>
      </c>
      <c r="P221" s="2">
        <v>28338</v>
      </c>
      <c r="Q221">
        <v>8.0683741554896216E-2</v>
      </c>
      <c r="R221">
        <f t="shared" si="31"/>
        <v>9.5952036715977587E-2</v>
      </c>
      <c r="S221">
        <f t="shared" si="32"/>
        <v>-1.5268295161081372E-2</v>
      </c>
      <c r="T221">
        <v>2.8277096096861687E-2</v>
      </c>
    </row>
    <row r="222" spans="2:20" x14ac:dyDescent="0.25">
      <c r="B222">
        <f t="shared" si="33"/>
        <v>221</v>
      </c>
      <c r="C222">
        <v>8.0615172148668535E-2</v>
      </c>
      <c r="D222">
        <f t="shared" si="27"/>
        <v>17.50002359271852</v>
      </c>
      <c r="E222">
        <f t="shared" si="34"/>
        <v>17.50002359271852</v>
      </c>
      <c r="F222">
        <f t="shared" si="35"/>
        <v>9.2884663802515643E-2</v>
      </c>
      <c r="G222">
        <f t="shared" si="28"/>
        <v>17.128484937508457</v>
      </c>
      <c r="H222">
        <f t="shared" si="29"/>
        <v>-1.2269491653847109E-2</v>
      </c>
      <c r="I222">
        <f t="shared" si="30"/>
        <v>17.407138928916005</v>
      </c>
      <c r="P222" s="2">
        <v>28369</v>
      </c>
      <c r="Q222">
        <v>8.0615172148668535E-2</v>
      </c>
      <c r="R222">
        <f t="shared" si="31"/>
        <v>9.2884663802515643E-2</v>
      </c>
      <c r="S222">
        <f t="shared" si="32"/>
        <v>-1.2269491653847109E-2</v>
      </c>
      <c r="T222">
        <v>2.726159739770706E-2</v>
      </c>
    </row>
    <row r="223" spans="2:20" x14ac:dyDescent="0.25">
      <c r="B223">
        <f t="shared" si="33"/>
        <v>222</v>
      </c>
      <c r="C223">
        <v>7.9448774618867901E-2</v>
      </c>
      <c r="D223">
        <f t="shared" si="27"/>
        <v>17.579472367337388</v>
      </c>
      <c r="E223">
        <f t="shared" si="34"/>
        <v>17.579472367337388</v>
      </c>
      <c r="F223">
        <f t="shared" si="35"/>
        <v>9.0197485965786237E-2</v>
      </c>
      <c r="G223">
        <f t="shared" si="28"/>
        <v>17.218682423474242</v>
      </c>
      <c r="H223">
        <f t="shared" si="29"/>
        <v>-1.0748711346918335E-2</v>
      </c>
      <c r="I223">
        <f t="shared" si="30"/>
        <v>17.489274881371603</v>
      </c>
      <c r="P223" s="2">
        <v>28399</v>
      </c>
      <c r="Q223">
        <v>7.9448774618867901E-2</v>
      </c>
      <c r="R223">
        <f t="shared" si="31"/>
        <v>9.0197485965786237E-2</v>
      </c>
      <c r="S223">
        <f t="shared" si="32"/>
        <v>-1.0748711346918335E-2</v>
      </c>
      <c r="T223">
        <v>2.406742202196277E-2</v>
      </c>
    </row>
    <row r="224" spans="2:20" x14ac:dyDescent="0.25">
      <c r="B224">
        <f t="shared" si="33"/>
        <v>223</v>
      </c>
      <c r="C224">
        <v>7.6405346307004685E-2</v>
      </c>
      <c r="D224">
        <f t="shared" si="27"/>
        <v>17.655877713644394</v>
      </c>
      <c r="E224">
        <f t="shared" si="34"/>
        <v>17.655877713644394</v>
      </c>
      <c r="F224">
        <f t="shared" si="35"/>
        <v>8.743905803403039E-2</v>
      </c>
      <c r="G224">
        <f t="shared" si="28"/>
        <v>17.306121481508271</v>
      </c>
      <c r="H224">
        <f t="shared" si="29"/>
        <v>-1.1033711727025705E-2</v>
      </c>
      <c r="I224">
        <f t="shared" si="30"/>
        <v>17.568438655610365</v>
      </c>
      <c r="P224" s="2">
        <v>28430</v>
      </c>
      <c r="Q224">
        <v>7.6405346307004685E-2</v>
      </c>
      <c r="R224">
        <f t="shared" si="31"/>
        <v>8.743905803403039E-2</v>
      </c>
      <c r="S224">
        <f t="shared" si="32"/>
        <v>-1.1033711727025705E-2</v>
      </c>
      <c r="T224">
        <v>2.7176434322603082E-2</v>
      </c>
    </row>
    <row r="225" spans="2:20" x14ac:dyDescent="0.25">
      <c r="B225">
        <f t="shared" si="33"/>
        <v>224</v>
      </c>
      <c r="C225">
        <v>7.5117971229581748E-2</v>
      </c>
      <c r="D225">
        <f t="shared" si="27"/>
        <v>17.730995684873974</v>
      </c>
      <c r="E225">
        <f t="shared" si="34"/>
        <v>17.730995684873974</v>
      </c>
      <c r="F225">
        <f t="shared" si="35"/>
        <v>8.4974840673140761E-2</v>
      </c>
      <c r="G225">
        <f t="shared" si="28"/>
        <v>17.391096322181411</v>
      </c>
      <c r="H225">
        <f t="shared" si="29"/>
        <v>-9.8568694435590132E-3</v>
      </c>
      <c r="I225">
        <f t="shared" si="30"/>
        <v>17.646020844200834</v>
      </c>
      <c r="P225" s="2">
        <v>28460</v>
      </c>
      <c r="Q225">
        <v>7.5117971229581748E-2</v>
      </c>
      <c r="R225">
        <f t="shared" si="31"/>
        <v>8.4974840673140761E-2</v>
      </c>
      <c r="S225">
        <f t="shared" si="32"/>
        <v>-9.8568694435590132E-3</v>
      </c>
      <c r="T225">
        <v>3.4271266735217853E-2</v>
      </c>
    </row>
    <row r="226" spans="2:20" x14ac:dyDescent="0.25">
      <c r="B226">
        <f t="shared" si="33"/>
        <v>225</v>
      </c>
      <c r="C226">
        <v>7.629509192581807E-2</v>
      </c>
      <c r="D226">
        <f t="shared" si="27"/>
        <v>17.807290776799793</v>
      </c>
      <c r="E226">
        <f t="shared" si="34"/>
        <v>17.807290776799793</v>
      </c>
      <c r="F226">
        <f t="shared" si="35"/>
        <v>8.3238890923676229E-2</v>
      </c>
      <c r="G226">
        <f t="shared" si="28"/>
        <v>17.474335213105089</v>
      </c>
      <c r="H226">
        <f t="shared" si="29"/>
        <v>-6.9437989978581582E-3</v>
      </c>
      <c r="I226">
        <f t="shared" si="30"/>
        <v>17.724051885876115</v>
      </c>
      <c r="P226" s="2">
        <v>28491</v>
      </c>
      <c r="Q226">
        <v>7.629509192581807E-2</v>
      </c>
      <c r="R226">
        <f t="shared" si="31"/>
        <v>8.3238890923676229E-2</v>
      </c>
      <c r="S226">
        <f t="shared" si="32"/>
        <v>-6.9437989978581582E-3</v>
      </c>
      <c r="T226">
        <v>3.5113130299934792E-2</v>
      </c>
    </row>
    <row r="227" spans="2:20" x14ac:dyDescent="0.25">
      <c r="B227">
        <f t="shared" si="33"/>
        <v>226</v>
      </c>
      <c r="C227">
        <v>7.5468404286447743E-2</v>
      </c>
      <c r="D227">
        <f t="shared" si="27"/>
        <v>17.882759181086239</v>
      </c>
      <c r="E227">
        <f t="shared" si="34"/>
        <v>17.882759181086239</v>
      </c>
      <c r="F227">
        <f t="shared" si="35"/>
        <v>8.1684793596230071E-2</v>
      </c>
      <c r="G227">
        <f t="shared" si="28"/>
        <v>17.556020006701321</v>
      </c>
      <c r="H227">
        <f t="shared" si="29"/>
        <v>-6.2163893097823275E-3</v>
      </c>
      <c r="I227">
        <f t="shared" si="30"/>
        <v>17.801074387490008</v>
      </c>
      <c r="P227" s="2">
        <v>28522</v>
      </c>
      <c r="Q227">
        <v>7.5468404286447743E-2</v>
      </c>
      <c r="R227">
        <f t="shared" si="31"/>
        <v>8.1684793596230071E-2</v>
      </c>
      <c r="S227">
        <f t="shared" si="32"/>
        <v>-6.2163893097823275E-3</v>
      </c>
      <c r="T227">
        <v>3.7213596340434307E-2</v>
      </c>
    </row>
    <row r="228" spans="2:20" x14ac:dyDescent="0.25">
      <c r="B228">
        <f t="shared" si="33"/>
        <v>227</v>
      </c>
      <c r="C228">
        <v>7.3808044869691614E-2</v>
      </c>
      <c r="D228">
        <f t="shared" si="27"/>
        <v>17.956567225955929</v>
      </c>
      <c r="E228">
        <f t="shared" si="34"/>
        <v>17.956567225955929</v>
      </c>
      <c r="F228">
        <f t="shared" si="35"/>
        <v>8.0109443850921738E-2</v>
      </c>
      <c r="G228">
        <f t="shared" si="28"/>
        <v>17.636129450552243</v>
      </c>
      <c r="H228">
        <f t="shared" si="29"/>
        <v>-6.3013989812301247E-3</v>
      </c>
      <c r="I228">
        <f t="shared" si="30"/>
        <v>17.876457782105007</v>
      </c>
      <c r="P228" s="2">
        <v>28550</v>
      </c>
      <c r="Q228">
        <v>7.3808044869691614E-2</v>
      </c>
      <c r="R228">
        <f t="shared" si="31"/>
        <v>8.0109443850921738E-2</v>
      </c>
      <c r="S228">
        <f t="shared" si="32"/>
        <v>-6.3013989812301247E-3</v>
      </c>
      <c r="T228">
        <v>3.4971844849278177E-2</v>
      </c>
    </row>
    <row r="229" spans="2:20" x14ac:dyDescent="0.25">
      <c r="B229">
        <f t="shared" si="33"/>
        <v>228</v>
      </c>
      <c r="C229">
        <v>7.2633668101320659E-2</v>
      </c>
      <c r="D229">
        <f t="shared" si="27"/>
        <v>18.029200894057251</v>
      </c>
      <c r="E229">
        <f t="shared" si="34"/>
        <v>18.029200894057251</v>
      </c>
      <c r="F229">
        <f t="shared" si="35"/>
        <v>7.8614288701001567E-2</v>
      </c>
      <c r="G229">
        <f t="shared" si="28"/>
        <v>17.714743739253244</v>
      </c>
      <c r="H229">
        <f t="shared" si="29"/>
        <v>-5.9806205996809081E-3</v>
      </c>
      <c r="I229">
        <f t="shared" si="30"/>
        <v>17.95058660535625</v>
      </c>
      <c r="P229" s="2">
        <v>28581</v>
      </c>
      <c r="Q229">
        <v>7.2633668101320659E-2</v>
      </c>
      <c r="R229">
        <f t="shared" si="31"/>
        <v>7.8614288701001567E-2</v>
      </c>
      <c r="S229">
        <f t="shared" si="32"/>
        <v>-5.9806205996809081E-3</v>
      </c>
      <c r="T229">
        <v>3.3042993790696862E-2</v>
      </c>
    </row>
    <row r="230" spans="2:20" x14ac:dyDescent="0.25">
      <c r="B230">
        <f t="shared" si="33"/>
        <v>229</v>
      </c>
      <c r="C230">
        <v>6.9352266145214614E-2</v>
      </c>
      <c r="D230">
        <f t="shared" si="27"/>
        <v>18.098553160202464</v>
      </c>
      <c r="E230">
        <f t="shared" si="34"/>
        <v>18.098553160202464</v>
      </c>
      <c r="F230">
        <f t="shared" si="35"/>
        <v>7.6761884189843962E-2</v>
      </c>
      <c r="G230">
        <f t="shared" si="28"/>
        <v>17.791505623443086</v>
      </c>
      <c r="H230">
        <f t="shared" si="29"/>
        <v>-7.4096180446293486E-3</v>
      </c>
      <c r="I230">
        <f t="shared" si="30"/>
        <v>18.021791276012621</v>
      </c>
      <c r="P230" s="2">
        <v>28611</v>
      </c>
      <c r="Q230">
        <v>6.9352266145214614E-2</v>
      </c>
      <c r="R230">
        <f t="shared" si="31"/>
        <v>7.6761884189843962E-2</v>
      </c>
      <c r="S230">
        <f t="shared" si="32"/>
        <v>-7.4096180446293486E-3</v>
      </c>
      <c r="T230">
        <v>3.1493803849311774E-2</v>
      </c>
    </row>
    <row r="231" spans="2:20" x14ac:dyDescent="0.25">
      <c r="B231">
        <f t="shared" si="33"/>
        <v>230</v>
      </c>
      <c r="C231">
        <v>6.9340276453150551E-2</v>
      </c>
      <c r="D231">
        <f t="shared" si="27"/>
        <v>18.167893436655614</v>
      </c>
      <c r="E231">
        <f t="shared" si="34"/>
        <v>18.167893436655614</v>
      </c>
      <c r="F231">
        <f t="shared" si="35"/>
        <v>7.5277562642505569E-2</v>
      </c>
      <c r="G231">
        <f t="shared" si="28"/>
        <v>17.866783186085591</v>
      </c>
      <c r="H231">
        <f t="shared" si="29"/>
        <v>-5.9372861893550177E-3</v>
      </c>
      <c r="I231">
        <f t="shared" si="30"/>
        <v>18.092615874013109</v>
      </c>
      <c r="P231" s="2">
        <v>28642</v>
      </c>
      <c r="Q231">
        <v>6.9340276453150551E-2</v>
      </c>
      <c r="R231">
        <f t="shared" si="31"/>
        <v>7.5277562642505569E-2</v>
      </c>
      <c r="S231">
        <f t="shared" si="32"/>
        <v>-5.9372861893550177E-3</v>
      </c>
      <c r="T231">
        <v>2.8274778468166506E-2</v>
      </c>
    </row>
    <row r="232" spans="2:20" x14ac:dyDescent="0.25">
      <c r="B232">
        <f t="shared" si="33"/>
        <v>231</v>
      </c>
      <c r="C232">
        <v>7.1373567341384003E-2</v>
      </c>
      <c r="D232">
        <f t="shared" si="27"/>
        <v>18.239267003997</v>
      </c>
      <c r="E232">
        <f t="shared" si="34"/>
        <v>18.239267003997</v>
      </c>
      <c r="F232">
        <f t="shared" si="35"/>
        <v>7.4496763582281744E-2</v>
      </c>
      <c r="G232">
        <f t="shared" si="28"/>
        <v>17.941279949667873</v>
      </c>
      <c r="H232">
        <f t="shared" si="29"/>
        <v>-3.1231962408977409E-3</v>
      </c>
      <c r="I232">
        <f t="shared" si="30"/>
        <v>18.164770240414718</v>
      </c>
      <c r="P232" s="2">
        <v>28672</v>
      </c>
      <c r="Q232">
        <v>7.1373567341384003E-2</v>
      </c>
      <c r="R232">
        <f t="shared" si="31"/>
        <v>7.4496763582281744E-2</v>
      </c>
      <c r="S232">
        <f t="shared" si="32"/>
        <v>-3.1231962408977409E-3</v>
      </c>
      <c r="T232">
        <v>2.5162419902243105E-2</v>
      </c>
    </row>
    <row r="233" spans="2:20" x14ac:dyDescent="0.25">
      <c r="B233">
        <f t="shared" si="33"/>
        <v>232</v>
      </c>
      <c r="C233">
        <v>7.5299203297335637E-2</v>
      </c>
      <c r="D233">
        <f t="shared" si="27"/>
        <v>18.314566207294334</v>
      </c>
      <c r="E233">
        <f t="shared" si="34"/>
        <v>18.314566207294334</v>
      </c>
      <c r="F233">
        <f t="shared" si="35"/>
        <v>7.4657251525292165E-2</v>
      </c>
      <c r="G233">
        <f t="shared" si="28"/>
        <v>18.015937201193164</v>
      </c>
      <c r="H233">
        <f t="shared" si="29"/>
        <v>6.4195177204347253E-4</v>
      </c>
      <c r="I233">
        <f t="shared" si="30"/>
        <v>18.239908955769042</v>
      </c>
      <c r="P233" s="2">
        <v>28703</v>
      </c>
      <c r="Q233">
        <v>7.5299203297335637E-2</v>
      </c>
      <c r="R233">
        <f t="shared" si="31"/>
        <v>7.4657251525292165E-2</v>
      </c>
      <c r="S233">
        <f t="shared" si="32"/>
        <v>6.4195177204347253E-4</v>
      </c>
      <c r="T233">
        <v>2.5085438981269359E-2</v>
      </c>
    </row>
    <row r="234" spans="2:20" x14ac:dyDescent="0.25">
      <c r="B234">
        <f t="shared" si="33"/>
        <v>233</v>
      </c>
      <c r="C234">
        <v>7.332279452147894E-2</v>
      </c>
      <c r="D234">
        <f t="shared" si="27"/>
        <v>18.387889001815815</v>
      </c>
      <c r="E234">
        <f t="shared" si="34"/>
        <v>18.387889001815815</v>
      </c>
      <c r="F234">
        <f t="shared" si="35"/>
        <v>7.4390360124530028E-2</v>
      </c>
      <c r="G234">
        <f t="shared" si="28"/>
        <v>18.090327561317693</v>
      </c>
      <c r="H234">
        <f t="shared" si="29"/>
        <v>-1.0675656030510877E-3</v>
      </c>
      <c r="I234">
        <f t="shared" si="30"/>
        <v>18.313498641691286</v>
      </c>
      <c r="P234" s="2">
        <v>28734</v>
      </c>
      <c r="Q234">
        <v>7.332279452147894E-2</v>
      </c>
      <c r="R234">
        <f t="shared" si="31"/>
        <v>7.4390360124530028E-2</v>
      </c>
      <c r="S234">
        <f t="shared" si="32"/>
        <v>-1.0675656030510877E-3</v>
      </c>
      <c r="T234">
        <v>2.2919261436107785E-2</v>
      </c>
    </row>
    <row r="235" spans="2:20" x14ac:dyDescent="0.25">
      <c r="B235">
        <f t="shared" si="33"/>
        <v>234</v>
      </c>
      <c r="C235">
        <v>7.6272592296510844E-2</v>
      </c>
      <c r="D235">
        <f t="shared" si="27"/>
        <v>18.464161594112326</v>
      </c>
      <c r="E235">
        <f t="shared" si="34"/>
        <v>18.464161594112326</v>
      </c>
      <c r="F235">
        <f t="shared" si="35"/>
        <v>7.4766806558926646E-2</v>
      </c>
      <c r="G235">
        <f t="shared" si="28"/>
        <v>18.16509436787662</v>
      </c>
      <c r="H235">
        <f t="shared" si="29"/>
        <v>1.5057857375841976E-3</v>
      </c>
      <c r="I235">
        <f t="shared" si="30"/>
        <v>18.3893947875534</v>
      </c>
      <c r="P235" s="2">
        <v>28764</v>
      </c>
      <c r="Q235">
        <v>7.6272592296510844E-2</v>
      </c>
      <c r="R235">
        <f t="shared" si="31"/>
        <v>7.4766806558926646E-2</v>
      </c>
      <c r="S235">
        <f t="shared" si="32"/>
        <v>1.5057857375841976E-3</v>
      </c>
      <c r="T235">
        <v>2.8016448736909005E-2</v>
      </c>
    </row>
    <row r="236" spans="2:20" x14ac:dyDescent="0.25">
      <c r="B236">
        <f t="shared" si="33"/>
        <v>235</v>
      </c>
      <c r="C236">
        <v>8.0292483312416785E-2</v>
      </c>
      <c r="D236">
        <f t="shared" si="27"/>
        <v>18.544454077424742</v>
      </c>
      <c r="E236">
        <f t="shared" si="34"/>
        <v>18.544454077424742</v>
      </c>
      <c r="F236">
        <f t="shared" si="35"/>
        <v>7.5871941909624499E-2</v>
      </c>
      <c r="G236">
        <f t="shared" si="28"/>
        <v>18.240966309786245</v>
      </c>
      <c r="H236">
        <f t="shared" si="29"/>
        <v>4.4205414027922857E-3</v>
      </c>
      <c r="I236">
        <f t="shared" si="30"/>
        <v>18.468582135515117</v>
      </c>
      <c r="P236" s="2">
        <v>28795</v>
      </c>
      <c r="Q236">
        <v>8.0292483312416785E-2</v>
      </c>
      <c r="R236">
        <f t="shared" si="31"/>
        <v>7.5871941909624499E-2</v>
      </c>
      <c r="S236">
        <f t="shared" si="32"/>
        <v>4.4205414027922857E-3</v>
      </c>
      <c r="T236">
        <v>2.8855456832555415E-2</v>
      </c>
    </row>
    <row r="237" spans="2:20" x14ac:dyDescent="0.25">
      <c r="B237">
        <f t="shared" si="33"/>
        <v>236</v>
      </c>
      <c r="C237">
        <v>8.1408910793110856E-2</v>
      </c>
      <c r="D237">
        <f t="shared" si="27"/>
        <v>18.625862988217854</v>
      </c>
      <c r="E237">
        <f t="shared" si="34"/>
        <v>18.625862988217854</v>
      </c>
      <c r="F237">
        <f t="shared" si="35"/>
        <v>7.6979335686321815E-2</v>
      </c>
      <c r="G237">
        <f t="shared" si="28"/>
        <v>18.317945645472566</v>
      </c>
      <c r="H237">
        <f t="shared" si="29"/>
        <v>4.429575106789041E-3</v>
      </c>
      <c r="I237">
        <f t="shared" si="30"/>
        <v>18.548883652531533</v>
      </c>
      <c r="P237" s="2">
        <v>28825</v>
      </c>
      <c r="Q237">
        <v>8.1408910793110856E-2</v>
      </c>
      <c r="R237">
        <f t="shared" si="31"/>
        <v>7.6979335686321815E-2</v>
      </c>
      <c r="S237">
        <f t="shared" si="32"/>
        <v>4.429575106789041E-3</v>
      </c>
      <c r="T237">
        <v>2.5700583108580588E-2</v>
      </c>
    </row>
    <row r="238" spans="2:20" x14ac:dyDescent="0.25">
      <c r="B238">
        <f t="shared" si="33"/>
        <v>237</v>
      </c>
      <c r="C238">
        <v>7.7993139483500507E-2</v>
      </c>
      <c r="D238">
        <f t="shared" si="27"/>
        <v>18.703856127701354</v>
      </c>
      <c r="E238">
        <f t="shared" si="34"/>
        <v>18.703856127701354</v>
      </c>
      <c r="F238">
        <f t="shared" si="35"/>
        <v>7.718209644575752E-2</v>
      </c>
      <c r="G238">
        <f t="shared" si="28"/>
        <v>18.395127741918323</v>
      </c>
      <c r="H238">
        <f t="shared" si="29"/>
        <v>8.1104303774298669E-4</v>
      </c>
      <c r="I238">
        <f t="shared" si="30"/>
        <v>18.626674031255597</v>
      </c>
      <c r="P238" s="2">
        <v>28856</v>
      </c>
      <c r="Q238">
        <v>7.7993139483500507E-2</v>
      </c>
      <c r="R238">
        <f t="shared" si="31"/>
        <v>7.718209644575752E-2</v>
      </c>
      <c r="S238">
        <f t="shared" si="32"/>
        <v>8.1104303774298669E-4</v>
      </c>
      <c r="T238">
        <v>2.5623104887897874E-2</v>
      </c>
    </row>
    <row r="239" spans="2:20" x14ac:dyDescent="0.25">
      <c r="B239">
        <f t="shared" si="33"/>
        <v>238</v>
      </c>
      <c r="C239">
        <v>7.6903524302167625E-2</v>
      </c>
      <c r="D239">
        <f t="shared" si="27"/>
        <v>18.780759652003521</v>
      </c>
      <c r="E239">
        <f t="shared" si="34"/>
        <v>18.780759652003521</v>
      </c>
      <c r="F239">
        <f t="shared" si="35"/>
        <v>7.7126382017039682E-2</v>
      </c>
      <c r="G239">
        <f t="shared" si="28"/>
        <v>18.472254123935361</v>
      </c>
      <c r="H239">
        <f t="shared" si="29"/>
        <v>-2.228577148720573E-4</v>
      </c>
      <c r="I239">
        <f t="shared" si="30"/>
        <v>18.703633269986483</v>
      </c>
      <c r="P239" s="2">
        <v>28887</v>
      </c>
      <c r="Q239">
        <v>7.6903524302167625E-2</v>
      </c>
      <c r="R239">
        <f t="shared" si="31"/>
        <v>7.7126382017039682E-2</v>
      </c>
      <c r="S239">
        <f t="shared" si="32"/>
        <v>-2.228577148720573E-4</v>
      </c>
      <c r="T239">
        <v>2.5546092427696454E-2</v>
      </c>
    </row>
    <row r="240" spans="2:20" x14ac:dyDescent="0.25">
      <c r="B240">
        <f t="shared" si="33"/>
        <v>239</v>
      </c>
      <c r="C240">
        <v>7.5646672334684695E-2</v>
      </c>
      <c r="D240">
        <f t="shared" si="27"/>
        <v>18.856406324338206</v>
      </c>
      <c r="E240">
        <f t="shared" si="34"/>
        <v>18.856406324338206</v>
      </c>
      <c r="F240">
        <f t="shared" si="35"/>
        <v>7.6830440080568968E-2</v>
      </c>
      <c r="G240">
        <f t="shared" si="28"/>
        <v>18.549084564015931</v>
      </c>
      <c r="H240">
        <f t="shared" si="29"/>
        <v>-1.1837677458842732E-3</v>
      </c>
      <c r="I240">
        <f t="shared" si="30"/>
        <v>18.779575884257635</v>
      </c>
      <c r="P240" s="2">
        <v>28915</v>
      </c>
      <c r="Q240">
        <v>7.5646672334684695E-2</v>
      </c>
      <c r="R240">
        <f t="shared" si="31"/>
        <v>7.6830440080568968E-2</v>
      </c>
      <c r="S240">
        <f t="shared" si="32"/>
        <v>-1.1837677458842732E-3</v>
      </c>
      <c r="T240">
        <v>3.0550444198425453E-2</v>
      </c>
    </row>
    <row r="241" spans="2:20" x14ac:dyDescent="0.25">
      <c r="B241">
        <f t="shared" si="33"/>
        <v>240</v>
      </c>
      <c r="C241">
        <v>7.5889484088481396E-2</v>
      </c>
      <c r="D241">
        <f t="shared" si="27"/>
        <v>18.932295808426687</v>
      </c>
      <c r="E241">
        <f t="shared" si="34"/>
        <v>18.932295808426687</v>
      </c>
      <c r="F241">
        <f t="shared" si="35"/>
        <v>7.6642248882151168E-2</v>
      </c>
      <c r="G241">
        <f t="shared" si="28"/>
        <v>18.625726812898083</v>
      </c>
      <c r="H241">
        <f t="shared" si="29"/>
        <v>-7.5276479366977178E-4</v>
      </c>
      <c r="I241">
        <f t="shared" si="30"/>
        <v>18.855653559544535</v>
      </c>
      <c r="P241" s="2">
        <v>28946</v>
      </c>
      <c r="Q241">
        <v>7.5889484088481396E-2</v>
      </c>
      <c r="R241">
        <f t="shared" si="31"/>
        <v>7.6642248882151168E-2</v>
      </c>
      <c r="S241">
        <f t="shared" si="32"/>
        <v>-7.5276479366977178E-4</v>
      </c>
      <c r="T241">
        <v>3.2280148807292353E-2</v>
      </c>
    </row>
    <row r="242" spans="2:20" x14ac:dyDescent="0.25">
      <c r="B242">
        <f t="shared" si="33"/>
        <v>241</v>
      </c>
      <c r="C242">
        <v>7.7886808435215116E-2</v>
      </c>
      <c r="D242">
        <f t="shared" si="27"/>
        <v>19.010182616861904</v>
      </c>
      <c r="E242">
        <f t="shared" si="34"/>
        <v>19.010182616861904</v>
      </c>
      <c r="F242">
        <f t="shared" si="35"/>
        <v>7.6891160792764174E-2</v>
      </c>
      <c r="G242">
        <f t="shared" si="28"/>
        <v>18.702617973690849</v>
      </c>
      <c r="H242">
        <f t="shared" si="29"/>
        <v>9.9564764245094195E-4</v>
      </c>
      <c r="I242">
        <f t="shared" si="30"/>
        <v>18.933291456069139</v>
      </c>
      <c r="P242" s="2">
        <v>28976</v>
      </c>
      <c r="Q242">
        <v>7.7886808435215116E-2</v>
      </c>
      <c r="R242">
        <f t="shared" si="31"/>
        <v>7.6891160792764174E-2</v>
      </c>
      <c r="S242">
        <f t="shared" si="32"/>
        <v>9.9564764245094195E-4</v>
      </c>
      <c r="T242">
        <v>3.5824726518145056E-2</v>
      </c>
    </row>
    <row r="243" spans="2:20" x14ac:dyDescent="0.25">
      <c r="B243">
        <f t="shared" si="33"/>
        <v>242</v>
      </c>
      <c r="C243">
        <v>8.1370588337094318E-2</v>
      </c>
      <c r="D243">
        <f t="shared" si="27"/>
        <v>19.091553205198998</v>
      </c>
      <c r="E243">
        <f t="shared" si="34"/>
        <v>19.091553205198998</v>
      </c>
      <c r="F243">
        <f t="shared" si="35"/>
        <v>7.7787046301629914E-2</v>
      </c>
      <c r="G243">
        <f t="shared" si="28"/>
        <v>18.780405019992479</v>
      </c>
      <c r="H243">
        <f t="shared" si="29"/>
        <v>3.5835420354644043E-3</v>
      </c>
      <c r="I243">
        <f t="shared" si="30"/>
        <v>19.013766158897369</v>
      </c>
      <c r="P243" s="2">
        <v>29007</v>
      </c>
      <c r="Q243">
        <v>8.1370588337094318E-2</v>
      </c>
      <c r="R243">
        <f t="shared" si="31"/>
        <v>7.7787046301629914E-2</v>
      </c>
      <c r="S243">
        <f t="shared" si="32"/>
        <v>3.5835420354644043E-3</v>
      </c>
      <c r="T243">
        <v>3.5718082602079537E-2</v>
      </c>
    </row>
    <row r="244" spans="2:20" x14ac:dyDescent="0.25">
      <c r="B244">
        <f t="shared" si="33"/>
        <v>243</v>
      </c>
      <c r="C244">
        <v>7.7612006401840183E-2</v>
      </c>
      <c r="D244">
        <f t="shared" ref="D244:D307" si="36">D243 +C244</f>
        <v>19.169165211600838</v>
      </c>
      <c r="E244">
        <f t="shared" si="34"/>
        <v>19.169165211600838</v>
      </c>
      <c r="F244">
        <f t="shared" si="35"/>
        <v>7.7752038321671796E-2</v>
      </c>
      <c r="G244">
        <f t="shared" ref="G244:G307" si="37">G243 + F244</f>
        <v>18.858157058314152</v>
      </c>
      <c r="H244">
        <f t="shared" ref="H244:H307" si="38">C244-F244</f>
        <v>-1.4003191983161245E-4</v>
      </c>
      <c r="I244">
        <f t="shared" ref="I244:I307" si="39">E244-F244</f>
        <v>19.091413173279165</v>
      </c>
      <c r="P244" s="2">
        <v>29037</v>
      </c>
      <c r="Q244">
        <v>7.7612006401840183E-2</v>
      </c>
      <c r="R244">
        <f t="shared" ref="R244:R307" si="40">F244</f>
        <v>7.7752038321671796E-2</v>
      </c>
      <c r="S244">
        <f t="shared" ref="S244:S307" si="41">H244</f>
        <v>-1.4003191983161245E-4</v>
      </c>
      <c r="T244">
        <v>3.8637792705413787E-2</v>
      </c>
    </row>
    <row r="245" spans="2:20" x14ac:dyDescent="0.25">
      <c r="B245">
        <f t="shared" si="33"/>
        <v>244</v>
      </c>
      <c r="C245">
        <v>6.8959587524825672E-2</v>
      </c>
      <c r="D245">
        <f t="shared" si="36"/>
        <v>19.238124799125664</v>
      </c>
      <c r="E245">
        <f t="shared" si="34"/>
        <v>19.238124799125664</v>
      </c>
      <c r="F245">
        <f t="shared" si="35"/>
        <v>7.5993548162302471E-2</v>
      </c>
      <c r="G245">
        <f t="shared" si="37"/>
        <v>18.934150606476454</v>
      </c>
      <c r="H245">
        <f t="shared" si="38"/>
        <v>-7.0339606374767993E-3</v>
      </c>
      <c r="I245">
        <f t="shared" si="39"/>
        <v>19.162131250963363</v>
      </c>
      <c r="P245" s="2">
        <v>29068</v>
      </c>
      <c r="Q245">
        <v>6.8959587524825672E-2</v>
      </c>
      <c r="R245">
        <f t="shared" si="40"/>
        <v>7.5993548162302471E-2</v>
      </c>
      <c r="S245">
        <f t="shared" si="41"/>
        <v>-7.0339606374767993E-3</v>
      </c>
      <c r="T245">
        <v>3.8523281996335257E-2</v>
      </c>
    </row>
    <row r="246" spans="2:20" x14ac:dyDescent="0.25">
      <c r="B246">
        <f t="shared" si="33"/>
        <v>245</v>
      </c>
      <c r="C246">
        <v>6.9900132471754972E-2</v>
      </c>
      <c r="D246">
        <f t="shared" si="36"/>
        <v>19.308024931597419</v>
      </c>
      <c r="E246">
        <f t="shared" si="34"/>
        <v>19.308024931597419</v>
      </c>
      <c r="F246">
        <f t="shared" si="35"/>
        <v>7.4774865024193102E-2</v>
      </c>
      <c r="G246">
        <f t="shared" si="37"/>
        <v>19.008925471500646</v>
      </c>
      <c r="H246">
        <f t="shared" si="38"/>
        <v>-4.8747325524381296E-3</v>
      </c>
      <c r="I246">
        <f t="shared" si="39"/>
        <v>19.233250066573227</v>
      </c>
      <c r="P246" s="2">
        <v>29099</v>
      </c>
      <c r="Q246">
        <v>6.9900132471754972E-2</v>
      </c>
      <c r="R246">
        <f t="shared" si="40"/>
        <v>7.4774865024193102E-2</v>
      </c>
      <c r="S246">
        <f t="shared" si="41"/>
        <v>-4.8747325524381296E-3</v>
      </c>
      <c r="T246">
        <v>4.1426041654296863E-2</v>
      </c>
    </row>
    <row r="247" spans="2:20" x14ac:dyDescent="0.25">
      <c r="B247">
        <f t="shared" si="33"/>
        <v>246</v>
      </c>
      <c r="C247">
        <v>7.1977403732405243E-2</v>
      </c>
      <c r="D247">
        <f t="shared" si="36"/>
        <v>19.380002335329824</v>
      </c>
      <c r="E247">
        <f t="shared" si="34"/>
        <v>19.380002335329824</v>
      </c>
      <c r="F247">
        <f t="shared" si="35"/>
        <v>7.4215372765835494E-2</v>
      </c>
      <c r="G247">
        <f t="shared" si="37"/>
        <v>19.083140844266481</v>
      </c>
      <c r="H247">
        <f t="shared" si="38"/>
        <v>-2.237969033430251E-3</v>
      </c>
      <c r="I247">
        <f t="shared" si="39"/>
        <v>19.305786962563989</v>
      </c>
      <c r="P247" s="2">
        <v>29129</v>
      </c>
      <c r="Q247">
        <v>7.1977403732405243E-2</v>
      </c>
      <c r="R247">
        <f t="shared" si="40"/>
        <v>7.4215372765835494E-2</v>
      </c>
      <c r="S247">
        <f t="shared" si="41"/>
        <v>-2.237969033430251E-3</v>
      </c>
      <c r="T247">
        <v>4.1182289966415375E-2</v>
      </c>
    </row>
    <row r="248" spans="2:20" x14ac:dyDescent="0.25">
      <c r="B248">
        <f t="shared" si="33"/>
        <v>247</v>
      </c>
      <c r="C248">
        <v>7.4322015914042971E-2</v>
      </c>
      <c r="D248">
        <f t="shared" si="36"/>
        <v>19.454324351243866</v>
      </c>
      <c r="E248">
        <f t="shared" si="34"/>
        <v>19.454324351243866</v>
      </c>
      <c r="F248">
        <f t="shared" si="35"/>
        <v>7.4236701395476959E-2</v>
      </c>
      <c r="G248">
        <f t="shared" si="37"/>
        <v>19.157377545661959</v>
      </c>
      <c r="H248">
        <f t="shared" si="38"/>
        <v>8.5314518566012576E-5</v>
      </c>
      <c r="I248">
        <f t="shared" si="39"/>
        <v>19.380087649848388</v>
      </c>
      <c r="P248" s="2">
        <v>29160</v>
      </c>
      <c r="Q248">
        <v>7.4322015914042971E-2</v>
      </c>
      <c r="R248">
        <f t="shared" si="40"/>
        <v>7.4236701395476959E-2</v>
      </c>
      <c r="S248">
        <f t="shared" si="41"/>
        <v>8.5314518566012576E-5</v>
      </c>
      <c r="T248">
        <v>4.3930929225727056E-2</v>
      </c>
    </row>
    <row r="249" spans="2:20" x14ac:dyDescent="0.25">
      <c r="B249">
        <f t="shared" si="33"/>
        <v>248</v>
      </c>
      <c r="C249">
        <v>7.6430922307952898E-2</v>
      </c>
      <c r="D249">
        <f t="shared" si="36"/>
        <v>19.530755273551819</v>
      </c>
      <c r="E249">
        <f t="shared" si="34"/>
        <v>19.530755273551819</v>
      </c>
      <c r="F249">
        <f t="shared" si="35"/>
        <v>7.4675545577972E-2</v>
      </c>
      <c r="G249">
        <f t="shared" si="37"/>
        <v>19.23205309123993</v>
      </c>
      <c r="H249">
        <f t="shared" si="38"/>
        <v>1.7553767299808981E-3</v>
      </c>
      <c r="I249">
        <f t="shared" si="39"/>
        <v>19.456079727973847</v>
      </c>
      <c r="P249" s="2">
        <v>29190</v>
      </c>
      <c r="Q249">
        <v>7.6430922307952898E-2</v>
      </c>
      <c r="R249">
        <f t="shared" si="40"/>
        <v>7.4675545577972E-2</v>
      </c>
      <c r="S249">
        <f t="shared" si="41"/>
        <v>1.7553767299808981E-3</v>
      </c>
      <c r="T249">
        <v>4.3802622658392742E-2</v>
      </c>
    </row>
    <row r="250" spans="2:20" x14ac:dyDescent="0.25">
      <c r="B250">
        <f t="shared" si="33"/>
        <v>249</v>
      </c>
      <c r="C250">
        <v>7.9232997457908461E-2</v>
      </c>
      <c r="D250">
        <f t="shared" si="36"/>
        <v>19.609988271009726</v>
      </c>
      <c r="E250">
        <f t="shared" si="34"/>
        <v>19.609988271009726</v>
      </c>
      <c r="F250">
        <f t="shared" si="35"/>
        <v>7.558703595395927E-2</v>
      </c>
      <c r="G250">
        <f t="shared" si="37"/>
        <v>19.307640127193888</v>
      </c>
      <c r="H250">
        <f t="shared" si="38"/>
        <v>3.6459615039491911E-3</v>
      </c>
      <c r="I250">
        <f t="shared" si="39"/>
        <v>19.534401235055768</v>
      </c>
      <c r="P250" s="2">
        <v>29221</v>
      </c>
      <c r="Q250">
        <v>7.9232997457908461E-2</v>
      </c>
      <c r="R250">
        <f t="shared" si="40"/>
        <v>7.558703595395927E-2</v>
      </c>
      <c r="S250">
        <f t="shared" si="41"/>
        <v>3.6459615039491911E-3</v>
      </c>
      <c r="T250">
        <v>4.367506350266126E-2</v>
      </c>
    </row>
    <row r="251" spans="2:20" x14ac:dyDescent="0.25">
      <c r="B251">
        <f t="shared" si="33"/>
        <v>250</v>
      </c>
      <c r="C251">
        <v>8.1747845602859748E-2</v>
      </c>
      <c r="D251">
        <f t="shared" si="36"/>
        <v>19.691736116612585</v>
      </c>
      <c r="E251">
        <f t="shared" si="34"/>
        <v>19.691736116612585</v>
      </c>
      <c r="F251">
        <f t="shared" si="35"/>
        <v>7.6819197883739324E-2</v>
      </c>
      <c r="G251">
        <f t="shared" si="37"/>
        <v>19.384459325077628</v>
      </c>
      <c r="H251">
        <f t="shared" si="38"/>
        <v>4.9286477191204242E-3</v>
      </c>
      <c r="I251">
        <f t="shared" si="39"/>
        <v>19.614916918728845</v>
      </c>
      <c r="P251" s="2">
        <v>29252</v>
      </c>
      <c r="Q251">
        <v>8.1747845602859748E-2</v>
      </c>
      <c r="R251">
        <f t="shared" si="40"/>
        <v>7.6819197883739324E-2</v>
      </c>
      <c r="S251">
        <f t="shared" si="41"/>
        <v>4.9286477191204242E-3</v>
      </c>
      <c r="T251">
        <v>4.6385126580934966E-2</v>
      </c>
    </row>
    <row r="252" spans="2:20" x14ac:dyDescent="0.25">
      <c r="B252">
        <f t="shared" si="33"/>
        <v>251</v>
      </c>
      <c r="C252">
        <v>8.4905789578194835E-2</v>
      </c>
      <c r="D252">
        <f t="shared" si="36"/>
        <v>19.776641906190779</v>
      </c>
      <c r="E252">
        <f t="shared" si="34"/>
        <v>19.776641906190779</v>
      </c>
      <c r="F252">
        <f t="shared" si="35"/>
        <v>7.8436516222630107E-2</v>
      </c>
      <c r="G252">
        <f t="shared" si="37"/>
        <v>19.462895841300259</v>
      </c>
      <c r="H252">
        <f t="shared" si="38"/>
        <v>6.469273355564728E-3</v>
      </c>
      <c r="I252">
        <f t="shared" si="39"/>
        <v>19.698205389968148</v>
      </c>
      <c r="P252" s="2">
        <v>29281</v>
      </c>
      <c r="Q252">
        <v>8.4905789578194835E-2</v>
      </c>
      <c r="R252">
        <f t="shared" si="40"/>
        <v>7.8436516222630107E-2</v>
      </c>
      <c r="S252">
        <f t="shared" si="41"/>
        <v>6.469273355564728E-3</v>
      </c>
      <c r="T252">
        <v>4.3296805753324286E-2</v>
      </c>
    </row>
    <row r="253" spans="2:20" x14ac:dyDescent="0.25">
      <c r="B253">
        <f t="shared" si="33"/>
        <v>252</v>
      </c>
      <c r="C253">
        <v>8.2102376195504867E-2</v>
      </c>
      <c r="D253">
        <f t="shared" si="36"/>
        <v>19.858744282386283</v>
      </c>
      <c r="E253">
        <f t="shared" si="34"/>
        <v>19.858744282386283</v>
      </c>
      <c r="F253">
        <f t="shared" si="35"/>
        <v>7.9169688217204742E-2</v>
      </c>
      <c r="G253">
        <f t="shared" si="37"/>
        <v>19.542065529517465</v>
      </c>
      <c r="H253">
        <f t="shared" si="38"/>
        <v>2.9326879783001247E-3</v>
      </c>
      <c r="I253">
        <f t="shared" si="39"/>
        <v>19.779574594169077</v>
      </c>
      <c r="P253" s="2">
        <v>29312</v>
      </c>
      <c r="Q253">
        <v>8.2102376195504867E-2</v>
      </c>
      <c r="R253">
        <f t="shared" si="40"/>
        <v>7.9169688217204742E-2</v>
      </c>
      <c r="S253">
        <f t="shared" si="41"/>
        <v>2.9326879783001247E-3</v>
      </c>
      <c r="T253">
        <v>4.5985113241823417E-2</v>
      </c>
    </row>
    <row r="254" spans="2:20" x14ac:dyDescent="0.25">
      <c r="B254">
        <f t="shared" si="33"/>
        <v>253</v>
      </c>
      <c r="C254">
        <v>8.0442107023727338E-2</v>
      </c>
      <c r="D254">
        <f t="shared" si="36"/>
        <v>19.939186389410011</v>
      </c>
      <c r="E254">
        <f t="shared" si="34"/>
        <v>19.939186389410011</v>
      </c>
      <c r="F254">
        <f t="shared" si="35"/>
        <v>7.942417197850915E-2</v>
      </c>
      <c r="G254">
        <f t="shared" si="37"/>
        <v>19.621489701495975</v>
      </c>
      <c r="H254">
        <f t="shared" si="38"/>
        <v>1.0179350452181879E-3</v>
      </c>
      <c r="I254">
        <f t="shared" si="39"/>
        <v>19.859762217431502</v>
      </c>
      <c r="P254" s="2">
        <v>29342</v>
      </c>
      <c r="Q254">
        <v>8.0442107023727338E-2</v>
      </c>
      <c r="R254">
        <f t="shared" si="40"/>
        <v>7.942417197850915E-2</v>
      </c>
      <c r="S254">
        <f t="shared" si="41"/>
        <v>1.0179350452181879E-3</v>
      </c>
      <c r="T254">
        <v>4.5853304496122238E-2</v>
      </c>
    </row>
    <row r="255" spans="2:20" x14ac:dyDescent="0.25">
      <c r="B255">
        <f t="shared" si="33"/>
        <v>254</v>
      </c>
      <c r="C255">
        <v>7.976474544372536E-2</v>
      </c>
      <c r="D255">
        <f t="shared" si="36"/>
        <v>20.018951134853737</v>
      </c>
      <c r="E255">
        <f t="shared" si="34"/>
        <v>20.018951134853737</v>
      </c>
      <c r="F255">
        <f t="shared" si="35"/>
        <v>7.9492286671552392E-2</v>
      </c>
      <c r="G255">
        <f t="shared" si="37"/>
        <v>19.700981988167527</v>
      </c>
      <c r="H255">
        <f t="shared" si="38"/>
        <v>2.7245877217296766E-4</v>
      </c>
      <c r="I255">
        <f t="shared" si="39"/>
        <v>19.939458848182184</v>
      </c>
      <c r="P255" s="2">
        <v>29373</v>
      </c>
      <c r="Q255">
        <v>7.976474544372536E-2</v>
      </c>
      <c r="R255">
        <f t="shared" si="40"/>
        <v>7.9492286671552392E-2</v>
      </c>
      <c r="S255">
        <f t="shared" si="41"/>
        <v>2.7245877217296766E-4</v>
      </c>
      <c r="T255">
        <v>4.5722249338094656E-2</v>
      </c>
    </row>
    <row r="256" spans="2:20" x14ac:dyDescent="0.25">
      <c r="B256">
        <f t="shared" si="33"/>
        <v>255</v>
      </c>
      <c r="C256">
        <v>8.7289153225992067E-2</v>
      </c>
      <c r="D256">
        <f t="shared" si="36"/>
        <v>20.106240288079729</v>
      </c>
      <c r="E256">
        <f t="shared" si="34"/>
        <v>20.106240288079729</v>
      </c>
      <c r="F256">
        <f t="shared" si="35"/>
        <v>8.1051659982440336E-2</v>
      </c>
      <c r="G256">
        <f t="shared" si="37"/>
        <v>19.782033648149966</v>
      </c>
      <c r="H256">
        <f t="shared" si="38"/>
        <v>6.2374932435517311E-3</v>
      </c>
      <c r="I256">
        <f t="shared" si="39"/>
        <v>20.02518862809729</v>
      </c>
      <c r="P256" s="2">
        <v>29403</v>
      </c>
      <c r="Q256">
        <v>8.7289153225992067E-2</v>
      </c>
      <c r="R256">
        <f t="shared" si="40"/>
        <v>8.1051659982440336E-2</v>
      </c>
      <c r="S256">
        <f t="shared" si="41"/>
        <v>6.2374932435517311E-3</v>
      </c>
      <c r="T256">
        <v>5.1147511166941051E-2</v>
      </c>
    </row>
    <row r="257" spans="2:20" x14ac:dyDescent="0.25">
      <c r="B257">
        <f t="shared" si="33"/>
        <v>256</v>
      </c>
      <c r="C257">
        <v>9.9404858223351766E-2</v>
      </c>
      <c r="D257">
        <f t="shared" si="36"/>
        <v>20.20564514630308</v>
      </c>
      <c r="E257">
        <f t="shared" si="34"/>
        <v>20.20564514630308</v>
      </c>
      <c r="F257">
        <f t="shared" si="35"/>
        <v>8.4722299630622902E-2</v>
      </c>
      <c r="G257">
        <f t="shared" si="37"/>
        <v>19.86675594778059</v>
      </c>
      <c r="H257">
        <f t="shared" si="38"/>
        <v>1.4682558592728864E-2</v>
      </c>
      <c r="I257">
        <f t="shared" si="39"/>
        <v>20.120922846672457</v>
      </c>
      <c r="P257" s="2">
        <v>29434</v>
      </c>
      <c r="Q257">
        <v>9.9404858223351766E-2</v>
      </c>
      <c r="R257">
        <f t="shared" si="40"/>
        <v>8.4722299630622902E-2</v>
      </c>
      <c r="S257">
        <f t="shared" si="41"/>
        <v>1.4682558592728864E-2</v>
      </c>
      <c r="T257">
        <v>5.3761176891452322E-2</v>
      </c>
    </row>
    <row r="258" spans="2:20" x14ac:dyDescent="0.25">
      <c r="B258">
        <f t="shared" si="33"/>
        <v>257</v>
      </c>
      <c r="C258">
        <v>9.5712856709634586E-2</v>
      </c>
      <c r="D258">
        <f t="shared" si="36"/>
        <v>20.301358003012716</v>
      </c>
      <c r="E258">
        <f t="shared" si="34"/>
        <v>20.301358003012716</v>
      </c>
      <c r="F258">
        <f t="shared" si="35"/>
        <v>8.6920411046425283E-2</v>
      </c>
      <c r="G258">
        <f t="shared" si="37"/>
        <v>19.953676358827014</v>
      </c>
      <c r="H258">
        <f t="shared" si="38"/>
        <v>8.7924456632093029E-3</v>
      </c>
      <c r="I258">
        <f t="shared" si="39"/>
        <v>20.214437591966291</v>
      </c>
      <c r="P258" s="2">
        <v>29465</v>
      </c>
      <c r="Q258">
        <v>9.5712856709634586E-2</v>
      </c>
      <c r="R258">
        <f t="shared" si="40"/>
        <v>8.6920411046425283E-2</v>
      </c>
      <c r="S258">
        <f t="shared" si="41"/>
        <v>8.7924456632093029E-3</v>
      </c>
      <c r="T258">
        <v>5.3609450605380804E-2</v>
      </c>
    </row>
    <row r="259" spans="2:20" x14ac:dyDescent="0.25">
      <c r="B259">
        <f t="shared" si="33"/>
        <v>258</v>
      </c>
      <c r="C259">
        <v>8.8258528173644102E-2</v>
      </c>
      <c r="D259">
        <f t="shared" si="36"/>
        <v>20.389616531186359</v>
      </c>
      <c r="E259">
        <f t="shared" si="34"/>
        <v>20.389616531186359</v>
      </c>
      <c r="F259">
        <f t="shared" si="35"/>
        <v>8.7188034471869014E-2</v>
      </c>
      <c r="G259">
        <f t="shared" si="37"/>
        <v>20.040864393298882</v>
      </c>
      <c r="H259">
        <f t="shared" si="38"/>
        <v>1.0704937017750882E-3</v>
      </c>
      <c r="I259">
        <f t="shared" si="39"/>
        <v>20.302428496714491</v>
      </c>
      <c r="P259" s="2">
        <v>29495</v>
      </c>
      <c r="Q259">
        <v>8.8258528173644102E-2</v>
      </c>
      <c r="R259">
        <f t="shared" si="40"/>
        <v>8.7188034471869014E-2</v>
      </c>
      <c r="S259">
        <f t="shared" si="41"/>
        <v>1.0704937017750882E-3</v>
      </c>
      <c r="T259">
        <v>5.3308553454507024E-2</v>
      </c>
    </row>
    <row r="260" spans="2:20" x14ac:dyDescent="0.25">
      <c r="B260">
        <f t="shared" ref="B260:B323" si="42">B259+1</f>
        <v>259</v>
      </c>
      <c r="C260">
        <v>8.4576624161216252E-2</v>
      </c>
      <c r="D260">
        <f t="shared" si="36"/>
        <v>20.474193155347574</v>
      </c>
      <c r="E260">
        <f t="shared" ref="E260:E323" si="43">D260</f>
        <v>20.474193155347574</v>
      </c>
      <c r="F260">
        <f t="shared" ref="F260:F323" si="44">$K$1*(E260-G259)</f>
        <v>8.6665752409738422E-2</v>
      </c>
      <c r="G260">
        <f t="shared" si="37"/>
        <v>20.127530145708622</v>
      </c>
      <c r="H260">
        <f t="shared" si="38"/>
        <v>-2.0891282485221707E-3</v>
      </c>
      <c r="I260">
        <f t="shared" si="39"/>
        <v>20.387527402937835</v>
      </c>
      <c r="P260" s="2">
        <v>29526</v>
      </c>
      <c r="Q260">
        <v>8.4576624161216252E-2</v>
      </c>
      <c r="R260">
        <f t="shared" si="40"/>
        <v>8.6665752409738422E-2</v>
      </c>
      <c r="S260">
        <f t="shared" si="41"/>
        <v>-2.0891282485221707E-3</v>
      </c>
      <c r="T260">
        <v>5.3011015966503816E-2</v>
      </c>
    </row>
    <row r="261" spans="2:20" x14ac:dyDescent="0.25">
      <c r="B261">
        <f t="shared" si="42"/>
        <v>260</v>
      </c>
      <c r="C261">
        <v>8.1622778440927135E-2</v>
      </c>
      <c r="D261">
        <f t="shared" si="36"/>
        <v>20.555815933788502</v>
      </c>
      <c r="E261">
        <f t="shared" si="43"/>
        <v>20.555815933788502</v>
      </c>
      <c r="F261">
        <f t="shared" si="44"/>
        <v>8.5657157615975879E-2</v>
      </c>
      <c r="G261">
        <f t="shared" si="37"/>
        <v>20.213187303324599</v>
      </c>
      <c r="H261">
        <f t="shared" si="38"/>
        <v>-4.034379175048744E-3</v>
      </c>
      <c r="I261">
        <f t="shared" si="39"/>
        <v>20.470158776172525</v>
      </c>
      <c r="P261" s="2">
        <v>29556</v>
      </c>
      <c r="Q261">
        <v>8.1622778440927135E-2</v>
      </c>
      <c r="R261">
        <f t="shared" si="40"/>
        <v>8.5657157615975879E-2</v>
      </c>
      <c r="S261">
        <f t="shared" si="41"/>
        <v>-4.034379175048744E-3</v>
      </c>
      <c r="T261">
        <v>5.28634895570681E-2</v>
      </c>
    </row>
    <row r="262" spans="2:20" x14ac:dyDescent="0.25">
      <c r="B262">
        <f t="shared" si="42"/>
        <v>261</v>
      </c>
      <c r="C262">
        <v>8.0531299074276141E-2</v>
      </c>
      <c r="D262">
        <f t="shared" si="36"/>
        <v>20.636347232862779</v>
      </c>
      <c r="E262">
        <f t="shared" si="43"/>
        <v>20.636347232862779</v>
      </c>
      <c r="F262">
        <f t="shared" si="44"/>
        <v>8.4631985907635973E-2</v>
      </c>
      <c r="G262">
        <f t="shared" si="37"/>
        <v>20.297819289232233</v>
      </c>
      <c r="H262">
        <f t="shared" si="38"/>
        <v>-4.1006868333598318E-3</v>
      </c>
      <c r="I262">
        <f t="shared" si="39"/>
        <v>20.551715246955144</v>
      </c>
      <c r="P262" s="2">
        <v>29587</v>
      </c>
      <c r="Q262">
        <v>8.0531299074276141E-2</v>
      </c>
      <c r="R262">
        <f t="shared" si="40"/>
        <v>8.4631985907635973E-2</v>
      </c>
      <c r="S262">
        <f t="shared" si="41"/>
        <v>-4.1006868333598318E-3</v>
      </c>
      <c r="T262">
        <v>5.5415839141569556E-2</v>
      </c>
    </row>
    <row r="263" spans="2:20" x14ac:dyDescent="0.25">
      <c r="B263">
        <f t="shared" si="42"/>
        <v>262</v>
      </c>
      <c r="C263">
        <v>8.291203883951237E-2</v>
      </c>
      <c r="D263">
        <f t="shared" si="36"/>
        <v>20.719259271702292</v>
      </c>
      <c r="E263">
        <f t="shared" si="43"/>
        <v>20.719259271702292</v>
      </c>
      <c r="F263">
        <f t="shared" si="44"/>
        <v>8.428799649401171E-2</v>
      </c>
      <c r="G263">
        <f t="shared" si="37"/>
        <v>20.382107285726246</v>
      </c>
      <c r="H263">
        <f t="shared" si="38"/>
        <v>-1.3759576544993407E-3</v>
      </c>
      <c r="I263">
        <f t="shared" si="39"/>
        <v>20.634971275208279</v>
      </c>
      <c r="P263" s="2">
        <v>29618</v>
      </c>
      <c r="Q263">
        <v>8.291203883951237E-2</v>
      </c>
      <c r="R263">
        <f t="shared" si="40"/>
        <v>8.428799649401171E-2</v>
      </c>
      <c r="S263">
        <f t="shared" si="41"/>
        <v>-1.3759576544993407E-3</v>
      </c>
      <c r="T263">
        <v>5.5110362710518501E-2</v>
      </c>
    </row>
    <row r="264" spans="2:20" x14ac:dyDescent="0.25">
      <c r="B264">
        <f t="shared" si="42"/>
        <v>263</v>
      </c>
      <c r="C264">
        <v>8.4266040373721651E-2</v>
      </c>
      <c r="D264">
        <f t="shared" si="36"/>
        <v>20.803525312076012</v>
      </c>
      <c r="E264">
        <f t="shared" si="43"/>
        <v>20.803525312076012</v>
      </c>
      <c r="F264">
        <f t="shared" si="44"/>
        <v>8.428360526995321E-2</v>
      </c>
      <c r="G264">
        <f t="shared" si="37"/>
        <v>20.466390890996198</v>
      </c>
      <c r="H264">
        <f t="shared" si="38"/>
        <v>-1.756489623155888E-5</v>
      </c>
      <c r="I264">
        <f t="shared" si="39"/>
        <v>20.719241706806059</v>
      </c>
      <c r="P264" s="2">
        <v>29646</v>
      </c>
      <c r="Q264">
        <v>8.4266040373721651E-2</v>
      </c>
      <c r="R264">
        <f t="shared" si="40"/>
        <v>8.428360526995321E-2</v>
      </c>
      <c r="S264">
        <f t="shared" si="41"/>
        <v>-1.756489623155888E-5</v>
      </c>
      <c r="T264">
        <v>5.7629112836636409E-2</v>
      </c>
    </row>
    <row r="265" spans="2:20" x14ac:dyDescent="0.25">
      <c r="B265">
        <f t="shared" si="42"/>
        <v>264</v>
      </c>
      <c r="C265">
        <v>9.2875095193765134E-2</v>
      </c>
      <c r="D265">
        <f t="shared" si="36"/>
        <v>20.896400407269777</v>
      </c>
      <c r="E265">
        <f t="shared" si="43"/>
        <v>20.896400407269777</v>
      </c>
      <c r="F265">
        <f t="shared" si="44"/>
        <v>8.6001903254715739E-2</v>
      </c>
      <c r="G265">
        <f t="shared" si="37"/>
        <v>20.552392794250913</v>
      </c>
      <c r="H265">
        <f t="shared" si="38"/>
        <v>6.8731919390493945E-3</v>
      </c>
      <c r="I265">
        <f t="shared" si="39"/>
        <v>20.810398504015062</v>
      </c>
      <c r="P265" s="2">
        <v>29677</v>
      </c>
      <c r="Q265">
        <v>9.2875095193765134E-2</v>
      </c>
      <c r="R265">
        <f t="shared" si="40"/>
        <v>8.6001903254715739E-2</v>
      </c>
      <c r="S265">
        <f t="shared" si="41"/>
        <v>6.8731919390493945E-3</v>
      </c>
      <c r="T265">
        <v>5.7314456595980001E-2</v>
      </c>
    </row>
    <row r="266" spans="2:20" x14ac:dyDescent="0.25">
      <c r="B266">
        <f t="shared" si="42"/>
        <v>265</v>
      </c>
      <c r="C266">
        <v>9.6898652689132447E-2</v>
      </c>
      <c r="D266">
        <f t="shared" si="36"/>
        <v>20.993299059958908</v>
      </c>
      <c r="E266">
        <f t="shared" si="43"/>
        <v>20.993299059958908</v>
      </c>
      <c r="F266">
        <f t="shared" si="44"/>
        <v>8.8181253141598859E-2</v>
      </c>
      <c r="G266">
        <f t="shared" si="37"/>
        <v>20.640574047392512</v>
      </c>
      <c r="H266">
        <f t="shared" si="38"/>
        <v>8.7173995475335886E-3</v>
      </c>
      <c r="I266">
        <f t="shared" si="39"/>
        <v>20.905117806817309</v>
      </c>
      <c r="P266" s="2">
        <v>29707</v>
      </c>
      <c r="Q266">
        <v>9.6898652689132447E-2</v>
      </c>
      <c r="R266">
        <f t="shared" si="40"/>
        <v>8.8181253141598859E-2</v>
      </c>
      <c r="S266">
        <f t="shared" si="41"/>
        <v>8.7173995475335886E-3</v>
      </c>
      <c r="T266">
        <v>5.9800423302787564E-2</v>
      </c>
    </row>
    <row r="267" spans="2:20" x14ac:dyDescent="0.25">
      <c r="B267">
        <f t="shared" si="42"/>
        <v>266</v>
      </c>
      <c r="C267">
        <v>9.1895335146636725E-2</v>
      </c>
      <c r="D267">
        <f t="shared" si="36"/>
        <v>21.085194395105546</v>
      </c>
      <c r="E267">
        <f t="shared" si="43"/>
        <v>21.085194395105546</v>
      </c>
      <c r="F267">
        <f t="shared" si="44"/>
        <v>8.8924069542606787E-2</v>
      </c>
      <c r="G267">
        <f t="shared" si="37"/>
        <v>20.729498116935119</v>
      </c>
      <c r="H267">
        <f t="shared" si="38"/>
        <v>2.9712656040299379E-3</v>
      </c>
      <c r="I267">
        <f t="shared" si="39"/>
        <v>20.996270325562939</v>
      </c>
      <c r="P267" s="2">
        <v>29738</v>
      </c>
      <c r="Q267">
        <v>9.1895335146636725E-2</v>
      </c>
      <c r="R267">
        <f t="shared" si="40"/>
        <v>8.8924069542606787E-2</v>
      </c>
      <c r="S267">
        <f t="shared" si="41"/>
        <v>2.9712656040299379E-3</v>
      </c>
      <c r="T267">
        <v>6.2266388726000876E-2</v>
      </c>
    </row>
    <row r="268" spans="2:20" x14ac:dyDescent="0.25">
      <c r="B268">
        <f t="shared" si="42"/>
        <v>267</v>
      </c>
      <c r="C268">
        <v>8.7637479370183513E-2</v>
      </c>
      <c r="D268">
        <f t="shared" si="36"/>
        <v>21.17283187447573</v>
      </c>
      <c r="E268">
        <f t="shared" si="43"/>
        <v>21.17283187447573</v>
      </c>
      <c r="F268">
        <f t="shared" si="44"/>
        <v>8.8666751508122144E-2</v>
      </c>
      <c r="G268">
        <f t="shared" si="37"/>
        <v>20.81816486844324</v>
      </c>
      <c r="H268">
        <f t="shared" si="38"/>
        <v>-1.0292721379386305E-3</v>
      </c>
      <c r="I268">
        <f t="shared" si="39"/>
        <v>21.084165122967608</v>
      </c>
      <c r="P268" s="2">
        <v>29768</v>
      </c>
      <c r="Q268">
        <v>8.7637479370183513E-2</v>
      </c>
      <c r="R268">
        <f t="shared" si="40"/>
        <v>8.8666751508122144E-2</v>
      </c>
      <c r="S268">
        <f t="shared" si="41"/>
        <v>-1.0292721379386305E-3</v>
      </c>
      <c r="T268">
        <v>5.9157030847765135E-2</v>
      </c>
    </row>
    <row r="269" spans="2:20" x14ac:dyDescent="0.25">
      <c r="B269">
        <f t="shared" si="42"/>
        <v>268</v>
      </c>
      <c r="C269">
        <v>8.3615429238369288E-2</v>
      </c>
      <c r="D269">
        <f t="shared" si="36"/>
        <v>21.256447303714097</v>
      </c>
      <c r="E269">
        <f t="shared" si="43"/>
        <v>21.256447303714097</v>
      </c>
      <c r="F269">
        <f t="shared" si="44"/>
        <v>8.7656487054171353E-2</v>
      </c>
      <c r="G269">
        <f t="shared" si="37"/>
        <v>20.905821355497412</v>
      </c>
      <c r="H269">
        <f t="shared" si="38"/>
        <v>-4.0410578158020655E-3</v>
      </c>
      <c r="I269">
        <f t="shared" si="39"/>
        <v>21.168790816659925</v>
      </c>
      <c r="P269" s="2">
        <v>29799</v>
      </c>
      <c r="Q269">
        <v>8.3615429238369288E-2</v>
      </c>
      <c r="R269">
        <f t="shared" si="40"/>
        <v>8.7656487054171353E-2</v>
      </c>
      <c r="S269">
        <f t="shared" si="41"/>
        <v>-4.0410578158020655E-3</v>
      </c>
      <c r="T269">
        <v>5.8840500022933728E-2</v>
      </c>
    </row>
    <row r="270" spans="2:20" x14ac:dyDescent="0.25">
      <c r="B270">
        <f t="shared" si="42"/>
        <v>269</v>
      </c>
      <c r="C270">
        <v>8.6961301626197418E-2</v>
      </c>
      <c r="D270">
        <f t="shared" si="36"/>
        <v>21.343408605340294</v>
      </c>
      <c r="E270">
        <f t="shared" si="43"/>
        <v>21.343408605340294</v>
      </c>
      <c r="F270">
        <f t="shared" si="44"/>
        <v>8.7517449968576244E-2</v>
      </c>
      <c r="G270">
        <f t="shared" si="37"/>
        <v>20.993338805465989</v>
      </c>
      <c r="H270">
        <f t="shared" si="38"/>
        <v>-5.5614834237882604E-4</v>
      </c>
      <c r="I270">
        <f t="shared" si="39"/>
        <v>21.255891155371717</v>
      </c>
      <c r="P270" s="2">
        <v>29830</v>
      </c>
      <c r="Q270">
        <v>8.6961301626197418E-2</v>
      </c>
      <c r="R270">
        <f t="shared" si="40"/>
        <v>8.7517449968576244E-2</v>
      </c>
      <c r="S270">
        <f t="shared" si="41"/>
        <v>-5.5614834237882604E-4</v>
      </c>
      <c r="T270">
        <v>5.8683501828090012E-2</v>
      </c>
    </row>
    <row r="271" spans="2:20" x14ac:dyDescent="0.25">
      <c r="B271">
        <f t="shared" si="42"/>
        <v>270</v>
      </c>
      <c r="C271">
        <v>8.9124531159011866E-2</v>
      </c>
      <c r="D271">
        <f t="shared" si="36"/>
        <v>21.432533136499305</v>
      </c>
      <c r="E271">
        <f t="shared" si="43"/>
        <v>21.432533136499305</v>
      </c>
      <c r="F271">
        <f t="shared" si="44"/>
        <v>8.7838866206663369E-2</v>
      </c>
      <c r="G271">
        <f t="shared" si="37"/>
        <v>21.081177671672652</v>
      </c>
      <c r="H271">
        <f t="shared" si="38"/>
        <v>1.2856649523484975E-3</v>
      </c>
      <c r="I271">
        <f t="shared" si="39"/>
        <v>21.344694270292642</v>
      </c>
      <c r="P271" s="2">
        <v>29860</v>
      </c>
      <c r="Q271">
        <v>8.9124531159011866E-2</v>
      </c>
      <c r="R271">
        <f t="shared" si="40"/>
        <v>8.7838866206663369E-2</v>
      </c>
      <c r="S271">
        <f t="shared" si="41"/>
        <v>1.2856649523484975E-3</v>
      </c>
      <c r="T271">
        <v>5.8372006221907302E-2</v>
      </c>
    </row>
    <row r="272" spans="2:20" x14ac:dyDescent="0.25">
      <c r="B272">
        <f t="shared" si="42"/>
        <v>271</v>
      </c>
      <c r="C272">
        <v>8.5211196485482255E-2</v>
      </c>
      <c r="D272">
        <f t="shared" si="36"/>
        <v>21.517744332984787</v>
      </c>
      <c r="E272">
        <f t="shared" si="43"/>
        <v>21.517744332984787</v>
      </c>
      <c r="F272">
        <f t="shared" si="44"/>
        <v>8.7313332262426976E-2</v>
      </c>
      <c r="G272">
        <f t="shared" si="37"/>
        <v>21.168491003935078</v>
      </c>
      <c r="H272">
        <f t="shared" si="38"/>
        <v>-2.1021357769447219E-3</v>
      </c>
      <c r="I272">
        <f t="shared" si="39"/>
        <v>21.430431000722361</v>
      </c>
      <c r="P272" s="2">
        <v>29891</v>
      </c>
      <c r="Q272">
        <v>8.5211196485482255E-2</v>
      </c>
      <c r="R272">
        <f t="shared" si="40"/>
        <v>8.7313332262426976E-2</v>
      </c>
      <c r="S272">
        <f t="shared" si="41"/>
        <v>-2.1021357769447219E-3</v>
      </c>
      <c r="T272">
        <v>5.5496405449515063E-2</v>
      </c>
    </row>
    <row r="273" spans="2:20" x14ac:dyDescent="0.25">
      <c r="B273">
        <f t="shared" si="42"/>
        <v>272</v>
      </c>
      <c r="C273">
        <v>8.5317996519605366E-2</v>
      </c>
      <c r="D273">
        <f t="shared" si="36"/>
        <v>21.603062329504393</v>
      </c>
      <c r="E273">
        <f t="shared" si="43"/>
        <v>21.603062329504393</v>
      </c>
      <c r="F273">
        <f t="shared" si="44"/>
        <v>8.6914265113863118E-2</v>
      </c>
      <c r="G273">
        <f t="shared" si="37"/>
        <v>21.255405269048939</v>
      </c>
      <c r="H273">
        <f t="shared" si="38"/>
        <v>-1.596268594257752E-3</v>
      </c>
      <c r="I273">
        <f t="shared" si="39"/>
        <v>21.516148064390531</v>
      </c>
      <c r="P273" s="2">
        <v>29921</v>
      </c>
      <c r="Q273">
        <v>8.5317996519605366E-2</v>
      </c>
      <c r="R273">
        <f t="shared" si="40"/>
        <v>8.6914265113863118E-2</v>
      </c>
      <c r="S273">
        <f t="shared" si="41"/>
        <v>-1.596268594257752E-3</v>
      </c>
      <c r="T273">
        <v>5.5350095083164685E-2</v>
      </c>
    </row>
    <row r="274" spans="2:20" x14ac:dyDescent="0.25">
      <c r="B274">
        <f t="shared" si="42"/>
        <v>273</v>
      </c>
      <c r="C274">
        <v>8.5564453404574969E-2</v>
      </c>
      <c r="D274">
        <f t="shared" si="36"/>
        <v>21.688626782908969</v>
      </c>
      <c r="E274">
        <f t="shared" si="43"/>
        <v>21.688626782908969</v>
      </c>
      <c r="F274">
        <f t="shared" si="44"/>
        <v>8.6644302772005952E-2</v>
      </c>
      <c r="G274">
        <f t="shared" si="37"/>
        <v>21.342049571820944</v>
      </c>
      <c r="H274">
        <f t="shared" si="38"/>
        <v>-1.0798493674309823E-3</v>
      </c>
      <c r="I274">
        <f t="shared" si="39"/>
        <v>21.601982480136964</v>
      </c>
      <c r="P274" s="2">
        <v>29952</v>
      </c>
      <c r="Q274">
        <v>8.5564453404574969E-2</v>
      </c>
      <c r="R274">
        <f t="shared" si="40"/>
        <v>8.6644302772005952E-2</v>
      </c>
      <c r="S274">
        <f t="shared" si="41"/>
        <v>-1.0798493674309823E-3</v>
      </c>
      <c r="T274">
        <v>5.5059777183027236E-2</v>
      </c>
    </row>
    <row r="275" spans="2:20" x14ac:dyDescent="0.25">
      <c r="B275">
        <f t="shared" si="42"/>
        <v>274</v>
      </c>
      <c r="C275">
        <v>8.2407734947374855E-2</v>
      </c>
      <c r="D275">
        <f t="shared" si="36"/>
        <v>21.771034517856343</v>
      </c>
      <c r="E275">
        <f t="shared" si="43"/>
        <v>21.771034517856343</v>
      </c>
      <c r="F275">
        <f t="shared" si="44"/>
        <v>8.5796989207079843E-2</v>
      </c>
      <c r="G275">
        <f t="shared" si="37"/>
        <v>21.427846561028023</v>
      </c>
      <c r="H275">
        <f t="shared" si="38"/>
        <v>-3.3892542597049879E-3</v>
      </c>
      <c r="I275">
        <f t="shared" si="39"/>
        <v>21.685237528649264</v>
      </c>
      <c r="P275" s="2">
        <v>29983</v>
      </c>
      <c r="Q275">
        <v>8.2407734947374855E-2</v>
      </c>
      <c r="R275">
        <f t="shared" si="40"/>
        <v>8.5796989207079843E-2</v>
      </c>
      <c r="S275">
        <f t="shared" si="41"/>
        <v>-3.3892542597049879E-3</v>
      </c>
      <c r="T275">
        <v>5.4772489654118406E-2</v>
      </c>
    </row>
    <row r="276" spans="2:20" x14ac:dyDescent="0.25">
      <c r="B276">
        <f t="shared" si="42"/>
        <v>275</v>
      </c>
      <c r="C276">
        <v>8.1596709540271206E-2</v>
      </c>
      <c r="D276">
        <f t="shared" si="36"/>
        <v>21.852631227396614</v>
      </c>
      <c r="E276">
        <f t="shared" si="43"/>
        <v>21.852631227396614</v>
      </c>
      <c r="F276">
        <f t="shared" si="44"/>
        <v>8.4956933273718255E-2</v>
      </c>
      <c r="G276">
        <f t="shared" si="37"/>
        <v>21.512803494301743</v>
      </c>
      <c r="H276">
        <f t="shared" si="38"/>
        <v>-3.3602237334470486E-3</v>
      </c>
      <c r="I276">
        <f t="shared" si="39"/>
        <v>21.767674294122894</v>
      </c>
      <c r="P276" s="2">
        <v>30011</v>
      </c>
      <c r="Q276">
        <v>8.1596709540271206E-2</v>
      </c>
      <c r="R276">
        <f t="shared" si="40"/>
        <v>8.4956933273718255E-2</v>
      </c>
      <c r="S276">
        <f t="shared" si="41"/>
        <v>-3.3602237334470486E-3</v>
      </c>
      <c r="T276">
        <v>5.4488185284069512E-2</v>
      </c>
    </row>
    <row r="277" spans="2:20" x14ac:dyDescent="0.25">
      <c r="B277">
        <f t="shared" si="42"/>
        <v>276</v>
      </c>
      <c r="C277">
        <v>8.2200621332110479E-2</v>
      </c>
      <c r="D277">
        <f t="shared" si="36"/>
        <v>21.934831848728724</v>
      </c>
      <c r="E277">
        <f t="shared" si="43"/>
        <v>21.934831848728724</v>
      </c>
      <c r="F277">
        <f t="shared" si="44"/>
        <v>8.4405670885396245E-2</v>
      </c>
      <c r="G277">
        <f t="shared" si="37"/>
        <v>21.597209165187138</v>
      </c>
      <c r="H277">
        <f t="shared" si="38"/>
        <v>-2.205049553285765E-3</v>
      </c>
      <c r="I277">
        <f t="shared" si="39"/>
        <v>21.850426177843328</v>
      </c>
      <c r="P277" s="2">
        <v>30042</v>
      </c>
      <c r="Q277">
        <v>8.2200621332110479E-2</v>
      </c>
      <c r="R277">
        <f t="shared" si="40"/>
        <v>8.4405670885396245E-2</v>
      </c>
      <c r="S277">
        <f t="shared" si="41"/>
        <v>-2.205049553285765E-3</v>
      </c>
      <c r="T277">
        <v>5.4206817836426779E-2</v>
      </c>
    </row>
    <row r="278" spans="2:20" x14ac:dyDescent="0.25">
      <c r="B278">
        <f t="shared" si="42"/>
        <v>277</v>
      </c>
      <c r="C278">
        <v>0.10143279417370188</v>
      </c>
      <c r="D278">
        <f t="shared" si="36"/>
        <v>22.036264642902424</v>
      </c>
      <c r="E278">
        <f t="shared" si="43"/>
        <v>22.036264642902424</v>
      </c>
      <c r="F278">
        <f t="shared" si="44"/>
        <v>8.781109554305716E-2</v>
      </c>
      <c r="G278">
        <f t="shared" si="37"/>
        <v>21.685020260730195</v>
      </c>
      <c r="H278">
        <f t="shared" si="38"/>
        <v>1.3621698630644719E-2</v>
      </c>
      <c r="I278">
        <f t="shared" si="39"/>
        <v>21.948453547359367</v>
      </c>
      <c r="P278" s="2">
        <v>30072</v>
      </c>
      <c r="Q278">
        <v>0.10143279417370188</v>
      </c>
      <c r="R278">
        <f t="shared" si="40"/>
        <v>8.781109554305716E-2</v>
      </c>
      <c r="S278">
        <f t="shared" si="41"/>
        <v>1.3621698630644719E-2</v>
      </c>
      <c r="T278">
        <v>5.1425211807436977E-2</v>
      </c>
    </row>
    <row r="279" spans="2:20" x14ac:dyDescent="0.25">
      <c r="B279">
        <f t="shared" si="42"/>
        <v>278</v>
      </c>
      <c r="C279">
        <v>0.11802720608855655</v>
      </c>
      <c r="D279">
        <f t="shared" si="36"/>
        <v>22.154291848990979</v>
      </c>
      <c r="E279">
        <f t="shared" si="43"/>
        <v>22.154291848990979</v>
      </c>
      <c r="F279">
        <f t="shared" si="44"/>
        <v>9.3854317652157002E-2</v>
      </c>
      <c r="G279">
        <f t="shared" si="37"/>
        <v>21.77887457838235</v>
      </c>
      <c r="H279">
        <f t="shared" si="38"/>
        <v>2.4172888436399545E-2</v>
      </c>
      <c r="I279">
        <f t="shared" si="39"/>
        <v>22.060437531338824</v>
      </c>
      <c r="P279" s="2">
        <v>30103</v>
      </c>
      <c r="Q279">
        <v>0.11802720608855655</v>
      </c>
      <c r="R279">
        <f t="shared" si="40"/>
        <v>9.3854317652157002E-2</v>
      </c>
      <c r="S279">
        <f t="shared" si="41"/>
        <v>2.4172888436399545E-2</v>
      </c>
      <c r="T279">
        <v>4.616204176316252E-2</v>
      </c>
    </row>
    <row r="280" spans="2:20" x14ac:dyDescent="0.25">
      <c r="B280">
        <f t="shared" si="42"/>
        <v>279</v>
      </c>
      <c r="C280">
        <v>0.12046004757493556</v>
      </c>
      <c r="D280">
        <f t="shared" si="36"/>
        <v>22.274751896565917</v>
      </c>
      <c r="E280">
        <f t="shared" si="43"/>
        <v>22.274751896565917</v>
      </c>
      <c r="F280">
        <f t="shared" si="44"/>
        <v>9.9175463636713354E-2</v>
      </c>
      <c r="G280">
        <f t="shared" si="37"/>
        <v>21.878050042019062</v>
      </c>
      <c r="H280">
        <f t="shared" si="38"/>
        <v>2.1284583938222204E-2</v>
      </c>
      <c r="I280">
        <f t="shared" si="39"/>
        <v>22.175576432929205</v>
      </c>
      <c r="P280" s="2">
        <v>30133</v>
      </c>
      <c r="Q280">
        <v>0.12046004757493556</v>
      </c>
      <c r="R280">
        <f t="shared" si="40"/>
        <v>9.9175463636713354E-2</v>
      </c>
      <c r="S280">
        <f t="shared" si="41"/>
        <v>2.1284583938222204E-2</v>
      </c>
      <c r="T280">
        <v>4.3429557927336049E-2</v>
      </c>
    </row>
    <row r="281" spans="2:20" x14ac:dyDescent="0.25">
      <c r="B281">
        <f t="shared" si="42"/>
        <v>280</v>
      </c>
      <c r="C281">
        <v>0.1173949122282627</v>
      </c>
      <c r="D281">
        <f t="shared" si="36"/>
        <v>22.39214680879418</v>
      </c>
      <c r="E281">
        <f t="shared" si="43"/>
        <v>22.39214680879418</v>
      </c>
      <c r="F281">
        <f t="shared" si="44"/>
        <v>0.10281935335502368</v>
      </c>
      <c r="G281">
        <f t="shared" si="37"/>
        <v>21.980869395374086</v>
      </c>
      <c r="H281">
        <f t="shared" si="38"/>
        <v>1.4575558873239025E-2</v>
      </c>
      <c r="I281">
        <f t="shared" si="39"/>
        <v>22.289327455439157</v>
      </c>
      <c r="P281" s="2">
        <v>30164</v>
      </c>
      <c r="Q281">
        <v>0.1173949122282627</v>
      </c>
      <c r="R281">
        <f t="shared" si="40"/>
        <v>0.10281935335502368</v>
      </c>
      <c r="S281">
        <f t="shared" si="41"/>
        <v>1.4575558873239025E-2</v>
      </c>
      <c r="T281">
        <v>4.0718093018784707E-2</v>
      </c>
    </row>
    <row r="282" spans="2:20" x14ac:dyDescent="0.25">
      <c r="B282">
        <f t="shared" si="42"/>
        <v>281</v>
      </c>
      <c r="C282">
        <v>0.11816243315323938</v>
      </c>
      <c r="D282">
        <f t="shared" si="36"/>
        <v>22.510309241947418</v>
      </c>
      <c r="E282">
        <f t="shared" si="43"/>
        <v>22.510309241947418</v>
      </c>
      <c r="F282">
        <f t="shared" si="44"/>
        <v>0.10588796931466647</v>
      </c>
      <c r="G282">
        <f t="shared" si="37"/>
        <v>22.086757364688751</v>
      </c>
      <c r="H282">
        <f t="shared" si="38"/>
        <v>1.2274463838572905E-2</v>
      </c>
      <c r="I282">
        <f t="shared" si="39"/>
        <v>22.404421272632753</v>
      </c>
      <c r="P282" s="2">
        <v>30195</v>
      </c>
      <c r="Q282">
        <v>0.11816243315323938</v>
      </c>
      <c r="R282">
        <f t="shared" si="40"/>
        <v>0.10588796931466647</v>
      </c>
      <c r="S282">
        <f t="shared" si="41"/>
        <v>1.2274463838572905E-2</v>
      </c>
      <c r="T282">
        <v>4.3099192481852011E-2</v>
      </c>
    </row>
    <row r="283" spans="2:20" x14ac:dyDescent="0.25">
      <c r="B283">
        <f t="shared" si="42"/>
        <v>282</v>
      </c>
      <c r="C283">
        <v>0.11741787224169986</v>
      </c>
      <c r="D283">
        <f t="shared" si="36"/>
        <v>22.627727114189117</v>
      </c>
      <c r="E283">
        <f t="shared" si="43"/>
        <v>22.627727114189117</v>
      </c>
      <c r="F283">
        <f t="shared" si="44"/>
        <v>0.10819394990007325</v>
      </c>
      <c r="G283">
        <f t="shared" si="37"/>
        <v>22.194951314588824</v>
      </c>
      <c r="H283">
        <f t="shared" si="38"/>
        <v>9.2239223416266114E-3</v>
      </c>
      <c r="I283">
        <f t="shared" si="39"/>
        <v>22.519533164289044</v>
      </c>
      <c r="P283" s="2">
        <v>30225</v>
      </c>
      <c r="Q283">
        <v>0.11741787224169986</v>
      </c>
      <c r="R283">
        <f t="shared" si="40"/>
        <v>0.10819394990007325</v>
      </c>
      <c r="S283">
        <f t="shared" si="41"/>
        <v>9.2239223416266114E-3</v>
      </c>
      <c r="T283">
        <v>4.2881727483265575E-2</v>
      </c>
    </row>
    <row r="284" spans="2:20" x14ac:dyDescent="0.25">
      <c r="B284">
        <f t="shared" si="42"/>
        <v>283</v>
      </c>
      <c r="C284">
        <v>0.11989806618553533</v>
      </c>
      <c r="D284">
        <f t="shared" si="36"/>
        <v>22.747625180374651</v>
      </c>
      <c r="E284">
        <f t="shared" si="43"/>
        <v>22.747625180374651</v>
      </c>
      <c r="F284">
        <f t="shared" si="44"/>
        <v>0.11053477315716549</v>
      </c>
      <c r="G284">
        <f t="shared" si="37"/>
        <v>22.30548608774599</v>
      </c>
      <c r="H284">
        <f t="shared" si="38"/>
        <v>9.3632930283698429E-3</v>
      </c>
      <c r="I284">
        <f t="shared" si="39"/>
        <v>22.637090407217485</v>
      </c>
      <c r="P284" s="2">
        <v>30256</v>
      </c>
      <c r="Q284">
        <v>0.11989806618553533</v>
      </c>
      <c r="R284">
        <f t="shared" si="40"/>
        <v>0.11053477315716549</v>
      </c>
      <c r="S284">
        <f t="shared" si="41"/>
        <v>9.3632930283698429E-3</v>
      </c>
      <c r="T284">
        <v>4.2773815983286667E-2</v>
      </c>
    </row>
    <row r="285" spans="2:20" x14ac:dyDescent="0.25">
      <c r="B285">
        <f t="shared" si="42"/>
        <v>284</v>
      </c>
      <c r="C285">
        <v>0.11689143710580741</v>
      </c>
      <c r="D285">
        <f t="shared" si="36"/>
        <v>22.864516617480458</v>
      </c>
      <c r="E285">
        <f t="shared" si="43"/>
        <v>22.864516617480458</v>
      </c>
      <c r="F285">
        <f t="shared" si="44"/>
        <v>0.11180610594689355</v>
      </c>
      <c r="G285">
        <f t="shared" si="37"/>
        <v>22.417292193692884</v>
      </c>
      <c r="H285">
        <f t="shared" si="38"/>
        <v>5.0853311589138528E-3</v>
      </c>
      <c r="I285">
        <f t="shared" si="39"/>
        <v>22.752710511533564</v>
      </c>
      <c r="P285" s="2">
        <v>30286</v>
      </c>
      <c r="Q285">
        <v>0.11689143710580741</v>
      </c>
      <c r="R285">
        <f t="shared" si="40"/>
        <v>0.11180610594689355</v>
      </c>
      <c r="S285">
        <f t="shared" si="41"/>
        <v>5.0853311589138528E-3</v>
      </c>
      <c r="T285">
        <v>4.2666446318903262E-2</v>
      </c>
    </row>
    <row r="286" spans="2:20" x14ac:dyDescent="0.25">
      <c r="B286">
        <f t="shared" si="42"/>
        <v>285</v>
      </c>
      <c r="C286">
        <v>0.11418927055805028</v>
      </c>
      <c r="D286">
        <f t="shared" si="36"/>
        <v>22.978705888038508</v>
      </c>
      <c r="E286">
        <f t="shared" si="43"/>
        <v>22.978705888038508</v>
      </c>
      <c r="F286">
        <f t="shared" si="44"/>
        <v>0.1122827388691249</v>
      </c>
      <c r="G286">
        <f t="shared" si="37"/>
        <v>22.52957493256201</v>
      </c>
      <c r="H286">
        <f t="shared" si="38"/>
        <v>1.9065316889253781E-3</v>
      </c>
      <c r="I286">
        <f t="shared" si="39"/>
        <v>22.866423149169382</v>
      </c>
      <c r="P286" s="2">
        <v>30317</v>
      </c>
      <c r="Q286">
        <v>0.11418927055805028</v>
      </c>
      <c r="R286">
        <f t="shared" si="40"/>
        <v>0.1122827388691249</v>
      </c>
      <c r="S286">
        <f t="shared" si="41"/>
        <v>1.9065316889253781E-3</v>
      </c>
      <c r="T286">
        <v>4.0005334613699262E-2</v>
      </c>
    </row>
    <row r="287" spans="2:20" x14ac:dyDescent="0.25">
      <c r="B287">
        <f t="shared" si="42"/>
        <v>286</v>
      </c>
      <c r="C287">
        <v>0.11577832957854106</v>
      </c>
      <c r="D287">
        <f t="shared" si="36"/>
        <v>23.094484217617051</v>
      </c>
      <c r="E287">
        <f t="shared" si="43"/>
        <v>23.094484217617051</v>
      </c>
      <c r="F287">
        <f t="shared" si="44"/>
        <v>0.11298185701100821</v>
      </c>
      <c r="G287">
        <f t="shared" si="37"/>
        <v>22.642556789573018</v>
      </c>
      <c r="H287">
        <f t="shared" si="38"/>
        <v>2.7964725675328483E-3</v>
      </c>
      <c r="I287">
        <f t="shared" si="39"/>
        <v>22.981502360606044</v>
      </c>
      <c r="P287" s="2">
        <v>30348</v>
      </c>
      <c r="Q287">
        <v>0.11577832957854106</v>
      </c>
      <c r="R287">
        <f t="shared" si="40"/>
        <v>0.11298185701100821</v>
      </c>
      <c r="S287">
        <f t="shared" si="41"/>
        <v>2.7964725675328483E-3</v>
      </c>
      <c r="T287">
        <v>3.7364246744867824E-2</v>
      </c>
    </row>
    <row r="288" spans="2:20" x14ac:dyDescent="0.25">
      <c r="B288">
        <f t="shared" si="42"/>
        <v>287</v>
      </c>
      <c r="C288">
        <v>0.11453947340502335</v>
      </c>
      <c r="D288">
        <f t="shared" si="36"/>
        <v>23.209023691022075</v>
      </c>
      <c r="E288">
        <f t="shared" si="43"/>
        <v>23.209023691022075</v>
      </c>
      <c r="F288">
        <f t="shared" si="44"/>
        <v>0.11329338028981156</v>
      </c>
      <c r="G288">
        <f t="shared" si="37"/>
        <v>22.755850169862828</v>
      </c>
      <c r="H288">
        <f t="shared" si="38"/>
        <v>1.2460931152117882E-3</v>
      </c>
      <c r="I288">
        <f t="shared" si="39"/>
        <v>23.095730310732264</v>
      </c>
      <c r="P288" s="2">
        <v>30376</v>
      </c>
      <c r="Q288">
        <v>0.11453947340502335</v>
      </c>
      <c r="R288">
        <f t="shared" si="40"/>
        <v>0.11329338028981156</v>
      </c>
      <c r="S288">
        <f t="shared" si="41"/>
        <v>1.2460931152117882E-3</v>
      </c>
      <c r="T288">
        <v>3.4742948443873267E-2</v>
      </c>
    </row>
    <row r="289" spans="2:20" x14ac:dyDescent="0.25">
      <c r="B289">
        <f t="shared" si="42"/>
        <v>288</v>
      </c>
      <c r="C289">
        <v>0.10811133281272856</v>
      </c>
      <c r="D289">
        <f t="shared" si="36"/>
        <v>23.317135023834805</v>
      </c>
      <c r="E289">
        <f t="shared" si="43"/>
        <v>23.317135023834805</v>
      </c>
      <c r="F289">
        <f t="shared" si="44"/>
        <v>0.11225697079439528</v>
      </c>
      <c r="G289">
        <f t="shared" si="37"/>
        <v>22.868107140657223</v>
      </c>
      <c r="H289">
        <f t="shared" si="38"/>
        <v>-4.1456379816667277E-3</v>
      </c>
      <c r="I289">
        <f t="shared" si="39"/>
        <v>23.20487805304041</v>
      </c>
      <c r="P289" s="2">
        <v>30407</v>
      </c>
      <c r="Q289">
        <v>0.10811133281272856</v>
      </c>
      <c r="R289">
        <f t="shared" si="40"/>
        <v>0.11225697079439528</v>
      </c>
      <c r="S289">
        <f t="shared" si="41"/>
        <v>-4.1456379816667277E-3</v>
      </c>
      <c r="T289">
        <v>3.2141209211797417E-2</v>
      </c>
    </row>
    <row r="290" spans="2:20" x14ac:dyDescent="0.25">
      <c r="B290">
        <f t="shared" si="42"/>
        <v>289</v>
      </c>
      <c r="C290">
        <v>8.7326049668857486E-2</v>
      </c>
      <c r="D290">
        <f t="shared" si="36"/>
        <v>23.404461073503661</v>
      </c>
      <c r="E290">
        <f t="shared" si="43"/>
        <v>23.404461073503661</v>
      </c>
      <c r="F290">
        <f t="shared" si="44"/>
        <v>0.10727078656928768</v>
      </c>
      <c r="G290">
        <f t="shared" si="37"/>
        <v>22.975377927226511</v>
      </c>
      <c r="H290">
        <f t="shared" si="38"/>
        <v>-1.9944736900430193E-2</v>
      </c>
      <c r="I290">
        <f t="shared" si="39"/>
        <v>23.297190286934374</v>
      </c>
      <c r="P290" s="2">
        <v>30437</v>
      </c>
      <c r="Q290">
        <v>8.7326049668857486E-2</v>
      </c>
      <c r="R290">
        <f t="shared" si="40"/>
        <v>0.10727078656928768</v>
      </c>
      <c r="S290">
        <f t="shared" si="41"/>
        <v>-1.9944736900430193E-2</v>
      </c>
      <c r="T290">
        <v>3.2061932459662934E-2</v>
      </c>
    </row>
    <row r="291" spans="2:20" x14ac:dyDescent="0.25">
      <c r="B291">
        <f t="shared" si="42"/>
        <v>290</v>
      </c>
      <c r="C291">
        <v>7.7728641754524652E-2</v>
      </c>
      <c r="D291">
        <f t="shared" si="36"/>
        <v>23.482189715258187</v>
      </c>
      <c r="E291">
        <f t="shared" si="43"/>
        <v>23.482189715258187</v>
      </c>
      <c r="F291">
        <f t="shared" si="44"/>
        <v>0.10136235760633526</v>
      </c>
      <c r="G291">
        <f t="shared" si="37"/>
        <v>23.076740284832844</v>
      </c>
      <c r="H291">
        <f t="shared" si="38"/>
        <v>-2.3633715851810608E-2</v>
      </c>
      <c r="I291">
        <f t="shared" si="39"/>
        <v>23.380827357651853</v>
      </c>
      <c r="P291" s="2">
        <v>30468</v>
      </c>
      <c r="Q291">
        <v>7.7728641754524652E-2</v>
      </c>
      <c r="R291">
        <f t="shared" si="40"/>
        <v>0.10136235760633526</v>
      </c>
      <c r="S291">
        <f t="shared" si="41"/>
        <v>-2.3633715851810608E-2</v>
      </c>
      <c r="T291">
        <v>3.6904556935450916E-2</v>
      </c>
    </row>
    <row r="292" spans="2:20" x14ac:dyDescent="0.25">
      <c r="B292">
        <f t="shared" si="42"/>
        <v>291</v>
      </c>
      <c r="C292">
        <v>7.6402168279861016E-2</v>
      </c>
      <c r="D292">
        <f t="shared" si="36"/>
        <v>23.55859188353805</v>
      </c>
      <c r="E292">
        <f t="shared" si="43"/>
        <v>23.55859188353805</v>
      </c>
      <c r="F292">
        <f t="shared" si="44"/>
        <v>9.6370319741041044E-2</v>
      </c>
      <c r="G292">
        <f t="shared" si="37"/>
        <v>23.173110604573885</v>
      </c>
      <c r="H292">
        <f t="shared" si="38"/>
        <v>-1.9968151461180028E-2</v>
      </c>
      <c r="I292">
        <f t="shared" si="39"/>
        <v>23.462221563797009</v>
      </c>
      <c r="P292" s="2">
        <v>30498</v>
      </c>
      <c r="Q292">
        <v>7.6402168279861016E-2</v>
      </c>
      <c r="R292">
        <f t="shared" si="40"/>
        <v>9.6370319741041044E-2</v>
      </c>
      <c r="S292">
        <f t="shared" si="41"/>
        <v>-1.9968151461180028E-2</v>
      </c>
      <c r="T292">
        <v>3.4401426717332484E-2</v>
      </c>
    </row>
    <row r="293" spans="2:20" x14ac:dyDescent="0.25">
      <c r="B293">
        <f t="shared" si="42"/>
        <v>292</v>
      </c>
      <c r="C293">
        <v>7.7331598445778305E-2</v>
      </c>
      <c r="D293">
        <f t="shared" si="36"/>
        <v>23.635923481983827</v>
      </c>
      <c r="E293">
        <f t="shared" si="43"/>
        <v>23.635923481983827</v>
      </c>
      <c r="F293">
        <f t="shared" si="44"/>
        <v>9.2562575481988318E-2</v>
      </c>
      <c r="G293">
        <f t="shared" si="37"/>
        <v>23.265673180055874</v>
      </c>
      <c r="H293">
        <f t="shared" si="38"/>
        <v>-1.5230977036210014E-2</v>
      </c>
      <c r="I293">
        <f t="shared" si="39"/>
        <v>23.543360906501839</v>
      </c>
      <c r="P293" s="2">
        <v>30529</v>
      </c>
      <c r="Q293">
        <v>7.7331598445778305E-2</v>
      </c>
      <c r="R293">
        <f t="shared" si="40"/>
        <v>9.2562575481988318E-2</v>
      </c>
      <c r="S293">
        <f t="shared" si="41"/>
        <v>-1.5230977036210014E-2</v>
      </c>
      <c r="T293">
        <v>3.4317092924128989E-2</v>
      </c>
    </row>
    <row r="294" spans="2:20" x14ac:dyDescent="0.25">
      <c r="B294">
        <f t="shared" si="42"/>
        <v>293</v>
      </c>
      <c r="C294">
        <v>7.5851000048574591E-2</v>
      </c>
      <c r="D294">
        <f t="shared" si="36"/>
        <v>23.711774482032403</v>
      </c>
      <c r="E294">
        <f t="shared" si="43"/>
        <v>23.711774482032403</v>
      </c>
      <c r="F294">
        <f t="shared" si="44"/>
        <v>8.9220260395305936E-2</v>
      </c>
      <c r="G294">
        <f t="shared" si="37"/>
        <v>23.354893440451178</v>
      </c>
      <c r="H294">
        <f t="shared" si="38"/>
        <v>-1.3369260346731346E-2</v>
      </c>
      <c r="I294">
        <f t="shared" si="39"/>
        <v>23.622554221637099</v>
      </c>
      <c r="P294" s="2">
        <v>30560</v>
      </c>
      <c r="Q294">
        <v>7.5851000048574591E-2</v>
      </c>
      <c r="R294">
        <f t="shared" si="40"/>
        <v>8.9220260395305936E-2</v>
      </c>
      <c r="S294">
        <f t="shared" si="41"/>
        <v>-1.3369260346731346E-2</v>
      </c>
      <c r="T294">
        <v>3.1748698314580714E-2</v>
      </c>
    </row>
    <row r="295" spans="2:20" x14ac:dyDescent="0.25">
      <c r="B295">
        <f t="shared" si="42"/>
        <v>294</v>
      </c>
      <c r="C295">
        <v>7.5751894790402119E-2</v>
      </c>
      <c r="D295">
        <f t="shared" si="36"/>
        <v>23.787526376822804</v>
      </c>
      <c r="E295">
        <f t="shared" si="43"/>
        <v>23.787526376822804</v>
      </c>
      <c r="F295">
        <f t="shared" si="44"/>
        <v>8.6526587274325106E-2</v>
      </c>
      <c r="G295">
        <f t="shared" si="37"/>
        <v>23.441420027725503</v>
      </c>
      <c r="H295">
        <f t="shared" si="38"/>
        <v>-1.0774692483922987E-2</v>
      </c>
      <c r="I295">
        <f t="shared" si="39"/>
        <v>23.700999789548479</v>
      </c>
      <c r="P295" s="2">
        <v>30590</v>
      </c>
      <c r="Q295">
        <v>7.5751894790402119E-2</v>
      </c>
      <c r="R295">
        <f t="shared" si="40"/>
        <v>8.6526587274325106E-2</v>
      </c>
      <c r="S295">
        <f t="shared" si="41"/>
        <v>-1.0774692483922987E-2</v>
      </c>
      <c r="T295">
        <v>2.9199154692262752E-2</v>
      </c>
    </row>
    <row r="296" spans="2:20" x14ac:dyDescent="0.25">
      <c r="B296">
        <f t="shared" si="42"/>
        <v>295</v>
      </c>
      <c r="C296">
        <v>7.4049161546346554E-2</v>
      </c>
      <c r="D296">
        <f t="shared" si="36"/>
        <v>23.861575538369152</v>
      </c>
      <c r="E296">
        <f t="shared" si="43"/>
        <v>23.861575538369152</v>
      </c>
      <c r="F296">
        <f t="shared" si="44"/>
        <v>8.4031102128729884E-2</v>
      </c>
      <c r="G296">
        <f t="shared" si="37"/>
        <v>23.525451129854233</v>
      </c>
      <c r="H296">
        <f t="shared" si="38"/>
        <v>-9.9819405823833307E-3</v>
      </c>
      <c r="I296">
        <f t="shared" si="39"/>
        <v>23.777544436240422</v>
      </c>
      <c r="P296" s="2">
        <v>30621</v>
      </c>
      <c r="Q296">
        <v>7.4049161546346554E-2</v>
      </c>
      <c r="R296">
        <f t="shared" si="40"/>
        <v>8.4031102128729884E-2</v>
      </c>
      <c r="S296">
        <f t="shared" si="41"/>
        <v>-9.9819405823833307E-3</v>
      </c>
      <c r="T296">
        <v>2.9128272923023335E-2</v>
      </c>
    </row>
    <row r="297" spans="2:20" x14ac:dyDescent="0.25">
      <c r="B297">
        <f t="shared" si="42"/>
        <v>296</v>
      </c>
      <c r="C297">
        <v>7.2701831776732284E-2</v>
      </c>
      <c r="D297">
        <f t="shared" si="36"/>
        <v>23.934277370145885</v>
      </c>
      <c r="E297">
        <f t="shared" si="43"/>
        <v>23.934277370145885</v>
      </c>
      <c r="F297">
        <f t="shared" si="44"/>
        <v>8.1765248058330547E-2</v>
      </c>
      <c r="G297">
        <f t="shared" si="37"/>
        <v>23.607216377912565</v>
      </c>
      <c r="H297">
        <f t="shared" si="38"/>
        <v>-9.0634162815982633E-3</v>
      </c>
      <c r="I297">
        <f t="shared" si="39"/>
        <v>23.852512122087553</v>
      </c>
      <c r="P297" s="2">
        <v>30651</v>
      </c>
      <c r="Q297">
        <v>7.2701831776732284E-2</v>
      </c>
      <c r="R297">
        <f t="shared" si="40"/>
        <v>8.1765248058330547E-2</v>
      </c>
      <c r="S297">
        <f t="shared" si="41"/>
        <v>-9.0634162815982633E-3</v>
      </c>
      <c r="T297">
        <v>2.9057734479542408E-2</v>
      </c>
    </row>
    <row r="298" spans="2:20" x14ac:dyDescent="0.25">
      <c r="B298">
        <f t="shared" si="42"/>
        <v>297</v>
      </c>
      <c r="C298">
        <v>7.4533051862567312E-2</v>
      </c>
      <c r="D298">
        <f t="shared" si="36"/>
        <v>24.008810422008452</v>
      </c>
      <c r="E298">
        <f t="shared" si="43"/>
        <v>24.008810422008452</v>
      </c>
      <c r="F298">
        <f t="shared" si="44"/>
        <v>8.031880881917744E-2</v>
      </c>
      <c r="G298">
        <f t="shared" si="37"/>
        <v>23.687535186731743</v>
      </c>
      <c r="H298">
        <f t="shared" si="38"/>
        <v>-5.7857569566101275E-3</v>
      </c>
      <c r="I298">
        <f t="shared" si="39"/>
        <v>23.928491613189273</v>
      </c>
      <c r="P298" s="2">
        <v>30682</v>
      </c>
      <c r="Q298">
        <v>7.4533051862567312E-2</v>
      </c>
      <c r="R298">
        <f t="shared" si="40"/>
        <v>8.031880881917744E-2</v>
      </c>
      <c r="S298">
        <f t="shared" si="41"/>
        <v>-5.7857569566101275E-3</v>
      </c>
      <c r="T298">
        <v>3.136565927821966E-2</v>
      </c>
    </row>
    <row r="299" spans="2:20" x14ac:dyDescent="0.25">
      <c r="B299">
        <f t="shared" si="42"/>
        <v>298</v>
      </c>
      <c r="C299">
        <v>7.3321649363459862E-2</v>
      </c>
      <c r="D299">
        <f t="shared" si="36"/>
        <v>24.082132071371912</v>
      </c>
      <c r="E299">
        <f t="shared" si="43"/>
        <v>24.082132071371912</v>
      </c>
      <c r="F299">
        <f t="shared" si="44"/>
        <v>7.8919376928033816E-2</v>
      </c>
      <c r="G299">
        <f t="shared" si="37"/>
        <v>23.766454563659778</v>
      </c>
      <c r="H299">
        <f t="shared" si="38"/>
        <v>-5.5977275645739538E-3</v>
      </c>
      <c r="I299">
        <f t="shared" si="39"/>
        <v>24.003212694443878</v>
      </c>
      <c r="P299" s="2">
        <v>30713</v>
      </c>
      <c r="Q299">
        <v>7.3321649363459862E-2</v>
      </c>
      <c r="R299">
        <f t="shared" si="40"/>
        <v>7.8919376928033816E-2</v>
      </c>
      <c r="S299">
        <f t="shared" si="41"/>
        <v>-5.5977275645739538E-3</v>
      </c>
      <c r="T299">
        <v>3.1290157993210332E-2</v>
      </c>
    </row>
    <row r="300" spans="2:20" x14ac:dyDescent="0.25">
      <c r="B300">
        <f t="shared" si="42"/>
        <v>299</v>
      </c>
      <c r="C300">
        <v>7.7011888400600803E-2</v>
      </c>
      <c r="D300">
        <f t="shared" si="36"/>
        <v>24.159143959772514</v>
      </c>
      <c r="E300">
        <f t="shared" si="43"/>
        <v>24.159143959772514</v>
      </c>
      <c r="F300">
        <f t="shared" si="44"/>
        <v>7.8537879222547249E-2</v>
      </c>
      <c r="G300">
        <f t="shared" si="37"/>
        <v>23.844992442882326</v>
      </c>
      <c r="H300">
        <f t="shared" si="38"/>
        <v>-1.5259908219464463E-3</v>
      </c>
      <c r="I300">
        <f t="shared" si="39"/>
        <v>24.080606080549966</v>
      </c>
      <c r="P300" s="2">
        <v>30742</v>
      </c>
      <c r="Q300">
        <v>7.7011888400600803E-2</v>
      </c>
      <c r="R300">
        <f t="shared" si="40"/>
        <v>7.8537879222547249E-2</v>
      </c>
      <c r="S300">
        <f t="shared" si="41"/>
        <v>-1.5259908219464463E-3</v>
      </c>
      <c r="T300">
        <v>3.3576295533604306E-2</v>
      </c>
    </row>
    <row r="301" spans="2:20" x14ac:dyDescent="0.25">
      <c r="B301">
        <f t="shared" si="42"/>
        <v>300</v>
      </c>
      <c r="C301">
        <v>8.262219657086689E-2</v>
      </c>
      <c r="D301">
        <f t="shared" si="36"/>
        <v>24.241766156343381</v>
      </c>
      <c r="E301">
        <f t="shared" si="43"/>
        <v>24.241766156343381</v>
      </c>
      <c r="F301">
        <f t="shared" si="44"/>
        <v>7.9354742692211044E-2</v>
      </c>
      <c r="G301">
        <f t="shared" si="37"/>
        <v>23.924347185574536</v>
      </c>
      <c r="H301">
        <f t="shared" si="38"/>
        <v>3.267453878655846E-3</v>
      </c>
      <c r="I301">
        <f t="shared" si="39"/>
        <v>24.162411413651171</v>
      </c>
      <c r="P301" s="2">
        <v>30773</v>
      </c>
      <c r="Q301">
        <v>8.262219657086689E-2</v>
      </c>
      <c r="R301">
        <f t="shared" si="40"/>
        <v>7.9354742692211044E-2</v>
      </c>
      <c r="S301">
        <f t="shared" si="41"/>
        <v>3.267453878655846E-3</v>
      </c>
      <c r="T301">
        <v>3.3495954428182095E-2</v>
      </c>
    </row>
    <row r="302" spans="2:20" x14ac:dyDescent="0.25">
      <c r="B302">
        <f t="shared" si="42"/>
        <v>301</v>
      </c>
      <c r="C302">
        <v>8.6933426768601052E-2</v>
      </c>
      <c r="D302">
        <f t="shared" si="36"/>
        <v>24.328699583111984</v>
      </c>
      <c r="E302">
        <f t="shared" si="43"/>
        <v>24.328699583111984</v>
      </c>
      <c r="F302">
        <f t="shared" si="44"/>
        <v>8.0870479507489546E-2</v>
      </c>
      <c r="G302">
        <f t="shared" si="37"/>
        <v>24.005217665082025</v>
      </c>
      <c r="H302">
        <f t="shared" si="38"/>
        <v>6.0629472611115065E-3</v>
      </c>
      <c r="I302">
        <f t="shared" si="39"/>
        <v>24.247829103604495</v>
      </c>
      <c r="P302" s="2">
        <v>30803</v>
      </c>
      <c r="Q302">
        <v>8.6933426768601052E-2</v>
      </c>
      <c r="R302">
        <f t="shared" si="40"/>
        <v>8.0870479507489546E-2</v>
      </c>
      <c r="S302">
        <f t="shared" si="41"/>
        <v>6.0629472611115065E-3</v>
      </c>
      <c r="T302">
        <v>3.5760663879098153E-2</v>
      </c>
    </row>
    <row r="303" spans="2:20" x14ac:dyDescent="0.25">
      <c r="B303">
        <f t="shared" si="42"/>
        <v>302</v>
      </c>
      <c r="C303">
        <v>8.6883947871904788E-2</v>
      </c>
      <c r="D303">
        <f t="shared" si="36"/>
        <v>24.415583530983888</v>
      </c>
      <c r="E303">
        <f t="shared" si="43"/>
        <v>24.415583530983888</v>
      </c>
      <c r="F303">
        <f t="shared" si="44"/>
        <v>8.2073173180372549E-2</v>
      </c>
      <c r="G303">
        <f t="shared" si="37"/>
        <v>24.087290838262398</v>
      </c>
      <c r="H303">
        <f t="shared" si="38"/>
        <v>4.810774691532238E-3</v>
      </c>
      <c r="I303">
        <f t="shared" si="39"/>
        <v>24.333510357803515</v>
      </c>
      <c r="P303" s="2">
        <v>30834</v>
      </c>
      <c r="Q303">
        <v>8.6883947871904788E-2</v>
      </c>
      <c r="R303">
        <f t="shared" si="40"/>
        <v>8.2073173180372549E-2</v>
      </c>
      <c r="S303">
        <f t="shared" si="41"/>
        <v>4.810774691532238E-3</v>
      </c>
      <c r="T303">
        <v>3.7919234862293649E-2</v>
      </c>
    </row>
    <row r="304" spans="2:20" x14ac:dyDescent="0.25">
      <c r="B304">
        <f t="shared" si="42"/>
        <v>303</v>
      </c>
      <c r="C304">
        <v>8.4164678501301715E-2</v>
      </c>
      <c r="D304">
        <f t="shared" si="36"/>
        <v>24.49974820948519</v>
      </c>
      <c r="E304">
        <f t="shared" si="43"/>
        <v>24.49974820948519</v>
      </c>
      <c r="F304">
        <f t="shared" si="44"/>
        <v>8.2491474244558563E-2</v>
      </c>
      <c r="G304">
        <f t="shared" si="37"/>
        <v>24.169782312506957</v>
      </c>
      <c r="H304">
        <f t="shared" si="38"/>
        <v>1.6732042567431521E-3</v>
      </c>
      <c r="I304">
        <f t="shared" si="39"/>
        <v>24.417256735240631</v>
      </c>
      <c r="P304" s="2">
        <v>30864</v>
      </c>
      <c r="Q304">
        <v>8.4164678501301715E-2</v>
      </c>
      <c r="R304">
        <f t="shared" si="40"/>
        <v>8.2491474244558563E-2</v>
      </c>
      <c r="S304">
        <f t="shared" si="41"/>
        <v>1.6732042567431521E-3</v>
      </c>
      <c r="T304">
        <v>4.7178560275090486E-2</v>
      </c>
    </row>
    <row r="305" spans="2:20" x14ac:dyDescent="0.25">
      <c r="B305">
        <f t="shared" si="42"/>
        <v>304</v>
      </c>
      <c r="C305">
        <v>8.0488345952466567E-2</v>
      </c>
      <c r="D305">
        <f t="shared" si="36"/>
        <v>24.580236555437658</v>
      </c>
      <c r="E305">
        <f t="shared" si="43"/>
        <v>24.580236555437658</v>
      </c>
      <c r="F305">
        <f t="shared" si="44"/>
        <v>8.20908485861402E-2</v>
      </c>
      <c r="G305">
        <f t="shared" si="37"/>
        <v>24.251873161093098</v>
      </c>
      <c r="H305">
        <f t="shared" si="38"/>
        <v>-1.6025026336736331E-3</v>
      </c>
      <c r="I305">
        <f t="shared" si="39"/>
        <v>24.498145706851517</v>
      </c>
      <c r="P305" s="2">
        <v>30895</v>
      </c>
      <c r="Q305">
        <v>8.0488345952466567E-2</v>
      </c>
      <c r="R305">
        <f t="shared" si="40"/>
        <v>8.20908485861402E-2</v>
      </c>
      <c r="S305">
        <f t="shared" si="41"/>
        <v>-1.6025026336736331E-3</v>
      </c>
      <c r="T305">
        <v>5.1654674864892058E-2</v>
      </c>
    </row>
    <row r="306" spans="2:20" x14ac:dyDescent="0.25">
      <c r="B306">
        <f t="shared" si="42"/>
        <v>305</v>
      </c>
      <c r="C306">
        <v>8.0764876723871559E-2</v>
      </c>
      <c r="D306">
        <f t="shared" si="36"/>
        <v>24.66100143216153</v>
      </c>
      <c r="E306">
        <f t="shared" si="43"/>
        <v>24.66100143216153</v>
      </c>
      <c r="F306">
        <f t="shared" si="44"/>
        <v>8.1825654213686511E-2</v>
      </c>
      <c r="G306">
        <f t="shared" si="37"/>
        <v>24.333698815306786</v>
      </c>
      <c r="H306">
        <f t="shared" si="38"/>
        <v>-1.0607774898149513E-3</v>
      </c>
      <c r="I306">
        <f t="shared" si="39"/>
        <v>24.579175777947842</v>
      </c>
      <c r="P306" s="2">
        <v>30926</v>
      </c>
      <c r="Q306">
        <v>8.0764876723871559E-2</v>
      </c>
      <c r="R306">
        <f t="shared" si="40"/>
        <v>8.1825654213686511E-2</v>
      </c>
      <c r="S306">
        <f t="shared" si="41"/>
        <v>-1.0607774898149513E-3</v>
      </c>
      <c r="T306">
        <v>5.3814152813907778E-2</v>
      </c>
    </row>
    <row r="307" spans="2:20" x14ac:dyDescent="0.25">
      <c r="B307">
        <f t="shared" si="42"/>
        <v>306</v>
      </c>
      <c r="C307">
        <v>8.5407454944268046E-2</v>
      </c>
      <c r="D307">
        <f t="shared" si="36"/>
        <v>24.746408887105797</v>
      </c>
      <c r="E307">
        <f t="shared" si="43"/>
        <v>24.746408887105797</v>
      </c>
      <c r="F307">
        <f t="shared" si="44"/>
        <v>8.2542014359802351E-2</v>
      </c>
      <c r="G307">
        <f t="shared" si="37"/>
        <v>24.416240829666588</v>
      </c>
      <c r="H307">
        <f t="shared" si="38"/>
        <v>2.8654405844656949E-3</v>
      </c>
      <c r="I307">
        <f t="shared" si="39"/>
        <v>24.663866872745995</v>
      </c>
      <c r="P307" s="2">
        <v>30956</v>
      </c>
      <c r="Q307">
        <v>8.5407454944268046E-2</v>
      </c>
      <c r="R307">
        <f t="shared" si="40"/>
        <v>8.2542014359802351E-2</v>
      </c>
      <c r="S307">
        <f t="shared" si="41"/>
        <v>2.8654405844656949E-3</v>
      </c>
      <c r="T307">
        <v>5.8223660278896361E-2</v>
      </c>
    </row>
    <row r="308" spans="2:20" x14ac:dyDescent="0.25">
      <c r="B308">
        <f t="shared" si="42"/>
        <v>307</v>
      </c>
      <c r="C308">
        <v>8.8602943895206288E-2</v>
      </c>
      <c r="D308">
        <f t="shared" ref="D308:D371" si="45">D307 +C308</f>
        <v>24.835011831001005</v>
      </c>
      <c r="E308">
        <f t="shared" si="43"/>
        <v>24.835011831001005</v>
      </c>
      <c r="F308">
        <f t="shared" si="44"/>
        <v>8.3754200266883322E-2</v>
      </c>
      <c r="G308">
        <f t="shared" ref="G308:G371" si="46">G307 + F308</f>
        <v>24.499995029933473</v>
      </c>
      <c r="H308">
        <f t="shared" ref="H308:H371" si="47">C308-F308</f>
        <v>4.8487436283229657E-3</v>
      </c>
      <c r="I308">
        <f t="shared" ref="I308:I371" si="48">E308-F308</f>
        <v>24.75125763073412</v>
      </c>
      <c r="P308" s="2">
        <v>30987</v>
      </c>
      <c r="Q308">
        <v>8.8602943895206288E-2</v>
      </c>
      <c r="R308">
        <f t="shared" ref="R308:R371" si="49">F308</f>
        <v>8.3754200266883322E-2</v>
      </c>
      <c r="S308">
        <f t="shared" ref="S308:S371" si="50">H308</f>
        <v>4.8487436283229657E-3</v>
      </c>
      <c r="T308">
        <v>5.5828449552941972E-2</v>
      </c>
    </row>
    <row r="309" spans="2:20" x14ac:dyDescent="0.25">
      <c r="B309">
        <f t="shared" si="42"/>
        <v>308</v>
      </c>
      <c r="C309">
        <v>9.145509972528032E-2</v>
      </c>
      <c r="D309">
        <f t="shared" si="45"/>
        <v>24.926466930726285</v>
      </c>
      <c r="E309">
        <f t="shared" si="43"/>
        <v>24.926466930726285</v>
      </c>
      <c r="F309">
        <f t="shared" si="44"/>
        <v>8.5294380158562444E-2</v>
      </c>
      <c r="G309">
        <f t="shared" si="46"/>
        <v>24.585289410092035</v>
      </c>
      <c r="H309">
        <f t="shared" si="47"/>
        <v>6.160719566717876E-3</v>
      </c>
      <c r="I309">
        <f t="shared" si="48"/>
        <v>24.841172550567723</v>
      </c>
      <c r="P309" s="2">
        <v>31017</v>
      </c>
      <c r="Q309">
        <v>9.145509972528032E-2</v>
      </c>
      <c r="R309">
        <f t="shared" si="49"/>
        <v>8.5294380158562444E-2</v>
      </c>
      <c r="S309">
        <f t="shared" si="50"/>
        <v>6.160719566717876E-3</v>
      </c>
      <c r="T309">
        <v>7.1376662842227656E-2</v>
      </c>
    </row>
    <row r="310" spans="2:20" x14ac:dyDescent="0.25">
      <c r="B310">
        <f t="shared" si="42"/>
        <v>309</v>
      </c>
      <c r="C310">
        <v>9.0258638578426975E-2</v>
      </c>
      <c r="D310">
        <f t="shared" si="45"/>
        <v>25.016725569304711</v>
      </c>
      <c r="E310">
        <f t="shared" si="43"/>
        <v>25.016725569304711</v>
      </c>
      <c r="F310">
        <f t="shared" si="44"/>
        <v>8.6287231842535311E-2</v>
      </c>
      <c r="G310">
        <f t="shared" si="46"/>
        <v>24.671576641934571</v>
      </c>
      <c r="H310">
        <f t="shared" si="47"/>
        <v>3.9714067358916638E-3</v>
      </c>
      <c r="I310">
        <f t="shared" si="48"/>
        <v>24.930438337462174</v>
      </c>
      <c r="P310" s="2">
        <v>31048</v>
      </c>
      <c r="Q310">
        <v>9.0258638578426975E-2</v>
      </c>
      <c r="R310">
        <f t="shared" si="49"/>
        <v>8.6287231842535311E-2</v>
      </c>
      <c r="S310">
        <f t="shared" si="50"/>
        <v>3.9714067358916638E-3</v>
      </c>
      <c r="T310">
        <v>7.1049346149850034E-2</v>
      </c>
    </row>
    <row r="311" spans="2:20" x14ac:dyDescent="0.25">
      <c r="B311">
        <f t="shared" si="42"/>
        <v>310</v>
      </c>
      <c r="C311">
        <v>8.8530136912049251E-2</v>
      </c>
      <c r="D311">
        <f t="shared" si="45"/>
        <v>25.105255706216759</v>
      </c>
      <c r="E311">
        <f t="shared" si="43"/>
        <v>25.105255706216759</v>
      </c>
      <c r="F311">
        <f t="shared" si="44"/>
        <v>8.6735812856437638E-2</v>
      </c>
      <c r="G311">
        <f t="shared" si="46"/>
        <v>24.75831245479101</v>
      </c>
      <c r="H311">
        <f t="shared" si="47"/>
        <v>1.7943240556116125E-3</v>
      </c>
      <c r="I311">
        <f t="shared" si="48"/>
        <v>25.01851989336032</v>
      </c>
      <c r="P311" s="2">
        <v>31079</v>
      </c>
      <c r="Q311">
        <v>8.8530136912049251E-2</v>
      </c>
      <c r="R311">
        <f t="shared" si="49"/>
        <v>8.6735812856437638E-2</v>
      </c>
      <c r="S311">
        <f t="shared" si="50"/>
        <v>1.7943240556116125E-3</v>
      </c>
      <c r="T311">
        <v>7.7487495478374413E-2</v>
      </c>
    </row>
    <row r="312" spans="2:20" x14ac:dyDescent="0.25">
      <c r="B312">
        <f t="shared" si="42"/>
        <v>311</v>
      </c>
      <c r="C312">
        <v>8.2581780087840784E-2</v>
      </c>
      <c r="D312">
        <f t="shared" si="45"/>
        <v>25.187837486304602</v>
      </c>
      <c r="E312">
        <f t="shared" si="43"/>
        <v>25.187837486304602</v>
      </c>
      <c r="F312">
        <f t="shared" si="44"/>
        <v>8.5905006302718342E-2</v>
      </c>
      <c r="G312">
        <f t="shared" si="46"/>
        <v>24.844217461093727</v>
      </c>
      <c r="H312">
        <f t="shared" si="47"/>
        <v>-3.3232262148775588E-3</v>
      </c>
      <c r="I312">
        <f t="shared" si="48"/>
        <v>25.101932480001885</v>
      </c>
      <c r="P312" s="2">
        <v>31107</v>
      </c>
      <c r="Q312">
        <v>8.2581780087840784E-2</v>
      </c>
      <c r="R312">
        <f t="shared" si="49"/>
        <v>8.5905006302718342E-2</v>
      </c>
      <c r="S312">
        <f t="shared" si="50"/>
        <v>-3.3232262148775588E-3</v>
      </c>
      <c r="T312">
        <v>7.9316754828587133E-2</v>
      </c>
    </row>
    <row r="313" spans="2:20" x14ac:dyDescent="0.25">
      <c r="B313">
        <f t="shared" si="42"/>
        <v>312</v>
      </c>
      <c r="C313">
        <v>7.7437861188943025E-2</v>
      </c>
      <c r="D313">
        <f t="shared" si="45"/>
        <v>25.265275347493546</v>
      </c>
      <c r="E313">
        <f t="shared" si="43"/>
        <v>25.265275347493546</v>
      </c>
      <c r="F313">
        <f t="shared" si="44"/>
        <v>8.4211577279963742E-2</v>
      </c>
      <c r="G313">
        <f t="shared" si="46"/>
        <v>24.92842903837369</v>
      </c>
      <c r="H313">
        <f t="shared" si="47"/>
        <v>-6.7737160910207178E-3</v>
      </c>
      <c r="I313">
        <f t="shared" si="48"/>
        <v>25.181063770213584</v>
      </c>
      <c r="P313" s="2">
        <v>31138</v>
      </c>
      <c r="Q313">
        <v>7.7437861188943025E-2</v>
      </c>
      <c r="R313">
        <f t="shared" si="49"/>
        <v>8.4211577279963742E-2</v>
      </c>
      <c r="S313">
        <f t="shared" si="50"/>
        <v>-6.7737160910207178E-3</v>
      </c>
      <c r="T313">
        <v>8.5637885161816918E-2</v>
      </c>
    </row>
    <row r="314" spans="2:20" x14ac:dyDescent="0.25">
      <c r="B314">
        <f t="shared" si="42"/>
        <v>313</v>
      </c>
      <c r="C314">
        <v>7.0232598905735522E-2</v>
      </c>
      <c r="D314">
        <f t="shared" si="45"/>
        <v>25.335507946399282</v>
      </c>
      <c r="E314">
        <f t="shared" si="43"/>
        <v>25.335507946399282</v>
      </c>
      <c r="F314">
        <f t="shared" si="44"/>
        <v>8.1415781605118559E-2</v>
      </c>
      <c r="G314">
        <f t="shared" si="46"/>
        <v>25.009844819978809</v>
      </c>
      <c r="H314">
        <f t="shared" si="47"/>
        <v>-1.1183182699383037E-2</v>
      </c>
      <c r="I314">
        <f t="shared" si="48"/>
        <v>25.254092164794162</v>
      </c>
      <c r="P314" s="2">
        <v>31168</v>
      </c>
      <c r="Q314">
        <v>7.0232598905735522E-2</v>
      </c>
      <c r="R314">
        <f t="shared" si="49"/>
        <v>8.1415781605118559E-2</v>
      </c>
      <c r="S314">
        <f t="shared" si="50"/>
        <v>-1.1183182699383037E-2</v>
      </c>
      <c r="T314">
        <v>9.168428268902229E-2</v>
      </c>
    </row>
    <row r="315" spans="2:20" x14ac:dyDescent="0.25">
      <c r="B315">
        <f t="shared" si="42"/>
        <v>314</v>
      </c>
      <c r="C315">
        <v>6.5278975874284662E-2</v>
      </c>
      <c r="D315">
        <f t="shared" si="45"/>
        <v>25.400786922273568</v>
      </c>
      <c r="E315">
        <f t="shared" si="43"/>
        <v>25.400786922273568</v>
      </c>
      <c r="F315">
        <f t="shared" si="44"/>
        <v>7.8188420458951677E-2</v>
      </c>
      <c r="G315">
        <f t="shared" si="46"/>
        <v>25.08803324043776</v>
      </c>
      <c r="H315">
        <f t="shared" si="47"/>
        <v>-1.2909444584667015E-2</v>
      </c>
      <c r="I315">
        <f t="shared" si="48"/>
        <v>25.322598501814618</v>
      </c>
      <c r="P315" s="2">
        <v>31199</v>
      </c>
      <c r="Q315">
        <v>6.5278975874284662E-2</v>
      </c>
      <c r="R315">
        <f t="shared" si="49"/>
        <v>7.8188420458951677E-2</v>
      </c>
      <c r="S315">
        <f t="shared" si="50"/>
        <v>-1.2909444584667015E-2</v>
      </c>
      <c r="T315">
        <v>9.5310179804324768E-2</v>
      </c>
    </row>
    <row r="316" spans="2:20" x14ac:dyDescent="0.25">
      <c r="B316">
        <f t="shared" si="42"/>
        <v>315</v>
      </c>
      <c r="C316">
        <v>6.815855628164158E-2</v>
      </c>
      <c r="D316">
        <f t="shared" si="45"/>
        <v>25.468945478555209</v>
      </c>
      <c r="E316">
        <f t="shared" si="43"/>
        <v>25.468945478555209</v>
      </c>
      <c r="F316">
        <f t="shared" si="44"/>
        <v>7.6182447623489941E-2</v>
      </c>
      <c r="G316">
        <f t="shared" si="46"/>
        <v>25.164215688061251</v>
      </c>
      <c r="H316">
        <f t="shared" si="47"/>
        <v>-8.0238913418483604E-3</v>
      </c>
      <c r="I316">
        <f t="shared" si="48"/>
        <v>25.392763030931718</v>
      </c>
      <c r="P316" s="2">
        <v>31229</v>
      </c>
      <c r="Q316">
        <v>6.815855628164158E-2</v>
      </c>
      <c r="R316">
        <f t="shared" si="49"/>
        <v>7.6182447623489941E-2</v>
      </c>
      <c r="S316">
        <f t="shared" si="50"/>
        <v>-8.0238913418483604E-3</v>
      </c>
      <c r="T316">
        <v>9.656619839105085E-2</v>
      </c>
    </row>
    <row r="317" spans="2:20" x14ac:dyDescent="0.25">
      <c r="B317">
        <f t="shared" si="42"/>
        <v>316</v>
      </c>
      <c r="C317">
        <v>7.398166965908004E-2</v>
      </c>
      <c r="D317">
        <f t="shared" si="45"/>
        <v>25.542927148214289</v>
      </c>
      <c r="E317">
        <f t="shared" si="43"/>
        <v>25.542927148214289</v>
      </c>
      <c r="F317">
        <f t="shared" si="44"/>
        <v>7.5742292030607672E-2</v>
      </c>
      <c r="G317">
        <f t="shared" si="46"/>
        <v>25.239957980091859</v>
      </c>
      <c r="H317">
        <f t="shared" si="47"/>
        <v>-1.7606223715276315E-3</v>
      </c>
      <c r="I317">
        <f t="shared" si="48"/>
        <v>25.467184856183682</v>
      </c>
      <c r="P317" s="2">
        <v>31260</v>
      </c>
      <c r="Q317">
        <v>7.398166965908004E-2</v>
      </c>
      <c r="R317">
        <f t="shared" si="49"/>
        <v>7.5742292030607672E-2</v>
      </c>
      <c r="S317">
        <f t="shared" si="50"/>
        <v>-1.7606223715276315E-3</v>
      </c>
      <c r="T317">
        <v>9.5934075010171149E-2</v>
      </c>
    </row>
    <row r="318" spans="2:20" x14ac:dyDescent="0.25">
      <c r="B318">
        <f t="shared" si="42"/>
        <v>317</v>
      </c>
      <c r="C318">
        <v>7.8563996492076349E-2</v>
      </c>
      <c r="D318">
        <f t="shared" si="45"/>
        <v>25.621491144706365</v>
      </c>
      <c r="E318">
        <f t="shared" si="43"/>
        <v>25.621491144706365</v>
      </c>
      <c r="F318">
        <f t="shared" si="44"/>
        <v>7.6306632922901241E-2</v>
      </c>
      <c r="G318">
        <f t="shared" si="46"/>
        <v>25.316264613014759</v>
      </c>
      <c r="H318">
        <f t="shared" si="47"/>
        <v>2.2573635691751082E-3</v>
      </c>
      <c r="I318">
        <f t="shared" si="48"/>
        <v>25.545184511783464</v>
      </c>
      <c r="P318" s="2">
        <v>31291</v>
      </c>
      <c r="Q318">
        <v>7.8563996492076349E-2</v>
      </c>
      <c r="R318">
        <f t="shared" si="49"/>
        <v>7.6306632922901241E-2</v>
      </c>
      <c r="S318">
        <f t="shared" si="50"/>
        <v>2.2573635691751082E-3</v>
      </c>
      <c r="T318">
        <v>0.10170921082532258</v>
      </c>
    </row>
    <row r="319" spans="2:20" x14ac:dyDescent="0.25">
      <c r="B319">
        <f t="shared" si="42"/>
        <v>318</v>
      </c>
      <c r="C319">
        <v>7.6727671056183944E-2</v>
      </c>
      <c r="D319">
        <f t="shared" si="45"/>
        <v>25.698218815762548</v>
      </c>
      <c r="E319">
        <f t="shared" si="43"/>
        <v>25.698218815762548</v>
      </c>
      <c r="F319">
        <f t="shared" si="44"/>
        <v>7.6390840549557748E-2</v>
      </c>
      <c r="G319">
        <f t="shared" si="46"/>
        <v>25.392655453564316</v>
      </c>
      <c r="H319">
        <f t="shared" si="47"/>
        <v>3.3683050662619562E-4</v>
      </c>
      <c r="I319">
        <f t="shared" si="48"/>
        <v>25.621827975212991</v>
      </c>
      <c r="P319" s="2">
        <v>31321</v>
      </c>
      <c r="Q319">
        <v>7.6727671056183944E-2</v>
      </c>
      <c r="R319">
        <f t="shared" si="49"/>
        <v>7.6390840549557748E-2</v>
      </c>
      <c r="S319">
        <f t="shared" si="50"/>
        <v>3.3683050662619562E-4</v>
      </c>
      <c r="T319">
        <v>0.10309550902697406</v>
      </c>
    </row>
    <row r="320" spans="2:20" x14ac:dyDescent="0.25">
      <c r="B320">
        <f t="shared" si="42"/>
        <v>319</v>
      </c>
      <c r="C320">
        <v>7.8004759305102311E-2</v>
      </c>
      <c r="D320">
        <f t="shared" si="45"/>
        <v>25.77622357506765</v>
      </c>
      <c r="E320">
        <f t="shared" si="43"/>
        <v>25.77622357506765</v>
      </c>
      <c r="F320">
        <f t="shared" si="44"/>
        <v>7.6713624300666805E-2</v>
      </c>
      <c r="G320">
        <f t="shared" si="46"/>
        <v>25.469369077864982</v>
      </c>
      <c r="H320">
        <f t="shared" si="47"/>
        <v>1.2911350044355063E-3</v>
      </c>
      <c r="I320">
        <f t="shared" si="48"/>
        <v>25.699509950766984</v>
      </c>
      <c r="P320" s="2">
        <v>31352</v>
      </c>
      <c r="Q320">
        <v>7.8004759305102311E-2</v>
      </c>
      <c r="R320">
        <f t="shared" si="49"/>
        <v>7.6713624300666805E-2</v>
      </c>
      <c r="S320">
        <f t="shared" si="50"/>
        <v>1.2911350044355063E-3</v>
      </c>
      <c r="T320">
        <v>0.10919929196499201</v>
      </c>
    </row>
    <row r="321" spans="2:20" x14ac:dyDescent="0.25">
      <c r="B321">
        <f t="shared" si="42"/>
        <v>320</v>
      </c>
      <c r="C321">
        <v>7.9601971006556305E-2</v>
      </c>
      <c r="D321">
        <f t="shared" si="45"/>
        <v>25.855825546074207</v>
      </c>
      <c r="E321">
        <f t="shared" si="43"/>
        <v>25.855825546074207</v>
      </c>
      <c r="F321">
        <f t="shared" si="44"/>
        <v>7.7291293641845019E-2</v>
      </c>
      <c r="G321">
        <f t="shared" si="46"/>
        <v>25.546660371506828</v>
      </c>
      <c r="H321">
        <f t="shared" si="47"/>
        <v>2.310677364711286E-3</v>
      </c>
      <c r="I321">
        <f t="shared" si="48"/>
        <v>25.778534252432362</v>
      </c>
      <c r="P321" s="2">
        <v>31382</v>
      </c>
      <c r="Q321">
        <v>7.9601971006556305E-2</v>
      </c>
      <c r="R321">
        <f t="shared" si="49"/>
        <v>7.7291293641845019E-2</v>
      </c>
      <c r="S321">
        <f t="shared" si="50"/>
        <v>2.310677364711286E-3</v>
      </c>
      <c r="T321">
        <v>0.10335851298715326</v>
      </c>
    </row>
    <row r="322" spans="2:20" x14ac:dyDescent="0.25">
      <c r="B322">
        <f t="shared" si="42"/>
        <v>321</v>
      </c>
      <c r="C322">
        <v>8.2557299251699412E-2</v>
      </c>
      <c r="D322">
        <f t="shared" si="45"/>
        <v>25.938382845325908</v>
      </c>
      <c r="E322">
        <f t="shared" si="43"/>
        <v>25.938382845325908</v>
      </c>
      <c r="F322">
        <f t="shared" si="44"/>
        <v>7.8344494763815942E-2</v>
      </c>
      <c r="G322">
        <f t="shared" si="46"/>
        <v>25.625004866270643</v>
      </c>
      <c r="H322">
        <f t="shared" si="47"/>
        <v>4.2128044878834703E-3</v>
      </c>
      <c r="I322">
        <f t="shared" si="48"/>
        <v>25.860038350562093</v>
      </c>
      <c r="P322" s="2">
        <v>31413</v>
      </c>
      <c r="Q322">
        <v>8.2557299251699412E-2</v>
      </c>
      <c r="R322">
        <f t="shared" si="49"/>
        <v>7.8344494763815942E-2</v>
      </c>
      <c r="S322">
        <f t="shared" si="50"/>
        <v>4.2128044878834703E-3</v>
      </c>
      <c r="T322">
        <v>0.11285448945523413</v>
      </c>
    </row>
    <row r="323" spans="2:20" x14ac:dyDescent="0.25">
      <c r="B323">
        <f t="shared" si="42"/>
        <v>322</v>
      </c>
      <c r="C323">
        <v>8.5166077416030994E-2</v>
      </c>
      <c r="D323">
        <f t="shared" si="45"/>
        <v>26.023548922741938</v>
      </c>
      <c r="E323">
        <f t="shared" si="43"/>
        <v>26.023548922741938</v>
      </c>
      <c r="F323">
        <f t="shared" si="44"/>
        <v>7.9708811294258913E-2</v>
      </c>
      <c r="G323">
        <f t="shared" si="46"/>
        <v>25.704713677564904</v>
      </c>
      <c r="H323">
        <f t="shared" si="47"/>
        <v>5.4572661217720808E-3</v>
      </c>
      <c r="I323">
        <f t="shared" si="48"/>
        <v>25.943840111447678</v>
      </c>
      <c r="P323" s="2">
        <v>31444</v>
      </c>
      <c r="Q323">
        <v>8.5166077416030994E-2</v>
      </c>
      <c r="R323">
        <f t="shared" si="49"/>
        <v>7.9708811294258913E-2</v>
      </c>
      <c r="S323">
        <f t="shared" si="50"/>
        <v>5.4572661217720808E-3</v>
      </c>
      <c r="T323">
        <v>0.11191791620398517</v>
      </c>
    </row>
    <row r="324" spans="2:20" x14ac:dyDescent="0.25">
      <c r="B324">
        <f t="shared" ref="B324:B387" si="51">B323+1</f>
        <v>323</v>
      </c>
      <c r="C324">
        <v>8.636206891724818E-2</v>
      </c>
      <c r="D324">
        <f t="shared" si="45"/>
        <v>26.109910991659184</v>
      </c>
      <c r="E324">
        <f t="shared" ref="E324:E387" si="52">D324</f>
        <v>26.109910991659184</v>
      </c>
      <c r="F324">
        <f t="shared" ref="F324:F387" si="53">$K$1*(E324-G323)</f>
        <v>8.1039462818856128E-2</v>
      </c>
      <c r="G324">
        <f t="shared" si="46"/>
        <v>25.785753140383761</v>
      </c>
      <c r="H324">
        <f t="shared" si="47"/>
        <v>5.322606098392052E-3</v>
      </c>
      <c r="I324">
        <f t="shared" si="48"/>
        <v>26.028871528840327</v>
      </c>
      <c r="P324" s="2">
        <v>31472</v>
      </c>
      <c r="Q324">
        <v>8.636206891724818E-2</v>
      </c>
      <c r="R324">
        <f t="shared" si="49"/>
        <v>8.1039462818856128E-2</v>
      </c>
      <c r="S324">
        <f t="shared" si="50"/>
        <v>5.322606098392052E-3</v>
      </c>
      <c r="T324">
        <v>0.11511669060319107</v>
      </c>
    </row>
    <row r="325" spans="2:20" x14ac:dyDescent="0.25">
      <c r="B325">
        <f t="shared" si="51"/>
        <v>324</v>
      </c>
      <c r="C325">
        <v>9.044301145021727E-2</v>
      </c>
      <c r="D325">
        <f t="shared" si="45"/>
        <v>26.200354003109403</v>
      </c>
      <c r="E325">
        <f t="shared" si="52"/>
        <v>26.200354003109403</v>
      </c>
      <c r="F325">
        <f t="shared" si="53"/>
        <v>8.2920172545128429E-2</v>
      </c>
      <c r="G325">
        <f t="shared" si="46"/>
        <v>25.868673312928891</v>
      </c>
      <c r="H325">
        <f t="shared" si="47"/>
        <v>7.5228389050888411E-3</v>
      </c>
      <c r="I325">
        <f t="shared" si="48"/>
        <v>26.117433830564273</v>
      </c>
      <c r="P325" s="2">
        <v>31503</v>
      </c>
      <c r="Q325">
        <v>9.044301145021727E-2</v>
      </c>
      <c r="R325">
        <f t="shared" si="49"/>
        <v>8.2920172545128429E-2</v>
      </c>
      <c r="S325">
        <f t="shared" si="50"/>
        <v>7.5228389050888411E-3</v>
      </c>
      <c r="T325">
        <v>0.11417682907965476</v>
      </c>
    </row>
    <row r="326" spans="2:20" x14ac:dyDescent="0.25">
      <c r="B326">
        <f t="shared" si="51"/>
        <v>325</v>
      </c>
      <c r="C326">
        <v>9.2249886779284473E-2</v>
      </c>
      <c r="D326">
        <f t="shared" si="45"/>
        <v>26.292603889888689</v>
      </c>
      <c r="E326">
        <f t="shared" si="52"/>
        <v>26.292603889888689</v>
      </c>
      <c r="F326">
        <f t="shared" si="53"/>
        <v>8.478611539195953E-2</v>
      </c>
      <c r="G326">
        <f t="shared" si="46"/>
        <v>25.953459428320851</v>
      </c>
      <c r="H326">
        <f t="shared" si="47"/>
        <v>7.4637713873249439E-3</v>
      </c>
      <c r="I326">
        <f t="shared" si="48"/>
        <v>26.207817774496728</v>
      </c>
      <c r="P326" s="2">
        <v>31533</v>
      </c>
      <c r="Q326">
        <v>9.2249886779284473E-2</v>
      </c>
      <c r="R326">
        <f t="shared" si="49"/>
        <v>8.478611539195953E-2</v>
      </c>
      <c r="S326">
        <f t="shared" si="50"/>
        <v>7.4637713873249439E-3</v>
      </c>
      <c r="T326">
        <v>0.11111316814727612</v>
      </c>
    </row>
    <row r="327" spans="2:20" x14ac:dyDescent="0.25">
      <c r="B327">
        <f t="shared" si="51"/>
        <v>326</v>
      </c>
      <c r="C327">
        <v>8.9253942601954073E-2</v>
      </c>
      <c r="D327">
        <f t="shared" si="45"/>
        <v>26.381857832490642</v>
      </c>
      <c r="E327">
        <f t="shared" si="52"/>
        <v>26.381857832490642</v>
      </c>
      <c r="F327">
        <f t="shared" si="53"/>
        <v>8.5679680833958119E-2</v>
      </c>
      <c r="G327">
        <f t="shared" si="46"/>
        <v>26.03913910915481</v>
      </c>
      <c r="H327">
        <f t="shared" si="47"/>
        <v>3.5742617679959537E-3</v>
      </c>
      <c r="I327">
        <f t="shared" si="48"/>
        <v>26.296178151656683</v>
      </c>
      <c r="P327" s="2">
        <v>31564</v>
      </c>
      <c r="Q327">
        <v>8.9253942601954073E-2</v>
      </c>
      <c r="R327">
        <f t="shared" si="49"/>
        <v>8.5679680833958119E-2</v>
      </c>
      <c r="S327">
        <f t="shared" si="50"/>
        <v>3.5742617679959537E-3</v>
      </c>
      <c r="T327">
        <v>0.10620582424577707</v>
      </c>
    </row>
    <row r="328" spans="2:20" x14ac:dyDescent="0.25">
      <c r="B328">
        <f t="shared" si="51"/>
        <v>327</v>
      </c>
      <c r="C328">
        <v>8.3501612791950564E-2</v>
      </c>
      <c r="D328">
        <f t="shared" si="45"/>
        <v>26.465359445282594</v>
      </c>
      <c r="E328">
        <f t="shared" si="52"/>
        <v>26.465359445282594</v>
      </c>
      <c r="F328">
        <f t="shared" si="53"/>
        <v>8.524406722555683E-2</v>
      </c>
      <c r="G328">
        <f t="shared" si="46"/>
        <v>26.124383176380366</v>
      </c>
      <c r="H328">
        <f t="shared" si="47"/>
        <v>-1.7424544336062664E-3</v>
      </c>
      <c r="I328">
        <f t="shared" si="48"/>
        <v>26.380115378057038</v>
      </c>
      <c r="P328" s="2">
        <v>31594</v>
      </c>
      <c r="Q328">
        <v>8.3501612791950564E-2</v>
      </c>
      <c r="R328">
        <f t="shared" si="49"/>
        <v>8.524406722555683E-2</v>
      </c>
      <c r="S328">
        <f t="shared" si="50"/>
        <v>-1.7424544336062664E-3</v>
      </c>
      <c r="T328">
        <v>9.9485551214805845E-2</v>
      </c>
    </row>
    <row r="329" spans="2:20" x14ac:dyDescent="0.25">
      <c r="B329">
        <f t="shared" si="51"/>
        <v>328</v>
      </c>
      <c r="C329">
        <v>7.8869136361750414E-2</v>
      </c>
      <c r="D329">
        <f t="shared" si="45"/>
        <v>26.544228581644344</v>
      </c>
      <c r="E329">
        <f t="shared" si="52"/>
        <v>26.544228581644344</v>
      </c>
      <c r="F329">
        <f t="shared" si="53"/>
        <v>8.3969081052795505E-2</v>
      </c>
      <c r="G329">
        <f t="shared" si="46"/>
        <v>26.208352257433162</v>
      </c>
      <c r="H329">
        <f t="shared" si="47"/>
        <v>-5.0999446910450913E-3</v>
      </c>
      <c r="I329">
        <f t="shared" si="48"/>
        <v>26.460259500591548</v>
      </c>
      <c r="P329" s="2">
        <v>31625</v>
      </c>
      <c r="Q329">
        <v>7.8869136361750414E-2</v>
      </c>
      <c r="R329">
        <f t="shared" si="49"/>
        <v>8.3969081052795505E-2</v>
      </c>
      <c r="S329">
        <f t="shared" si="50"/>
        <v>-5.0999446910450913E-3</v>
      </c>
      <c r="T329">
        <v>9.7009736440406336E-2</v>
      </c>
    </row>
    <row r="330" spans="2:20" x14ac:dyDescent="0.25">
      <c r="B330">
        <f t="shared" si="51"/>
        <v>329</v>
      </c>
      <c r="C330">
        <v>7.0245568428553007E-2</v>
      </c>
      <c r="D330">
        <f t="shared" si="45"/>
        <v>26.614474150072898</v>
      </c>
      <c r="E330">
        <f t="shared" si="52"/>
        <v>26.614474150072898</v>
      </c>
      <c r="F330">
        <f t="shared" si="53"/>
        <v>8.1224378527947047E-2</v>
      </c>
      <c r="G330">
        <f t="shared" si="46"/>
        <v>26.289576635961108</v>
      </c>
      <c r="H330">
        <f t="shared" si="47"/>
        <v>-1.097881009939404E-2</v>
      </c>
      <c r="I330">
        <f t="shared" si="48"/>
        <v>26.533249771544952</v>
      </c>
      <c r="P330" s="2">
        <v>31656</v>
      </c>
      <c r="Q330">
        <v>7.0245568428553007E-2</v>
      </c>
      <c r="R330">
        <f t="shared" si="49"/>
        <v>8.1224378527947047E-2</v>
      </c>
      <c r="S330">
        <f t="shared" si="50"/>
        <v>-1.097881009939404E-2</v>
      </c>
      <c r="T330">
        <v>8.8553397341445184E-2</v>
      </c>
    </row>
    <row r="331" spans="2:20" x14ac:dyDescent="0.25">
      <c r="B331">
        <f t="shared" si="51"/>
        <v>330</v>
      </c>
      <c r="C331">
        <v>6.3073917459157691E-2</v>
      </c>
      <c r="D331">
        <f t="shared" si="45"/>
        <v>26.677548067532054</v>
      </c>
      <c r="E331">
        <f t="shared" si="52"/>
        <v>26.677548067532054</v>
      </c>
      <c r="F331">
        <f t="shared" si="53"/>
        <v>7.7594286314189284E-2</v>
      </c>
      <c r="G331">
        <f t="shared" si="46"/>
        <v>26.367170922275296</v>
      </c>
      <c r="H331">
        <f t="shared" si="47"/>
        <v>-1.4520368855031593E-2</v>
      </c>
      <c r="I331">
        <f t="shared" si="48"/>
        <v>26.599953781217867</v>
      </c>
      <c r="P331" s="2">
        <v>31686</v>
      </c>
      <c r="Q331">
        <v>6.3073917459157691E-2</v>
      </c>
      <c r="R331">
        <f t="shared" si="49"/>
        <v>7.7594286314189284E-2</v>
      </c>
      <c r="S331">
        <f t="shared" si="50"/>
        <v>-1.4520368855031593E-2</v>
      </c>
      <c r="T331">
        <v>8.7861355791334361E-2</v>
      </c>
    </row>
    <row r="332" spans="2:20" x14ac:dyDescent="0.25">
      <c r="B332">
        <f t="shared" si="51"/>
        <v>331</v>
      </c>
      <c r="C332">
        <v>5.6400916591443639E-2</v>
      </c>
      <c r="D332">
        <f t="shared" si="45"/>
        <v>26.733948984123497</v>
      </c>
      <c r="E332">
        <f t="shared" si="52"/>
        <v>26.733948984123497</v>
      </c>
      <c r="F332">
        <f t="shared" si="53"/>
        <v>7.3355612369640263E-2</v>
      </c>
      <c r="G332">
        <f t="shared" si="46"/>
        <v>26.440526534644935</v>
      </c>
      <c r="H332">
        <f t="shared" si="47"/>
        <v>-1.6954695778196624E-2</v>
      </c>
      <c r="I332">
        <f t="shared" si="48"/>
        <v>26.660593371753858</v>
      </c>
      <c r="P332" s="2">
        <v>31717</v>
      </c>
      <c r="Q332">
        <v>5.6400916591443639E-2</v>
      </c>
      <c r="R332">
        <f t="shared" si="49"/>
        <v>7.3355612369640263E-2</v>
      </c>
      <c r="S332">
        <f t="shared" si="50"/>
        <v>-1.6954695778196624E-2</v>
      </c>
      <c r="T332">
        <v>9.1059965515630115E-2</v>
      </c>
    </row>
    <row r="333" spans="2:20" x14ac:dyDescent="0.25">
      <c r="B333">
        <f t="shared" si="51"/>
        <v>332</v>
      </c>
      <c r="C333">
        <v>5.2158214020945337E-2</v>
      </c>
      <c r="D333">
        <f t="shared" si="45"/>
        <v>26.786107198144443</v>
      </c>
      <c r="E333">
        <f t="shared" si="52"/>
        <v>26.786107198144443</v>
      </c>
      <c r="F333">
        <f t="shared" si="53"/>
        <v>6.9116132699901564E-2</v>
      </c>
      <c r="G333">
        <f t="shared" si="46"/>
        <v>26.509642667344835</v>
      </c>
      <c r="H333">
        <f t="shared" si="47"/>
        <v>-1.6957918678956227E-2</v>
      </c>
      <c r="I333">
        <f t="shared" si="48"/>
        <v>26.716991065444542</v>
      </c>
      <c r="P333" s="2">
        <v>31747</v>
      </c>
      <c r="Q333">
        <v>5.2158214020945337E-2</v>
      </c>
      <c r="R333">
        <f t="shared" si="49"/>
        <v>6.9116132699901564E-2</v>
      </c>
      <c r="S333">
        <f t="shared" si="50"/>
        <v>-1.6957918678956227E-2</v>
      </c>
      <c r="T333">
        <v>8.2659905688127644E-2</v>
      </c>
    </row>
    <row r="334" spans="2:20" x14ac:dyDescent="0.25">
      <c r="B334">
        <f t="shared" si="51"/>
        <v>333</v>
      </c>
      <c r="C334">
        <v>4.8186667082004142E-2</v>
      </c>
      <c r="D334">
        <f t="shared" si="45"/>
        <v>26.834293865226446</v>
      </c>
      <c r="E334">
        <f t="shared" si="52"/>
        <v>26.834293865226446</v>
      </c>
      <c r="F334">
        <f t="shared" si="53"/>
        <v>6.4930239576322185E-2</v>
      </c>
      <c r="G334">
        <f t="shared" si="46"/>
        <v>26.574572906921158</v>
      </c>
      <c r="H334">
        <f t="shared" si="47"/>
        <v>-1.6743572494318043E-2</v>
      </c>
      <c r="I334">
        <f t="shared" si="48"/>
        <v>26.769363625650122</v>
      </c>
      <c r="P334" s="2">
        <v>31778</v>
      </c>
      <c r="Q334">
        <v>4.8186667082004142E-2</v>
      </c>
      <c r="R334">
        <f t="shared" si="49"/>
        <v>6.4930239576322185E-2</v>
      </c>
      <c r="S334">
        <f t="shared" si="50"/>
        <v>-1.6743572494318043E-2</v>
      </c>
      <c r="T334">
        <v>7.6082306457439408E-2</v>
      </c>
    </row>
    <row r="335" spans="2:20" x14ac:dyDescent="0.25">
      <c r="B335">
        <f t="shared" si="51"/>
        <v>334</v>
      </c>
      <c r="C335">
        <v>4.6317027651084253E-2</v>
      </c>
      <c r="D335">
        <f t="shared" si="45"/>
        <v>26.880610892877531</v>
      </c>
      <c r="E335">
        <f t="shared" si="52"/>
        <v>26.880610892877531</v>
      </c>
      <c r="F335">
        <f t="shared" si="53"/>
        <v>6.1207597191274492E-2</v>
      </c>
      <c r="G335">
        <f t="shared" si="46"/>
        <v>26.635780504112432</v>
      </c>
      <c r="H335">
        <f t="shared" si="47"/>
        <v>-1.4890569540190239E-2</v>
      </c>
      <c r="I335">
        <f t="shared" si="48"/>
        <v>26.819403295686257</v>
      </c>
      <c r="P335" s="2">
        <v>31809</v>
      </c>
      <c r="Q335">
        <v>4.6317027651084253E-2</v>
      </c>
      <c r="R335">
        <f t="shared" si="49"/>
        <v>6.1207597191274492E-2</v>
      </c>
      <c r="S335">
        <f t="shared" si="50"/>
        <v>-1.4890569540190239E-2</v>
      </c>
      <c r="T335">
        <v>7.3687715791158848E-2</v>
      </c>
    </row>
    <row r="336" spans="2:20" x14ac:dyDescent="0.25">
      <c r="B336">
        <f t="shared" si="51"/>
        <v>335</v>
      </c>
      <c r="C336">
        <v>4.2613599313835238E-2</v>
      </c>
      <c r="D336">
        <f t="shared" si="45"/>
        <v>26.923224492191366</v>
      </c>
      <c r="E336">
        <f t="shared" si="52"/>
        <v>26.923224492191366</v>
      </c>
      <c r="F336">
        <f t="shared" si="53"/>
        <v>5.7488797615786784E-2</v>
      </c>
      <c r="G336">
        <f t="shared" si="46"/>
        <v>26.693269301728218</v>
      </c>
      <c r="H336">
        <f t="shared" si="47"/>
        <v>-1.4875198301951546E-2</v>
      </c>
      <c r="I336">
        <f t="shared" si="48"/>
        <v>26.86573569457558</v>
      </c>
      <c r="P336" s="2">
        <v>31837</v>
      </c>
      <c r="Q336">
        <v>4.2613599313835238E-2</v>
      </c>
      <c r="R336">
        <f t="shared" si="49"/>
        <v>5.7488797615786784E-2</v>
      </c>
      <c r="S336">
        <f t="shared" si="50"/>
        <v>-1.4875198301951546E-2</v>
      </c>
      <c r="T336">
        <v>7.1191100858598588E-2</v>
      </c>
    </row>
    <row r="337" spans="2:20" x14ac:dyDescent="0.25">
      <c r="B337">
        <f t="shared" si="51"/>
        <v>336</v>
      </c>
      <c r="C337">
        <v>3.5435077081582556E-2</v>
      </c>
      <c r="D337">
        <f t="shared" si="45"/>
        <v>26.95865956927295</v>
      </c>
      <c r="E337">
        <f t="shared" si="52"/>
        <v>26.95865956927295</v>
      </c>
      <c r="F337">
        <f t="shared" si="53"/>
        <v>5.307805350894626E-2</v>
      </c>
      <c r="G337">
        <f t="shared" si="46"/>
        <v>26.746347355237166</v>
      </c>
      <c r="H337">
        <f t="shared" si="47"/>
        <v>-1.7642976427363705E-2</v>
      </c>
      <c r="I337">
        <f t="shared" si="48"/>
        <v>26.905581515764002</v>
      </c>
      <c r="P337" s="2">
        <v>31868</v>
      </c>
      <c r="Q337">
        <v>3.5435077081582556E-2</v>
      </c>
      <c r="R337">
        <f t="shared" si="49"/>
        <v>5.307805350894626E-2</v>
      </c>
      <c r="S337">
        <f t="shared" si="50"/>
        <v>-1.7642976427363705E-2</v>
      </c>
      <c r="T337">
        <v>6.8864411084693433E-2</v>
      </c>
    </row>
    <row r="338" spans="2:20" x14ac:dyDescent="0.25">
      <c r="B338">
        <f t="shared" si="51"/>
        <v>337</v>
      </c>
      <c r="C338">
        <v>3.7026031146624838E-2</v>
      </c>
      <c r="D338">
        <f t="shared" si="45"/>
        <v>26.995685600419574</v>
      </c>
      <c r="E338">
        <f t="shared" si="52"/>
        <v>26.995685600419574</v>
      </c>
      <c r="F338">
        <f t="shared" si="53"/>
        <v>4.9867649036481512E-2</v>
      </c>
      <c r="G338">
        <f t="shared" si="46"/>
        <v>26.796215004273648</v>
      </c>
      <c r="H338">
        <f t="shared" si="47"/>
        <v>-1.2841617889856674E-2</v>
      </c>
      <c r="I338">
        <f t="shared" si="48"/>
        <v>26.945817951383091</v>
      </c>
      <c r="P338" s="2">
        <v>31898</v>
      </c>
      <c r="Q338">
        <v>3.7026031146624838E-2</v>
      </c>
      <c r="R338">
        <f t="shared" si="49"/>
        <v>4.9867649036481512E-2</v>
      </c>
      <c r="S338">
        <f t="shared" si="50"/>
        <v>-1.2841617889856674E-2</v>
      </c>
      <c r="T338">
        <v>6.4777498316387572E-2</v>
      </c>
    </row>
    <row r="339" spans="2:20" x14ac:dyDescent="0.25">
      <c r="B339">
        <f t="shared" si="51"/>
        <v>338</v>
      </c>
      <c r="C339">
        <v>4.37599855867008E-2</v>
      </c>
      <c r="D339">
        <f t="shared" si="45"/>
        <v>27.039445586006273</v>
      </c>
      <c r="E339">
        <f t="shared" si="52"/>
        <v>27.039445586006273</v>
      </c>
      <c r="F339">
        <f t="shared" si="53"/>
        <v>4.8646116346525048E-2</v>
      </c>
      <c r="G339">
        <f t="shared" si="46"/>
        <v>26.844861120620173</v>
      </c>
      <c r="H339">
        <f t="shared" si="47"/>
        <v>-4.8861307598242476E-3</v>
      </c>
      <c r="I339">
        <f t="shared" si="48"/>
        <v>26.990799469659748</v>
      </c>
      <c r="P339" s="2">
        <v>31929</v>
      </c>
      <c r="Q339">
        <v>4.37599855867008E-2</v>
      </c>
      <c r="R339">
        <f t="shared" si="49"/>
        <v>4.8646116346525048E-2</v>
      </c>
      <c r="S339">
        <f t="shared" si="50"/>
        <v>-4.8861307598242476E-3</v>
      </c>
      <c r="T339">
        <v>6.0848260417389E-2</v>
      </c>
    </row>
    <row r="340" spans="2:20" x14ac:dyDescent="0.25">
      <c r="B340">
        <f t="shared" si="51"/>
        <v>339</v>
      </c>
      <c r="C340">
        <v>4.8553225416990919E-2</v>
      </c>
      <c r="D340">
        <f t="shared" si="45"/>
        <v>27.087998811423265</v>
      </c>
      <c r="E340">
        <f t="shared" si="52"/>
        <v>27.087998811423265</v>
      </c>
      <c r="F340">
        <f t="shared" si="53"/>
        <v>4.8627538160618405E-2</v>
      </c>
      <c r="G340">
        <f t="shared" si="46"/>
        <v>26.893488658780793</v>
      </c>
      <c r="H340">
        <f t="shared" si="47"/>
        <v>-7.4312743627485967E-5</v>
      </c>
      <c r="I340">
        <f t="shared" si="48"/>
        <v>27.039371273262645</v>
      </c>
      <c r="P340" s="2">
        <v>31959</v>
      </c>
      <c r="Q340">
        <v>4.8553225416990919E-2</v>
      </c>
      <c r="R340">
        <f t="shared" si="49"/>
        <v>4.8627538160618405E-2</v>
      </c>
      <c r="S340">
        <f t="shared" si="50"/>
        <v>-7.4312743627485967E-5</v>
      </c>
      <c r="T340">
        <v>5.8840500022933728E-2</v>
      </c>
    </row>
    <row r="341" spans="2:20" x14ac:dyDescent="0.25">
      <c r="B341">
        <f t="shared" si="51"/>
        <v>340</v>
      </c>
      <c r="C341">
        <v>5.0376951705275452E-2</v>
      </c>
      <c r="D341">
        <f t="shared" si="45"/>
        <v>27.13837576312854</v>
      </c>
      <c r="E341">
        <f t="shared" si="52"/>
        <v>27.13837576312854</v>
      </c>
      <c r="F341">
        <f t="shared" si="53"/>
        <v>4.897742086954935E-2</v>
      </c>
      <c r="G341">
        <f t="shared" si="46"/>
        <v>26.942466079650341</v>
      </c>
      <c r="H341">
        <f t="shared" si="47"/>
        <v>1.3995308357261024E-3</v>
      </c>
      <c r="I341">
        <f t="shared" si="48"/>
        <v>27.089398342258992</v>
      </c>
      <c r="P341" s="2">
        <v>31990</v>
      </c>
      <c r="Q341">
        <v>5.0376951705275452E-2</v>
      </c>
      <c r="R341">
        <f t="shared" si="49"/>
        <v>4.897742086954935E-2</v>
      </c>
      <c r="S341">
        <f t="shared" si="50"/>
        <v>1.3995308357261024E-3</v>
      </c>
      <c r="T341">
        <v>5.6843898976528973E-2</v>
      </c>
    </row>
    <row r="342" spans="2:20" x14ac:dyDescent="0.25">
      <c r="B342">
        <f t="shared" si="51"/>
        <v>341</v>
      </c>
      <c r="C342">
        <v>5.3742598641227879E-2</v>
      </c>
      <c r="D342">
        <f t="shared" si="45"/>
        <v>27.192118361769769</v>
      </c>
      <c r="E342">
        <f t="shared" si="52"/>
        <v>27.192118361769769</v>
      </c>
      <c r="F342">
        <f t="shared" si="53"/>
        <v>4.9930456423885522E-2</v>
      </c>
      <c r="G342">
        <f t="shared" si="46"/>
        <v>26.992396536074228</v>
      </c>
      <c r="H342">
        <f t="shared" si="47"/>
        <v>3.8121422173423569E-3</v>
      </c>
      <c r="I342">
        <f t="shared" si="48"/>
        <v>27.142187905345882</v>
      </c>
      <c r="P342" s="2">
        <v>32021</v>
      </c>
      <c r="Q342">
        <v>5.3742598641227879E-2</v>
      </c>
      <c r="R342">
        <f t="shared" si="49"/>
        <v>4.9930456423885522E-2</v>
      </c>
      <c r="S342">
        <f t="shared" si="50"/>
        <v>3.8121422173423569E-3</v>
      </c>
      <c r="T342">
        <v>6.0292230256119961E-2</v>
      </c>
    </row>
    <row r="343" spans="2:20" x14ac:dyDescent="0.25">
      <c r="B343">
        <f t="shared" si="51"/>
        <v>342</v>
      </c>
      <c r="C343">
        <v>5.7358622858832753E-2</v>
      </c>
      <c r="D343">
        <f t="shared" si="45"/>
        <v>27.2494769846286</v>
      </c>
      <c r="E343">
        <f t="shared" si="52"/>
        <v>27.2494769846286</v>
      </c>
      <c r="F343">
        <f t="shared" si="53"/>
        <v>5.1416089710874503E-2</v>
      </c>
      <c r="G343">
        <f t="shared" si="46"/>
        <v>27.043812625785101</v>
      </c>
      <c r="H343">
        <f t="shared" si="47"/>
        <v>5.9425331479582497E-3</v>
      </c>
      <c r="I343">
        <f t="shared" si="48"/>
        <v>27.198060894917727</v>
      </c>
      <c r="P343" s="2">
        <v>32051</v>
      </c>
      <c r="Q343">
        <v>5.7358622858832753E-2</v>
      </c>
      <c r="R343">
        <f t="shared" si="49"/>
        <v>5.1416089710874503E-2</v>
      </c>
      <c r="S343">
        <f t="shared" si="50"/>
        <v>5.9425331479582497E-3</v>
      </c>
      <c r="T343">
        <v>5.8092556831745856E-2</v>
      </c>
    </row>
    <row r="344" spans="2:20" x14ac:dyDescent="0.25">
      <c r="B344">
        <f t="shared" si="51"/>
        <v>343</v>
      </c>
      <c r="C344">
        <v>5.8764416318484614E-2</v>
      </c>
      <c r="D344">
        <f t="shared" si="45"/>
        <v>27.308241400947086</v>
      </c>
      <c r="E344">
        <f t="shared" si="52"/>
        <v>27.308241400947086</v>
      </c>
      <c r="F344">
        <f t="shared" si="53"/>
        <v>5.2885755032396987E-2</v>
      </c>
      <c r="G344">
        <f t="shared" si="46"/>
        <v>27.096698380817497</v>
      </c>
      <c r="H344">
        <f t="shared" si="47"/>
        <v>5.8786612860876261E-3</v>
      </c>
      <c r="I344">
        <f t="shared" si="48"/>
        <v>27.25535564591469</v>
      </c>
      <c r="P344" s="2">
        <v>32082</v>
      </c>
      <c r="Q344">
        <v>5.8764416318484614E-2</v>
      </c>
      <c r="R344">
        <f t="shared" si="49"/>
        <v>5.2885755032396987E-2</v>
      </c>
      <c r="S344">
        <f t="shared" si="50"/>
        <v>5.8786612860876261E-3</v>
      </c>
      <c r="T344">
        <v>5.4067221270275745E-2</v>
      </c>
    </row>
    <row r="345" spans="2:20" x14ac:dyDescent="0.25">
      <c r="B345">
        <f t="shared" si="51"/>
        <v>344</v>
      </c>
      <c r="C345">
        <v>5.70866804013761E-2</v>
      </c>
      <c r="D345">
        <f t="shared" si="45"/>
        <v>27.365328081348462</v>
      </c>
      <c r="E345">
        <f t="shared" si="52"/>
        <v>27.365328081348462</v>
      </c>
      <c r="F345">
        <f t="shared" si="53"/>
        <v>5.3725940106193096E-2</v>
      </c>
      <c r="G345">
        <f t="shared" si="46"/>
        <v>27.15042432092369</v>
      </c>
      <c r="H345">
        <f t="shared" si="47"/>
        <v>3.360740295183004E-3</v>
      </c>
      <c r="I345">
        <f t="shared" si="48"/>
        <v>27.311602141242268</v>
      </c>
      <c r="P345" s="2">
        <v>32112</v>
      </c>
      <c r="Q345">
        <v>5.70866804013761E-2</v>
      </c>
      <c r="R345">
        <f t="shared" si="49"/>
        <v>5.3725940106193096E-2</v>
      </c>
      <c r="S345">
        <f t="shared" si="50"/>
        <v>3.360740295183004E-3</v>
      </c>
      <c r="T345">
        <v>5.5619715275093462E-2</v>
      </c>
    </row>
    <row r="346" spans="2:20" x14ac:dyDescent="0.25">
      <c r="B346">
        <f t="shared" si="51"/>
        <v>345</v>
      </c>
      <c r="C346">
        <v>5.4700592432842754E-2</v>
      </c>
      <c r="D346">
        <f t="shared" si="45"/>
        <v>27.420028673781303</v>
      </c>
      <c r="E346">
        <f t="shared" si="52"/>
        <v>27.420028673781303</v>
      </c>
      <c r="F346">
        <f t="shared" si="53"/>
        <v>5.3920870571522533E-2</v>
      </c>
      <c r="G346">
        <f t="shared" si="46"/>
        <v>27.204345191495214</v>
      </c>
      <c r="H346">
        <f t="shared" si="47"/>
        <v>7.7972186132022059E-4</v>
      </c>
      <c r="I346">
        <f t="shared" si="48"/>
        <v>27.366107803209779</v>
      </c>
      <c r="P346" s="2">
        <v>32143</v>
      </c>
      <c r="Q346">
        <v>5.4700592432842754E-2</v>
      </c>
      <c r="R346">
        <f t="shared" si="49"/>
        <v>5.3920870571522533E-2</v>
      </c>
      <c r="S346">
        <f t="shared" si="50"/>
        <v>7.7972186132022059E-4</v>
      </c>
      <c r="T346">
        <v>5.3488684950986354E-2</v>
      </c>
    </row>
    <row r="347" spans="2:20" x14ac:dyDescent="0.25">
      <c r="B347">
        <f t="shared" si="51"/>
        <v>346</v>
      </c>
      <c r="C347">
        <v>5.2086996659484797E-2</v>
      </c>
      <c r="D347">
        <f t="shared" si="45"/>
        <v>27.472115670440786</v>
      </c>
      <c r="E347">
        <f t="shared" si="52"/>
        <v>27.472115670440786</v>
      </c>
      <c r="F347">
        <f t="shared" si="53"/>
        <v>5.3554095789114346E-2</v>
      </c>
      <c r="G347">
        <f t="shared" si="46"/>
        <v>27.257899287284328</v>
      </c>
      <c r="H347">
        <f t="shared" si="47"/>
        <v>-1.4670991296295496E-3</v>
      </c>
      <c r="I347">
        <f t="shared" si="48"/>
        <v>27.418561574651672</v>
      </c>
      <c r="P347" s="2">
        <v>32174</v>
      </c>
      <c r="Q347">
        <v>5.2086996659484797E-2</v>
      </c>
      <c r="R347">
        <f t="shared" si="49"/>
        <v>5.3554095789114346E-2</v>
      </c>
      <c r="S347">
        <f t="shared" si="50"/>
        <v>-1.4670991296295496E-3</v>
      </c>
      <c r="T347">
        <v>5.3204036063465132E-2</v>
      </c>
    </row>
    <row r="348" spans="2:20" x14ac:dyDescent="0.25">
      <c r="B348">
        <f t="shared" si="51"/>
        <v>347</v>
      </c>
      <c r="C348">
        <v>5.5643674428638157E-2</v>
      </c>
      <c r="D348">
        <f t="shared" si="45"/>
        <v>27.527759344869423</v>
      </c>
      <c r="E348">
        <f t="shared" si="52"/>
        <v>27.527759344869423</v>
      </c>
      <c r="F348">
        <f t="shared" si="53"/>
        <v>5.3972011517019074E-2</v>
      </c>
      <c r="G348">
        <f t="shared" si="46"/>
        <v>27.311871298801346</v>
      </c>
      <c r="H348">
        <f t="shared" si="47"/>
        <v>1.6716629116190831E-3</v>
      </c>
      <c r="I348">
        <f t="shared" si="48"/>
        <v>27.473787333352405</v>
      </c>
      <c r="P348" s="2">
        <v>32203</v>
      </c>
      <c r="Q348">
        <v>5.5643674428638157E-2</v>
      </c>
      <c r="R348">
        <f t="shared" si="49"/>
        <v>5.3972011517019074E-2</v>
      </c>
      <c r="S348">
        <f t="shared" si="50"/>
        <v>1.6716629116190831E-3</v>
      </c>
      <c r="T348">
        <v>4.9392755329576765E-2</v>
      </c>
    </row>
    <row r="349" spans="2:20" x14ac:dyDescent="0.25">
      <c r="B349">
        <f t="shared" si="51"/>
        <v>348</v>
      </c>
      <c r="C349">
        <v>5.566738237204838E-2</v>
      </c>
      <c r="D349">
        <f t="shared" si="45"/>
        <v>27.583426727241473</v>
      </c>
      <c r="E349">
        <f t="shared" si="52"/>
        <v>27.583426727241473</v>
      </c>
      <c r="F349">
        <f t="shared" si="53"/>
        <v>5.431108568802543E-2</v>
      </c>
      <c r="G349">
        <f t="shared" si="46"/>
        <v>27.36618238448937</v>
      </c>
      <c r="H349">
        <f t="shared" si="47"/>
        <v>1.3562966840229493E-3</v>
      </c>
      <c r="I349">
        <f t="shared" si="48"/>
        <v>27.529115641553449</v>
      </c>
      <c r="P349" s="2">
        <v>32234</v>
      </c>
      <c r="Q349">
        <v>5.566738237204838E-2</v>
      </c>
      <c r="R349">
        <f t="shared" si="49"/>
        <v>5.431108568802543E-2</v>
      </c>
      <c r="S349">
        <f t="shared" si="50"/>
        <v>1.3562966840229493E-3</v>
      </c>
      <c r="T349">
        <v>4.9132688577644856E-2</v>
      </c>
    </row>
    <row r="350" spans="2:20" x14ac:dyDescent="0.25">
      <c r="B350">
        <f t="shared" si="51"/>
        <v>349</v>
      </c>
      <c r="C350">
        <v>4.9435490507933721E-2</v>
      </c>
      <c r="D350">
        <f t="shared" si="45"/>
        <v>27.632862217749405</v>
      </c>
      <c r="E350">
        <f t="shared" si="52"/>
        <v>27.632862217749405</v>
      </c>
      <c r="F350">
        <f t="shared" si="53"/>
        <v>5.3335966652007016E-2</v>
      </c>
      <c r="G350">
        <f t="shared" si="46"/>
        <v>27.419518351141377</v>
      </c>
      <c r="H350">
        <f t="shared" si="47"/>
        <v>-3.9004761440732949E-3</v>
      </c>
      <c r="I350">
        <f t="shared" si="48"/>
        <v>27.579526251097398</v>
      </c>
      <c r="P350" s="2">
        <v>32264</v>
      </c>
      <c r="Q350">
        <v>4.9435490507933721E-2</v>
      </c>
      <c r="R350">
        <f t="shared" si="49"/>
        <v>5.3335966652007016E-2</v>
      </c>
      <c r="S350">
        <f t="shared" si="50"/>
        <v>-3.9004761440732949E-3</v>
      </c>
      <c r="T350">
        <v>5.0665857446785978E-2</v>
      </c>
    </row>
    <row r="351" spans="2:20" x14ac:dyDescent="0.25">
      <c r="B351">
        <f t="shared" si="51"/>
        <v>350</v>
      </c>
      <c r="C351">
        <v>4.1557509915655544E-2</v>
      </c>
      <c r="D351">
        <f t="shared" si="45"/>
        <v>27.674419727665061</v>
      </c>
      <c r="E351">
        <f t="shared" si="52"/>
        <v>27.674419727665061</v>
      </c>
      <c r="F351">
        <f t="shared" si="53"/>
        <v>5.0980275304736727E-2</v>
      </c>
      <c r="G351">
        <f t="shared" si="46"/>
        <v>27.470498626446116</v>
      </c>
      <c r="H351">
        <f t="shared" si="47"/>
        <v>-9.4227653890811836E-3</v>
      </c>
      <c r="I351">
        <f t="shared" si="48"/>
        <v>27.623439452360323</v>
      </c>
      <c r="P351" s="2">
        <v>32295</v>
      </c>
      <c r="Q351">
        <v>4.1557509915655544E-2</v>
      </c>
      <c r="R351">
        <f t="shared" si="49"/>
        <v>5.0980275304736727E-2</v>
      </c>
      <c r="S351">
        <f t="shared" si="50"/>
        <v>-9.4227653890811836E-3</v>
      </c>
      <c r="T351">
        <v>5.9044925842626661E-2</v>
      </c>
    </row>
    <row r="352" spans="2:20" x14ac:dyDescent="0.25">
      <c r="B352">
        <f t="shared" si="51"/>
        <v>351</v>
      </c>
      <c r="C352">
        <v>3.7013596339767751E-2</v>
      </c>
      <c r="D352">
        <f t="shared" si="45"/>
        <v>27.71143332400483</v>
      </c>
      <c r="E352">
        <f t="shared" si="52"/>
        <v>27.71143332400483</v>
      </c>
      <c r="F352">
        <f t="shared" si="53"/>
        <v>4.8186939511742827E-2</v>
      </c>
      <c r="G352">
        <f t="shared" si="46"/>
        <v>27.51868556595786</v>
      </c>
      <c r="H352">
        <f t="shared" si="47"/>
        <v>-1.1173343171975075E-2</v>
      </c>
      <c r="I352">
        <f t="shared" si="48"/>
        <v>27.663246384493085</v>
      </c>
      <c r="P352" s="2">
        <v>32325</v>
      </c>
      <c r="Q352">
        <v>3.7013596339767751E-2</v>
      </c>
      <c r="R352">
        <f t="shared" si="49"/>
        <v>4.8186939511742827E-2</v>
      </c>
      <c r="S352">
        <f t="shared" si="50"/>
        <v>-1.1173343171975075E-2</v>
      </c>
      <c r="T352">
        <v>6.2303883336154442E-2</v>
      </c>
    </row>
    <row r="353" spans="2:20" x14ac:dyDescent="0.25">
      <c r="B353">
        <f t="shared" si="51"/>
        <v>352</v>
      </c>
      <c r="C353">
        <v>3.221668924667398E-2</v>
      </c>
      <c r="D353">
        <f t="shared" si="45"/>
        <v>27.743650013251504</v>
      </c>
      <c r="E353">
        <f t="shared" si="52"/>
        <v>27.743650013251504</v>
      </c>
      <c r="F353">
        <f t="shared" si="53"/>
        <v>4.4992889458728771E-2</v>
      </c>
      <c r="G353">
        <f t="shared" si="46"/>
        <v>27.563678455416589</v>
      </c>
      <c r="H353">
        <f t="shared" si="47"/>
        <v>-1.2776200212054792E-2</v>
      </c>
      <c r="I353">
        <f t="shared" si="48"/>
        <v>27.698657123792774</v>
      </c>
      <c r="P353" s="2">
        <v>32356</v>
      </c>
      <c r="Q353">
        <v>3.221668924667398E-2</v>
      </c>
      <c r="R353">
        <f t="shared" si="49"/>
        <v>4.4992889458728771E-2</v>
      </c>
      <c r="S353">
        <f t="shared" si="50"/>
        <v>-1.2776200212054792E-2</v>
      </c>
      <c r="T353">
        <v>6.7208749693449477E-2</v>
      </c>
    </row>
    <row r="354" spans="2:20" x14ac:dyDescent="0.25">
      <c r="B354">
        <f t="shared" si="51"/>
        <v>353</v>
      </c>
      <c r="C354">
        <v>2.8835196395897711E-2</v>
      </c>
      <c r="D354">
        <f t="shared" si="45"/>
        <v>27.7724852096474</v>
      </c>
      <c r="E354">
        <f t="shared" si="52"/>
        <v>27.7724852096474</v>
      </c>
      <c r="F354">
        <f t="shared" si="53"/>
        <v>4.176135084616206E-2</v>
      </c>
      <c r="G354">
        <f t="shared" si="46"/>
        <v>27.605439806262751</v>
      </c>
      <c r="H354">
        <f t="shared" si="47"/>
        <v>-1.2926154450264349E-2</v>
      </c>
      <c r="I354">
        <f t="shared" si="48"/>
        <v>27.730723858801237</v>
      </c>
      <c r="P354" s="2">
        <v>32387</v>
      </c>
      <c r="Q354">
        <v>2.8835196395897711E-2</v>
      </c>
      <c r="R354">
        <f t="shared" si="49"/>
        <v>4.176135084616206E-2</v>
      </c>
      <c r="S354">
        <f t="shared" si="50"/>
        <v>-1.2926154450264349E-2</v>
      </c>
      <c r="T354">
        <v>6.520319381076245E-2</v>
      </c>
    </row>
    <row r="355" spans="2:20" x14ac:dyDescent="0.25">
      <c r="B355">
        <f t="shared" si="51"/>
        <v>354</v>
      </c>
      <c r="C355">
        <v>3.0004094407464876E-2</v>
      </c>
      <c r="D355">
        <f t="shared" si="45"/>
        <v>27.802489304054866</v>
      </c>
      <c r="E355">
        <f t="shared" si="52"/>
        <v>27.802489304054866</v>
      </c>
      <c r="F355">
        <f t="shared" si="53"/>
        <v>3.940989955842298E-2</v>
      </c>
      <c r="G355">
        <f t="shared" si="46"/>
        <v>27.644849705821173</v>
      </c>
      <c r="H355">
        <f t="shared" si="47"/>
        <v>-9.4058051509581034E-3</v>
      </c>
      <c r="I355">
        <f t="shared" si="48"/>
        <v>27.763079404496445</v>
      </c>
      <c r="P355" s="2">
        <v>32417</v>
      </c>
      <c r="Q355">
        <v>3.0004094407464876E-2</v>
      </c>
      <c r="R355">
        <f t="shared" si="49"/>
        <v>3.940989955842298E-2</v>
      </c>
      <c r="S355">
        <f t="shared" si="50"/>
        <v>-9.4058051509581034E-3</v>
      </c>
      <c r="T355">
        <v>6.486915430308926E-2</v>
      </c>
    </row>
    <row r="356" spans="2:20" x14ac:dyDescent="0.25">
      <c r="B356">
        <f t="shared" si="51"/>
        <v>355</v>
      </c>
      <c r="C356">
        <v>3.5072599354490919E-2</v>
      </c>
      <c r="D356">
        <f t="shared" si="45"/>
        <v>27.837561903409359</v>
      </c>
      <c r="E356">
        <f t="shared" si="52"/>
        <v>27.837561903409359</v>
      </c>
      <c r="F356">
        <f t="shared" si="53"/>
        <v>3.8542439517637209E-2</v>
      </c>
      <c r="G356">
        <f t="shared" si="46"/>
        <v>27.683392145338811</v>
      </c>
      <c r="H356">
        <f t="shared" si="47"/>
        <v>-3.46984016314629E-3</v>
      </c>
      <c r="I356">
        <f t="shared" si="48"/>
        <v>27.799019463891721</v>
      </c>
      <c r="P356" s="2">
        <v>32448</v>
      </c>
      <c r="Q356">
        <v>3.5072599354490919E-2</v>
      </c>
      <c r="R356">
        <f t="shared" si="49"/>
        <v>3.8542439517637209E-2</v>
      </c>
      <c r="S356">
        <f t="shared" si="50"/>
        <v>-3.46984016314629E-3</v>
      </c>
      <c r="T356">
        <v>6.4538521137571081E-2</v>
      </c>
    </row>
    <row r="357" spans="2:20" x14ac:dyDescent="0.25">
      <c r="B357">
        <f t="shared" si="51"/>
        <v>356</v>
      </c>
      <c r="C357">
        <v>4.0626853530270068E-2</v>
      </c>
      <c r="D357">
        <f t="shared" si="45"/>
        <v>27.878188756939629</v>
      </c>
      <c r="E357">
        <f t="shared" si="52"/>
        <v>27.878188756939629</v>
      </c>
      <c r="F357">
        <f t="shared" si="53"/>
        <v>3.8959322320163636E-2</v>
      </c>
      <c r="G357">
        <f t="shared" si="46"/>
        <v>27.722351467658974</v>
      </c>
      <c r="H357">
        <f t="shared" si="47"/>
        <v>1.6675312101064321E-3</v>
      </c>
      <c r="I357">
        <f t="shared" si="48"/>
        <v>27.839229434619465</v>
      </c>
      <c r="P357" s="2">
        <v>32478</v>
      </c>
      <c r="Q357">
        <v>4.0626853530270068E-2</v>
      </c>
      <c r="R357">
        <f t="shared" si="49"/>
        <v>3.8959322320163636E-2</v>
      </c>
      <c r="S357">
        <f t="shared" si="50"/>
        <v>1.6675312101064321E-3</v>
      </c>
      <c r="T357">
        <v>6.4211242456855722E-2</v>
      </c>
    </row>
    <row r="358" spans="2:20" x14ac:dyDescent="0.25">
      <c r="B358">
        <f t="shared" si="51"/>
        <v>357</v>
      </c>
      <c r="C358">
        <v>4.4838403044852981E-2</v>
      </c>
      <c r="D358">
        <f t="shared" si="45"/>
        <v>27.923027159984482</v>
      </c>
      <c r="E358">
        <f t="shared" si="52"/>
        <v>27.923027159984482</v>
      </c>
      <c r="F358">
        <f t="shared" si="53"/>
        <v>4.0135138465101507E-2</v>
      </c>
      <c r="G358">
        <f t="shared" si="46"/>
        <v>27.762486606124074</v>
      </c>
      <c r="H358">
        <f t="shared" si="47"/>
        <v>4.7032645797514747E-3</v>
      </c>
      <c r="I358">
        <f t="shared" si="48"/>
        <v>27.882892021519382</v>
      </c>
      <c r="P358" s="2">
        <v>32509</v>
      </c>
      <c r="Q358">
        <v>4.4838403044852981E-2</v>
      </c>
      <c r="R358">
        <f t="shared" si="49"/>
        <v>4.0135138465101507E-2</v>
      </c>
      <c r="S358">
        <f t="shared" si="50"/>
        <v>4.7032645797514747E-3</v>
      </c>
      <c r="T358">
        <v>6.2257275240320098E-2</v>
      </c>
    </row>
    <row r="359" spans="2:20" x14ac:dyDescent="0.25">
      <c r="B359">
        <f t="shared" si="51"/>
        <v>358</v>
      </c>
      <c r="C359">
        <v>4.8961978164345332E-2</v>
      </c>
      <c r="D359">
        <f t="shared" si="45"/>
        <v>27.971989138148828</v>
      </c>
      <c r="E359">
        <f t="shared" si="52"/>
        <v>27.971989138148828</v>
      </c>
      <c r="F359">
        <f t="shared" si="53"/>
        <v>4.1900506404950737E-2</v>
      </c>
      <c r="G359">
        <f t="shared" si="46"/>
        <v>27.804387112529025</v>
      </c>
      <c r="H359">
        <f t="shared" si="47"/>
        <v>7.0614717593945955E-3</v>
      </c>
      <c r="I359">
        <f t="shared" si="48"/>
        <v>27.930088631743878</v>
      </c>
      <c r="P359" s="2">
        <v>32540</v>
      </c>
      <c r="Q359">
        <v>4.8961978164345332E-2</v>
      </c>
      <c r="R359">
        <f t="shared" si="49"/>
        <v>4.1900506404950737E-2</v>
      </c>
      <c r="S359">
        <f t="shared" si="50"/>
        <v>7.0614717593945955E-3</v>
      </c>
      <c r="T359">
        <v>6.1944485960524709E-2</v>
      </c>
    </row>
    <row r="360" spans="2:20" x14ac:dyDescent="0.25">
      <c r="B360">
        <f t="shared" si="51"/>
        <v>359</v>
      </c>
      <c r="C360">
        <v>5.0096349894166892E-2</v>
      </c>
      <c r="D360">
        <f t="shared" si="45"/>
        <v>28.022085488042997</v>
      </c>
      <c r="E360">
        <f t="shared" si="52"/>
        <v>28.022085488042997</v>
      </c>
      <c r="F360">
        <f t="shared" si="53"/>
        <v>4.3539675102794467E-2</v>
      </c>
      <c r="G360">
        <f t="shared" si="46"/>
        <v>27.84792678763182</v>
      </c>
      <c r="H360">
        <f t="shared" si="47"/>
        <v>6.5566747913724244E-3</v>
      </c>
      <c r="I360">
        <f t="shared" si="48"/>
        <v>27.978545812940201</v>
      </c>
      <c r="P360" s="2">
        <v>32568</v>
      </c>
      <c r="Q360">
        <v>5.0096349894166892E-2</v>
      </c>
      <c r="R360">
        <f t="shared" si="49"/>
        <v>4.3539675102794467E-2</v>
      </c>
      <c r="S360">
        <f t="shared" si="50"/>
        <v>6.5566747913724244E-3</v>
      </c>
      <c r="T360">
        <v>6.4968721187225853E-2</v>
      </c>
    </row>
    <row r="361" spans="2:20" x14ac:dyDescent="0.25">
      <c r="B361">
        <f t="shared" si="51"/>
        <v>360</v>
      </c>
      <c r="C361">
        <v>5.352458942209104E-2</v>
      </c>
      <c r="D361">
        <f t="shared" si="45"/>
        <v>28.075610077465086</v>
      </c>
      <c r="E361">
        <f t="shared" si="52"/>
        <v>28.075610077465086</v>
      </c>
      <c r="F361">
        <f t="shared" si="53"/>
        <v>4.5536657966653141E-2</v>
      </c>
      <c r="G361">
        <f t="shared" si="46"/>
        <v>27.893463445598474</v>
      </c>
      <c r="H361">
        <f t="shared" si="47"/>
        <v>7.9879314554378994E-3</v>
      </c>
      <c r="I361">
        <f t="shared" si="48"/>
        <v>28.030073419498432</v>
      </c>
      <c r="P361" s="2">
        <v>32599</v>
      </c>
      <c r="Q361">
        <v>5.352458942209104E-2</v>
      </c>
      <c r="R361">
        <f t="shared" si="49"/>
        <v>4.5536657966653141E-2</v>
      </c>
      <c r="S361">
        <f t="shared" si="50"/>
        <v>7.9879314554378994E-3</v>
      </c>
      <c r="T361">
        <v>6.4645535959225953E-2</v>
      </c>
    </row>
    <row r="362" spans="2:20" x14ac:dyDescent="0.25">
      <c r="B362">
        <f t="shared" si="51"/>
        <v>361</v>
      </c>
      <c r="C362">
        <v>5.6879826609700146E-2</v>
      </c>
      <c r="D362">
        <f t="shared" si="45"/>
        <v>28.132489904074788</v>
      </c>
      <c r="E362">
        <f t="shared" si="52"/>
        <v>28.132489904074788</v>
      </c>
      <c r="F362">
        <f t="shared" si="53"/>
        <v>4.7805291695262757E-2</v>
      </c>
      <c r="G362">
        <f t="shared" si="46"/>
        <v>27.941268737293736</v>
      </c>
      <c r="H362">
        <f t="shared" si="47"/>
        <v>9.0745349144373891E-3</v>
      </c>
      <c r="I362">
        <f t="shared" si="48"/>
        <v>28.084684612379526</v>
      </c>
      <c r="P362" s="2">
        <v>32629</v>
      </c>
      <c r="Q362">
        <v>5.6879826609700146E-2</v>
      </c>
      <c r="R362">
        <f t="shared" si="49"/>
        <v>4.7805291695262757E-2</v>
      </c>
      <c r="S362">
        <f t="shared" si="50"/>
        <v>9.0745349144373891E-3</v>
      </c>
      <c r="T362">
        <v>6.5921720804824169E-2</v>
      </c>
    </row>
    <row r="363" spans="2:20" x14ac:dyDescent="0.25">
      <c r="B363">
        <f t="shared" si="51"/>
        <v>362</v>
      </c>
      <c r="C363">
        <v>6.0620690017419321E-2</v>
      </c>
      <c r="D363">
        <f t="shared" si="45"/>
        <v>28.193110594092207</v>
      </c>
      <c r="E363">
        <f t="shared" si="52"/>
        <v>28.193110594092207</v>
      </c>
      <c r="F363">
        <f t="shared" si="53"/>
        <v>5.0368371359694214E-2</v>
      </c>
      <c r="G363">
        <f t="shared" si="46"/>
        <v>27.991637108653432</v>
      </c>
      <c r="H363">
        <f t="shared" si="47"/>
        <v>1.0252318657725107E-2</v>
      </c>
      <c r="I363">
        <f t="shared" si="48"/>
        <v>28.142742222732512</v>
      </c>
      <c r="P363" s="2">
        <v>32660</v>
      </c>
      <c r="Q363">
        <v>6.0620690017419321E-2</v>
      </c>
      <c r="R363">
        <f t="shared" si="49"/>
        <v>5.0368371359694214E-2</v>
      </c>
      <c r="S363">
        <f t="shared" si="50"/>
        <v>1.0252318657725107E-2</v>
      </c>
      <c r="T363">
        <v>6.0525420387852691E-2</v>
      </c>
    </row>
    <row r="364" spans="2:20" x14ac:dyDescent="0.25">
      <c r="B364">
        <f t="shared" si="51"/>
        <v>363</v>
      </c>
      <c r="C364">
        <v>6.1539980600022304E-2</v>
      </c>
      <c r="D364">
        <f t="shared" si="45"/>
        <v>28.254650574692228</v>
      </c>
      <c r="E364">
        <f t="shared" si="52"/>
        <v>28.254650574692228</v>
      </c>
      <c r="F364">
        <f t="shared" si="53"/>
        <v>5.2602693207759191E-2</v>
      </c>
      <c r="G364">
        <f t="shared" si="46"/>
        <v>28.044239801861192</v>
      </c>
      <c r="H364">
        <f t="shared" si="47"/>
        <v>8.937287392263113E-3</v>
      </c>
      <c r="I364">
        <f t="shared" si="48"/>
        <v>28.202047881484468</v>
      </c>
      <c r="P364" s="2">
        <v>32690</v>
      </c>
      <c r="Q364">
        <v>6.1539980600022304E-2</v>
      </c>
      <c r="R364">
        <f t="shared" si="49"/>
        <v>5.2602693207759191E-2</v>
      </c>
      <c r="S364">
        <f t="shared" si="50"/>
        <v>8.937287392263113E-3</v>
      </c>
      <c r="T364">
        <v>6.1808287371875714E-2</v>
      </c>
    </row>
    <row r="365" spans="2:20" x14ac:dyDescent="0.25">
      <c r="B365">
        <f t="shared" si="51"/>
        <v>364</v>
      </c>
      <c r="C365">
        <v>6.3040393516548221E-2</v>
      </c>
      <c r="D365">
        <f t="shared" si="45"/>
        <v>28.317690968208776</v>
      </c>
      <c r="E365">
        <f t="shared" si="52"/>
        <v>28.317690968208776</v>
      </c>
      <c r="F365">
        <f t="shared" si="53"/>
        <v>5.4690233269516858E-2</v>
      </c>
      <c r="G365">
        <f t="shared" si="46"/>
        <v>28.09893003513071</v>
      </c>
      <c r="H365">
        <f t="shared" si="47"/>
        <v>8.3501602470313629E-3</v>
      </c>
      <c r="I365">
        <f t="shared" si="48"/>
        <v>28.263000734939258</v>
      </c>
      <c r="P365" s="2">
        <v>32721</v>
      </c>
      <c r="Q365">
        <v>6.3040393516548221E-2</v>
      </c>
      <c r="R365">
        <f t="shared" si="49"/>
        <v>5.4690233269516858E-2</v>
      </c>
      <c r="S365">
        <f t="shared" si="50"/>
        <v>8.3501602470313629E-3</v>
      </c>
      <c r="T365">
        <v>6.2974799161388262E-2</v>
      </c>
    </row>
    <row r="366" spans="2:20" x14ac:dyDescent="0.25">
      <c r="B366">
        <f t="shared" si="51"/>
        <v>365</v>
      </c>
      <c r="C366">
        <v>6.0866793235922145E-2</v>
      </c>
      <c r="D366">
        <f t="shared" si="45"/>
        <v>28.378557761444696</v>
      </c>
      <c r="E366">
        <f t="shared" si="52"/>
        <v>28.378557761444696</v>
      </c>
      <c r="F366">
        <f t="shared" si="53"/>
        <v>5.5925545262797277E-2</v>
      </c>
      <c r="G366">
        <f t="shared" si="46"/>
        <v>28.154855580393509</v>
      </c>
      <c r="H366">
        <f t="shared" si="47"/>
        <v>4.9412479731248682E-3</v>
      </c>
      <c r="I366">
        <f t="shared" si="48"/>
        <v>28.322632216181898</v>
      </c>
      <c r="P366" s="2">
        <v>32752</v>
      </c>
      <c r="Q366">
        <v>6.0866793235922145E-2</v>
      </c>
      <c r="R366">
        <f t="shared" si="49"/>
        <v>5.5925545262797277E-2</v>
      </c>
      <c r="S366">
        <f t="shared" si="50"/>
        <v>4.9412479731248682E-3</v>
      </c>
      <c r="T366">
        <v>6.8992871486950769E-2</v>
      </c>
    </row>
    <row r="367" spans="2:20" x14ac:dyDescent="0.25">
      <c r="B367">
        <f t="shared" si="51"/>
        <v>366</v>
      </c>
      <c r="C367">
        <v>5.9553611397566542E-2</v>
      </c>
      <c r="D367">
        <f t="shared" si="45"/>
        <v>28.438111372842265</v>
      </c>
      <c r="E367">
        <f t="shared" si="52"/>
        <v>28.438111372842265</v>
      </c>
      <c r="F367">
        <f t="shared" si="53"/>
        <v>5.6651158489751198E-2</v>
      </c>
      <c r="G367">
        <f t="shared" si="46"/>
        <v>28.211506738883259</v>
      </c>
      <c r="H367">
        <f t="shared" si="47"/>
        <v>2.9024529078153435E-3</v>
      </c>
      <c r="I367">
        <f t="shared" si="48"/>
        <v>28.381460214352515</v>
      </c>
      <c r="P367" s="2">
        <v>32782</v>
      </c>
      <c r="Q367">
        <v>5.9553611397566542E-2</v>
      </c>
      <c r="R367">
        <f t="shared" si="49"/>
        <v>5.6651158489751198E-2</v>
      </c>
      <c r="S367">
        <f t="shared" si="50"/>
        <v>2.9024529078153435E-3</v>
      </c>
      <c r="T367">
        <v>7.1743904858840857E-2</v>
      </c>
    </row>
    <row r="368" spans="2:20" x14ac:dyDescent="0.25">
      <c r="B368">
        <f t="shared" si="51"/>
        <v>367</v>
      </c>
      <c r="C368">
        <v>5.4849733034952664E-2</v>
      </c>
      <c r="D368">
        <f t="shared" si="45"/>
        <v>28.492961105877217</v>
      </c>
      <c r="E368">
        <f t="shared" si="52"/>
        <v>28.492961105877217</v>
      </c>
      <c r="F368">
        <f t="shared" si="53"/>
        <v>5.6290873398791776E-2</v>
      </c>
      <c r="G368">
        <f t="shared" si="46"/>
        <v>28.267797612282049</v>
      </c>
      <c r="H368">
        <f t="shared" si="47"/>
        <v>-1.4411403638391121E-3</v>
      </c>
      <c r="I368">
        <f t="shared" si="48"/>
        <v>28.436670232478427</v>
      </c>
      <c r="P368" s="2">
        <v>32813</v>
      </c>
      <c r="Q368">
        <v>5.4849733034952664E-2</v>
      </c>
      <c r="R368">
        <f t="shared" si="49"/>
        <v>5.6290873398791776E-2</v>
      </c>
      <c r="S368">
        <f t="shared" si="50"/>
        <v>-1.4411403638391121E-3</v>
      </c>
      <c r="T368">
        <v>7.4460353669085322E-2</v>
      </c>
    </row>
    <row r="369" spans="2:20" x14ac:dyDescent="0.25">
      <c r="B369">
        <f t="shared" si="51"/>
        <v>368</v>
      </c>
      <c r="C369">
        <v>5.3080663044987375E-2</v>
      </c>
      <c r="D369">
        <f t="shared" si="45"/>
        <v>28.546041768922205</v>
      </c>
      <c r="E369">
        <f t="shared" si="52"/>
        <v>28.546041768922205</v>
      </c>
      <c r="F369">
        <f t="shared" si="53"/>
        <v>5.5648831328031181E-2</v>
      </c>
      <c r="G369">
        <f t="shared" si="46"/>
        <v>28.323446443610081</v>
      </c>
      <c r="H369">
        <f t="shared" si="47"/>
        <v>-2.5681682830438063E-3</v>
      </c>
      <c r="I369">
        <f t="shared" si="48"/>
        <v>28.490392937594173</v>
      </c>
      <c r="P369" s="2">
        <v>32843</v>
      </c>
      <c r="Q369">
        <v>5.3080663044987375E-2</v>
      </c>
      <c r="R369">
        <f t="shared" si="49"/>
        <v>5.5648831328031181E-2</v>
      </c>
      <c r="S369">
        <f t="shared" si="50"/>
        <v>-2.5681682830438063E-3</v>
      </c>
      <c r="T369">
        <v>7.562657533091155E-2</v>
      </c>
    </row>
    <row r="370" spans="2:20" x14ac:dyDescent="0.25">
      <c r="B370">
        <f t="shared" si="51"/>
        <v>369</v>
      </c>
      <c r="C370">
        <v>5.1089554959871109E-2</v>
      </c>
      <c r="D370">
        <f t="shared" si="45"/>
        <v>28.597131323882074</v>
      </c>
      <c r="E370">
        <f t="shared" si="52"/>
        <v>28.597131323882074</v>
      </c>
      <c r="F370">
        <f t="shared" si="53"/>
        <v>5.4736976054398673E-2</v>
      </c>
      <c r="G370">
        <f t="shared" si="46"/>
        <v>28.378183419664481</v>
      </c>
      <c r="H370">
        <f t="shared" si="47"/>
        <v>-3.6474210945275642E-3</v>
      </c>
      <c r="I370">
        <f t="shared" si="48"/>
        <v>28.542394347827674</v>
      </c>
      <c r="P370" s="2">
        <v>32874</v>
      </c>
      <c r="Q370">
        <v>5.1089554959871109E-2</v>
      </c>
      <c r="R370">
        <f t="shared" si="49"/>
        <v>5.4736976054398673E-2</v>
      </c>
      <c r="S370">
        <f t="shared" si="50"/>
        <v>-3.6474210945275642E-3</v>
      </c>
      <c r="T370">
        <v>8.1422104719642618E-2</v>
      </c>
    </row>
    <row r="371" spans="2:20" x14ac:dyDescent="0.25">
      <c r="B371">
        <f t="shared" si="51"/>
        <v>370</v>
      </c>
      <c r="C371">
        <v>4.5572262461666568E-2</v>
      </c>
      <c r="D371">
        <f t="shared" si="45"/>
        <v>28.642703586343742</v>
      </c>
      <c r="E371">
        <f t="shared" si="52"/>
        <v>28.642703586343742</v>
      </c>
      <c r="F371">
        <f t="shared" si="53"/>
        <v>5.2904033335852321E-2</v>
      </c>
      <c r="G371">
        <f t="shared" si="46"/>
        <v>28.431087453000334</v>
      </c>
      <c r="H371">
        <f t="shared" si="47"/>
        <v>-7.3317708741857529E-3</v>
      </c>
      <c r="I371">
        <f t="shared" si="48"/>
        <v>28.589799553007889</v>
      </c>
      <c r="P371" s="2">
        <v>32905</v>
      </c>
      <c r="Q371">
        <v>4.5572262461666568E-2</v>
      </c>
      <c r="R371">
        <f t="shared" si="49"/>
        <v>5.2904033335852321E-2</v>
      </c>
      <c r="S371">
        <f t="shared" si="50"/>
        <v>-7.3317708741857529E-3</v>
      </c>
      <c r="T371">
        <v>8.5522173438161708E-2</v>
      </c>
    </row>
    <row r="372" spans="2:20" x14ac:dyDescent="0.25">
      <c r="B372">
        <f t="shared" si="51"/>
        <v>371</v>
      </c>
      <c r="C372">
        <v>4.0437661266675917E-2</v>
      </c>
      <c r="D372">
        <f t="shared" ref="D372:D435" si="54">D371 +C372</f>
        <v>28.683141247610418</v>
      </c>
      <c r="E372">
        <f t="shared" si="52"/>
        <v>28.683141247610418</v>
      </c>
      <c r="F372">
        <f t="shared" si="53"/>
        <v>5.04107589220169E-2</v>
      </c>
      <c r="G372">
        <f t="shared" ref="G372:G435" si="55">G371 + F372</f>
        <v>28.48149821192235</v>
      </c>
      <c r="H372">
        <f t="shared" ref="H372:H435" si="56">C372-F372</f>
        <v>-9.9730976553409831E-3</v>
      </c>
      <c r="I372">
        <f t="shared" ref="I372:I435" si="57">E372-F372</f>
        <v>28.632730488688402</v>
      </c>
      <c r="P372" s="2">
        <v>32933</v>
      </c>
      <c r="Q372">
        <v>4.0437661266675917E-2</v>
      </c>
      <c r="R372">
        <f t="shared" ref="R372:R435" si="58">F372</f>
        <v>5.04107589220169E-2</v>
      </c>
      <c r="S372">
        <f t="shared" ref="S372:S435" si="59">H372</f>
        <v>-9.9730976553409831E-3</v>
      </c>
      <c r="T372">
        <v>8.4993212833392562E-2</v>
      </c>
    </row>
    <row r="373" spans="2:20" x14ac:dyDescent="0.25">
      <c r="B373">
        <f t="shared" si="51"/>
        <v>372</v>
      </c>
      <c r="C373">
        <v>3.714450332099517E-2</v>
      </c>
      <c r="D373">
        <f t="shared" si="54"/>
        <v>28.720285750931414</v>
      </c>
      <c r="E373">
        <f t="shared" si="52"/>
        <v>28.720285750931414</v>
      </c>
      <c r="F373">
        <f t="shared" si="53"/>
        <v>4.7757507801812697E-2</v>
      </c>
      <c r="G373">
        <f t="shared" si="55"/>
        <v>28.529255719724162</v>
      </c>
      <c r="H373">
        <f t="shared" si="56"/>
        <v>-1.0613004480817527E-2</v>
      </c>
      <c r="I373">
        <f t="shared" si="57"/>
        <v>28.672528243129602</v>
      </c>
      <c r="P373" s="2">
        <v>32964</v>
      </c>
      <c r="Q373">
        <v>3.714450332099517E-2</v>
      </c>
      <c r="R373">
        <f t="shared" si="58"/>
        <v>4.7757507801812697E-2</v>
      </c>
      <c r="S373">
        <f t="shared" si="59"/>
        <v>-1.0613004480817527E-2</v>
      </c>
      <c r="T373">
        <v>8.6074608771243177E-2</v>
      </c>
    </row>
    <row r="374" spans="2:20" x14ac:dyDescent="0.25">
      <c r="B374">
        <f t="shared" si="51"/>
        <v>373</v>
      </c>
      <c r="C374">
        <v>3.7466617840177463E-2</v>
      </c>
      <c r="D374">
        <f t="shared" si="54"/>
        <v>28.757752368771591</v>
      </c>
      <c r="E374">
        <f t="shared" si="52"/>
        <v>28.757752368771591</v>
      </c>
      <c r="F374">
        <f t="shared" si="53"/>
        <v>4.5699329809485795E-2</v>
      </c>
      <c r="G374">
        <f t="shared" si="55"/>
        <v>28.574955049533649</v>
      </c>
      <c r="H374">
        <f t="shared" si="56"/>
        <v>-8.2327119693083317E-3</v>
      </c>
      <c r="I374">
        <f t="shared" si="57"/>
        <v>28.712053038962104</v>
      </c>
      <c r="P374" s="2">
        <v>32994</v>
      </c>
      <c r="Q374">
        <v>3.7466617840177463E-2</v>
      </c>
      <c r="R374">
        <f t="shared" si="58"/>
        <v>4.5699329809485795E-2</v>
      </c>
      <c r="S374">
        <f t="shared" si="59"/>
        <v>-8.2327119693083317E-3</v>
      </c>
      <c r="T374">
        <v>8.8472297629304641E-2</v>
      </c>
    </row>
    <row r="375" spans="2:20" x14ac:dyDescent="0.25">
      <c r="B375">
        <f t="shared" si="51"/>
        <v>374</v>
      </c>
      <c r="C375">
        <v>3.8655583112955583E-2</v>
      </c>
      <c r="D375">
        <f t="shared" si="54"/>
        <v>28.796407951884547</v>
      </c>
      <c r="E375">
        <f t="shared" si="52"/>
        <v>28.796407951884547</v>
      </c>
      <c r="F375">
        <f t="shared" si="53"/>
        <v>4.4290580470179468E-2</v>
      </c>
      <c r="G375">
        <f t="shared" si="55"/>
        <v>28.619245630003828</v>
      </c>
      <c r="H375">
        <f t="shared" si="56"/>
        <v>-5.6349973572238851E-3</v>
      </c>
      <c r="I375">
        <f t="shared" si="57"/>
        <v>28.752117371414368</v>
      </c>
      <c r="P375" s="2">
        <v>33025</v>
      </c>
      <c r="Q375">
        <v>3.8655583112955583E-2</v>
      </c>
      <c r="R375">
        <f t="shared" si="58"/>
        <v>4.4290580470179468E-2</v>
      </c>
      <c r="S375">
        <f t="shared" si="59"/>
        <v>-5.6349973572238851E-3</v>
      </c>
      <c r="T375">
        <v>9.3866136232091613E-2</v>
      </c>
    </row>
    <row r="376" spans="2:20" x14ac:dyDescent="0.25">
      <c r="B376">
        <f t="shared" si="51"/>
        <v>375</v>
      </c>
      <c r="C376">
        <v>4.0484644122235736E-2</v>
      </c>
      <c r="D376">
        <f t="shared" si="54"/>
        <v>28.836892596006784</v>
      </c>
      <c r="E376">
        <f t="shared" si="52"/>
        <v>28.836892596006784</v>
      </c>
      <c r="F376">
        <f t="shared" si="53"/>
        <v>4.3529393200591217E-2</v>
      </c>
      <c r="G376">
        <f t="shared" si="55"/>
        <v>28.662775023204418</v>
      </c>
      <c r="H376">
        <f t="shared" si="56"/>
        <v>-3.0447490783554812E-3</v>
      </c>
      <c r="I376">
        <f t="shared" si="57"/>
        <v>28.793363202806194</v>
      </c>
      <c r="P376" s="2">
        <v>33055</v>
      </c>
      <c r="Q376">
        <v>4.0484644122235736E-2</v>
      </c>
      <c r="R376">
        <f t="shared" si="58"/>
        <v>4.3529393200591217E-2</v>
      </c>
      <c r="S376">
        <f t="shared" si="59"/>
        <v>-3.0447490783554812E-3</v>
      </c>
      <c r="T376">
        <v>9.760178779658446E-2</v>
      </c>
    </row>
    <row r="377" spans="2:20" x14ac:dyDescent="0.25">
      <c r="B377">
        <f t="shared" si="51"/>
        <v>376</v>
      </c>
      <c r="C377">
        <v>4.0042080271286196E-2</v>
      </c>
      <c r="D377">
        <f t="shared" si="54"/>
        <v>28.876934676278069</v>
      </c>
      <c r="E377">
        <f t="shared" si="52"/>
        <v>28.876934676278069</v>
      </c>
      <c r="F377">
        <f t="shared" si="53"/>
        <v>4.2831930614730146E-2</v>
      </c>
      <c r="G377">
        <f t="shared" si="55"/>
        <v>28.705606953819149</v>
      </c>
      <c r="H377">
        <f t="shared" si="56"/>
        <v>-2.7898503434439503E-3</v>
      </c>
      <c r="I377">
        <f t="shared" si="57"/>
        <v>28.834102745663337</v>
      </c>
      <c r="P377" s="2">
        <v>33086</v>
      </c>
      <c r="Q377">
        <v>4.0042080271286196E-2</v>
      </c>
      <c r="R377">
        <f t="shared" si="58"/>
        <v>4.2831930614730146E-2</v>
      </c>
      <c r="S377">
        <f t="shared" si="59"/>
        <v>-2.7898503434439503E-3</v>
      </c>
      <c r="T377">
        <v>9.9710783115707358E-2</v>
      </c>
    </row>
    <row r="378" spans="2:20" x14ac:dyDescent="0.25">
      <c r="B378">
        <f t="shared" si="51"/>
        <v>377</v>
      </c>
      <c r="C378">
        <v>4.3530315208208492E-2</v>
      </c>
      <c r="D378">
        <f t="shared" si="54"/>
        <v>28.920464991486277</v>
      </c>
      <c r="E378">
        <f t="shared" si="52"/>
        <v>28.920464991486277</v>
      </c>
      <c r="F378">
        <f t="shared" si="53"/>
        <v>4.2971607533425528E-2</v>
      </c>
      <c r="G378">
        <f t="shared" si="55"/>
        <v>28.748578561352574</v>
      </c>
      <c r="H378">
        <f t="shared" si="56"/>
        <v>5.5870767478296418E-4</v>
      </c>
      <c r="I378">
        <f t="shared" si="57"/>
        <v>28.877493383952853</v>
      </c>
      <c r="P378" s="2">
        <v>33117</v>
      </c>
      <c r="Q378">
        <v>4.3530315208208492E-2</v>
      </c>
      <c r="R378">
        <f t="shared" si="58"/>
        <v>4.2971607533425528E-2</v>
      </c>
      <c r="S378">
        <f t="shared" si="59"/>
        <v>5.5870767478296418E-4</v>
      </c>
      <c r="T378">
        <v>0.10163264554381257</v>
      </c>
    </row>
    <row r="379" spans="2:20" x14ac:dyDescent="0.25">
      <c r="B379">
        <f t="shared" si="51"/>
        <v>378</v>
      </c>
      <c r="C379">
        <v>4.2104427910912179E-2</v>
      </c>
      <c r="D379">
        <f t="shared" si="54"/>
        <v>28.962569419397191</v>
      </c>
      <c r="E379">
        <f t="shared" si="52"/>
        <v>28.962569419397191</v>
      </c>
      <c r="F379">
        <f t="shared" si="53"/>
        <v>4.2798171608923498E-2</v>
      </c>
      <c r="G379">
        <f t="shared" si="55"/>
        <v>28.791376732961496</v>
      </c>
      <c r="H379">
        <f t="shared" si="56"/>
        <v>-6.9374369801131902E-4</v>
      </c>
      <c r="I379">
        <f t="shared" si="57"/>
        <v>28.919771247788269</v>
      </c>
      <c r="P379" s="2">
        <v>33147</v>
      </c>
      <c r="Q379">
        <v>4.2104427910912179E-2</v>
      </c>
      <c r="R379">
        <f t="shared" si="58"/>
        <v>4.2798171608923498E-2</v>
      </c>
      <c r="S379">
        <f t="shared" si="59"/>
        <v>-6.9374369801131902E-4</v>
      </c>
      <c r="T379">
        <v>0.10505277600314411</v>
      </c>
    </row>
    <row r="380" spans="2:20" x14ac:dyDescent="0.25">
      <c r="B380">
        <f t="shared" si="51"/>
        <v>379</v>
      </c>
      <c r="C380">
        <v>4.0001686070562315E-2</v>
      </c>
      <c r="D380">
        <f t="shared" si="54"/>
        <v>29.002571105467752</v>
      </c>
      <c r="E380">
        <f t="shared" si="52"/>
        <v>29.002571105467752</v>
      </c>
      <c r="F380">
        <f t="shared" si="53"/>
        <v>4.2238874501251189E-2</v>
      </c>
      <c r="G380">
        <f t="shared" si="55"/>
        <v>28.833615607462747</v>
      </c>
      <c r="H380">
        <f t="shared" si="56"/>
        <v>-2.2371884306888745E-3</v>
      </c>
      <c r="I380">
        <f t="shared" si="57"/>
        <v>28.9603322309665</v>
      </c>
      <c r="P380" s="2">
        <v>33178</v>
      </c>
      <c r="Q380">
        <v>4.0001686070562315E-2</v>
      </c>
      <c r="R380">
        <f t="shared" si="58"/>
        <v>4.2238874501251189E-2</v>
      </c>
      <c r="S380">
        <f t="shared" si="59"/>
        <v>-2.2371884306888745E-3</v>
      </c>
      <c r="T380">
        <v>0.10840929850718428</v>
      </c>
    </row>
    <row r="381" spans="2:20" x14ac:dyDescent="0.25">
      <c r="B381">
        <f t="shared" si="51"/>
        <v>380</v>
      </c>
      <c r="C381">
        <v>3.4261347110161822E-2</v>
      </c>
      <c r="D381">
        <f t="shared" si="54"/>
        <v>29.036832452577912</v>
      </c>
      <c r="E381">
        <f t="shared" si="52"/>
        <v>29.036832452577912</v>
      </c>
      <c r="F381">
        <f t="shared" si="53"/>
        <v>4.0643369023032963E-2</v>
      </c>
      <c r="G381">
        <f t="shared" si="55"/>
        <v>28.87425897648578</v>
      </c>
      <c r="H381">
        <f t="shared" si="56"/>
        <v>-6.3820219128711414E-3</v>
      </c>
      <c r="I381">
        <f t="shared" si="57"/>
        <v>28.996189083554878</v>
      </c>
      <c r="P381" s="2">
        <v>33208</v>
      </c>
      <c r="Q381">
        <v>3.4261347110161822E-2</v>
      </c>
      <c r="R381">
        <f t="shared" si="58"/>
        <v>4.0643369023032963E-2</v>
      </c>
      <c r="S381">
        <f t="shared" si="59"/>
        <v>-6.3820219128711414E-3</v>
      </c>
      <c r="T381">
        <v>0.11186435768683012</v>
      </c>
    </row>
    <row r="382" spans="2:20" x14ac:dyDescent="0.25">
      <c r="B382">
        <f t="shared" si="51"/>
        <v>381</v>
      </c>
      <c r="C382">
        <v>3.035258347573766E-2</v>
      </c>
      <c r="D382">
        <f t="shared" si="54"/>
        <v>29.067185036053651</v>
      </c>
      <c r="E382">
        <f t="shared" si="52"/>
        <v>29.067185036053651</v>
      </c>
      <c r="F382">
        <f t="shared" si="53"/>
        <v>3.8585211913574113E-2</v>
      </c>
      <c r="G382">
        <f t="shared" si="55"/>
        <v>28.912844188399355</v>
      </c>
      <c r="H382">
        <f t="shared" si="56"/>
        <v>-8.2326284378364534E-3</v>
      </c>
      <c r="I382">
        <f t="shared" si="57"/>
        <v>29.028599824140077</v>
      </c>
      <c r="P382" s="2">
        <v>33239</v>
      </c>
      <c r="Q382">
        <v>3.035258347573766E-2</v>
      </c>
      <c r="R382">
        <f t="shared" si="58"/>
        <v>3.8585211913574113E-2</v>
      </c>
      <c r="S382">
        <f t="shared" si="59"/>
        <v>-8.2326284378364534E-3</v>
      </c>
      <c r="T382">
        <v>0.11225399417723825</v>
      </c>
    </row>
    <row r="383" spans="2:20" x14ac:dyDescent="0.25">
      <c r="B383">
        <f t="shared" si="51"/>
        <v>382</v>
      </c>
      <c r="C383">
        <v>3.0458287041243537E-2</v>
      </c>
      <c r="D383">
        <f t="shared" si="54"/>
        <v>29.097643323094893</v>
      </c>
      <c r="E383">
        <f t="shared" si="52"/>
        <v>29.097643323094893</v>
      </c>
      <c r="F383">
        <f t="shared" si="53"/>
        <v>3.6959826939107647E-2</v>
      </c>
      <c r="G383">
        <f t="shared" si="55"/>
        <v>28.949804015338461</v>
      </c>
      <c r="H383">
        <f t="shared" si="56"/>
        <v>-6.5015398978641101E-3</v>
      </c>
      <c r="I383">
        <f t="shared" si="57"/>
        <v>29.060683496155786</v>
      </c>
      <c r="P383" s="2">
        <v>33270</v>
      </c>
      <c r="Q383">
        <v>3.0458287041243537E-2</v>
      </c>
      <c r="R383">
        <f t="shared" si="58"/>
        <v>3.6959826939107647E-2</v>
      </c>
      <c r="S383">
        <f t="shared" si="59"/>
        <v>-6.5015398978641101E-3</v>
      </c>
      <c r="T383">
        <v>0.113967186978158</v>
      </c>
    </row>
    <row r="384" spans="2:20" x14ac:dyDescent="0.25">
      <c r="B384">
        <f t="shared" si="51"/>
        <v>383</v>
      </c>
      <c r="C384">
        <v>3.1052116948565356E-2</v>
      </c>
      <c r="D384">
        <f t="shared" si="54"/>
        <v>29.128695440043458</v>
      </c>
      <c r="E384">
        <f t="shared" si="52"/>
        <v>29.128695440043458</v>
      </c>
      <c r="F384">
        <f t="shared" si="53"/>
        <v>3.5778284940999328E-2</v>
      </c>
      <c r="G384">
        <f t="shared" si="55"/>
        <v>28.985582300279461</v>
      </c>
      <c r="H384">
        <f t="shared" si="56"/>
        <v>-4.7261679924339717E-3</v>
      </c>
      <c r="I384">
        <f t="shared" si="57"/>
        <v>29.092917155102459</v>
      </c>
      <c r="P384" s="2">
        <v>33298</v>
      </c>
      <c r="Q384">
        <v>3.1052116948565356E-2</v>
      </c>
      <c r="R384">
        <f t="shared" si="58"/>
        <v>3.5778284940999328E-2</v>
      </c>
      <c r="S384">
        <f t="shared" si="59"/>
        <v>-4.7261679924339717E-3</v>
      </c>
      <c r="T384">
        <v>0.11860574240784683</v>
      </c>
    </row>
    <row r="385" spans="2:20" x14ac:dyDescent="0.25">
      <c r="B385">
        <f t="shared" si="51"/>
        <v>384</v>
      </c>
      <c r="C385">
        <v>3.0225058183809494E-2</v>
      </c>
      <c r="D385">
        <f t="shared" si="54"/>
        <v>29.158920498227268</v>
      </c>
      <c r="E385">
        <f t="shared" si="52"/>
        <v>29.158920498227268</v>
      </c>
      <c r="F385">
        <f t="shared" si="53"/>
        <v>3.4667639589561365E-2</v>
      </c>
      <c r="G385">
        <f t="shared" si="55"/>
        <v>29.020249939869021</v>
      </c>
      <c r="H385">
        <f t="shared" si="56"/>
        <v>-4.4425814057518706E-3</v>
      </c>
      <c r="I385">
        <f t="shared" si="57"/>
        <v>29.124252858637707</v>
      </c>
      <c r="P385" s="2">
        <v>33329</v>
      </c>
      <c r="Q385">
        <v>3.0225058183809494E-2</v>
      </c>
      <c r="R385">
        <f t="shared" si="58"/>
        <v>3.4667639589561365E-2</v>
      </c>
      <c r="S385">
        <f t="shared" si="59"/>
        <v>-4.4425814057518706E-3</v>
      </c>
      <c r="T385">
        <v>0.1244698419469481</v>
      </c>
    </row>
    <row r="386" spans="2:20" x14ac:dyDescent="0.25">
      <c r="B386">
        <f t="shared" si="51"/>
        <v>385</v>
      </c>
      <c r="C386">
        <v>2.8042443917316362E-2</v>
      </c>
      <c r="D386">
        <f t="shared" si="54"/>
        <v>29.186962942144582</v>
      </c>
      <c r="E386">
        <f t="shared" si="52"/>
        <v>29.186962942144582</v>
      </c>
      <c r="F386">
        <f t="shared" si="53"/>
        <v>3.3342600455112149E-2</v>
      </c>
      <c r="G386">
        <f t="shared" si="55"/>
        <v>29.053592540324132</v>
      </c>
      <c r="H386">
        <f t="shared" si="56"/>
        <v>-5.3001565377957874E-3</v>
      </c>
      <c r="I386">
        <f t="shared" si="57"/>
        <v>29.153620341689471</v>
      </c>
      <c r="P386" s="2">
        <v>33359</v>
      </c>
      <c r="Q386">
        <v>2.8042443917316362E-2</v>
      </c>
      <c r="R386">
        <f t="shared" si="58"/>
        <v>3.3342600455112149E-2</v>
      </c>
      <c r="S386">
        <f t="shared" si="59"/>
        <v>-5.3001565377957874E-3</v>
      </c>
      <c r="T386">
        <v>0.12987508142141202</v>
      </c>
    </row>
    <row r="387" spans="2:20" x14ac:dyDescent="0.25">
      <c r="B387">
        <f t="shared" si="51"/>
        <v>386</v>
      </c>
      <c r="C387">
        <v>2.849025569374497E-2</v>
      </c>
      <c r="D387">
        <f t="shared" si="54"/>
        <v>29.215453197838329</v>
      </c>
      <c r="E387">
        <f t="shared" si="52"/>
        <v>29.215453197838329</v>
      </c>
      <c r="F387">
        <f t="shared" si="53"/>
        <v>3.2372131502839352E-2</v>
      </c>
      <c r="G387">
        <f t="shared" si="55"/>
        <v>29.085964671826972</v>
      </c>
      <c r="H387">
        <f t="shared" si="56"/>
        <v>-3.8818758090943817E-3</v>
      </c>
      <c r="I387">
        <f t="shared" si="57"/>
        <v>29.18308106633549</v>
      </c>
      <c r="P387" s="2">
        <v>33390</v>
      </c>
      <c r="Q387">
        <v>2.849025569374497E-2</v>
      </c>
      <c r="R387">
        <f t="shared" si="58"/>
        <v>3.2372131502839352E-2</v>
      </c>
      <c r="S387">
        <f t="shared" si="59"/>
        <v>-3.8818758090943817E-3</v>
      </c>
      <c r="T387">
        <v>0.13244698984339731</v>
      </c>
    </row>
    <row r="388" spans="2:20" x14ac:dyDescent="0.25">
      <c r="B388">
        <f t="shared" ref="B388:B451" si="60">B387+1</f>
        <v>387</v>
      </c>
      <c r="C388">
        <v>2.4384924686284393E-2</v>
      </c>
      <c r="D388">
        <f t="shared" si="54"/>
        <v>29.239838122524613</v>
      </c>
      <c r="E388">
        <f t="shared" ref="E388:E451" si="61">D388</f>
        <v>29.239838122524613</v>
      </c>
      <c r="F388">
        <f t="shared" ref="F388:F451" si="62">$K$1*(E388-G387)</f>
        <v>3.0774690139528361E-2</v>
      </c>
      <c r="G388">
        <f t="shared" si="55"/>
        <v>29.116739361966498</v>
      </c>
      <c r="H388">
        <f t="shared" si="56"/>
        <v>-6.3897654532439688E-3</v>
      </c>
      <c r="I388">
        <f t="shared" si="57"/>
        <v>29.209063432385086</v>
      </c>
      <c r="P388" s="2">
        <v>33420</v>
      </c>
      <c r="Q388">
        <v>2.4384924686284393E-2</v>
      </c>
      <c r="R388">
        <f t="shared" si="58"/>
        <v>3.0774690139528361E-2</v>
      </c>
      <c r="S388">
        <f t="shared" si="59"/>
        <v>-6.3897654532439688E-3</v>
      </c>
      <c r="T388">
        <v>0.13621020483454949</v>
      </c>
    </row>
    <row r="389" spans="2:20" x14ac:dyDescent="0.25">
      <c r="B389">
        <f t="shared" si="60"/>
        <v>388</v>
      </c>
      <c r="C389">
        <v>1.9994427316417429E-2</v>
      </c>
      <c r="D389">
        <f t="shared" si="54"/>
        <v>29.259832549841029</v>
      </c>
      <c r="E389">
        <f t="shared" si="61"/>
        <v>29.259832549841029</v>
      </c>
      <c r="F389">
        <f t="shared" si="62"/>
        <v>2.8618637574906104E-2</v>
      </c>
      <c r="G389">
        <f t="shared" si="55"/>
        <v>29.145357999541403</v>
      </c>
      <c r="H389">
        <f t="shared" si="56"/>
        <v>-8.6242102584886751E-3</v>
      </c>
      <c r="I389">
        <f t="shared" si="57"/>
        <v>29.231213912266124</v>
      </c>
      <c r="P389" s="2">
        <v>33451</v>
      </c>
      <c r="Q389">
        <v>1.9994427316417429E-2</v>
      </c>
      <c r="R389">
        <f t="shared" si="58"/>
        <v>2.8618637574906104E-2</v>
      </c>
      <c r="S389">
        <f t="shared" si="59"/>
        <v>-8.6242102584886751E-3</v>
      </c>
      <c r="T389">
        <v>0.13618367956525024</v>
      </c>
    </row>
    <row r="390" spans="2:20" x14ac:dyDescent="0.25">
      <c r="B390">
        <f t="shared" si="60"/>
        <v>389</v>
      </c>
      <c r="C390">
        <v>1.6494974679906349E-2</v>
      </c>
      <c r="D390">
        <f t="shared" si="54"/>
        <v>29.276327524520937</v>
      </c>
      <c r="E390">
        <f t="shared" si="61"/>
        <v>29.276327524520937</v>
      </c>
      <c r="F390">
        <f t="shared" si="62"/>
        <v>2.6193904995906792E-2</v>
      </c>
      <c r="G390">
        <f t="shared" si="55"/>
        <v>29.17155190453731</v>
      </c>
      <c r="H390">
        <f t="shared" si="56"/>
        <v>-9.6989303160004425E-3</v>
      </c>
      <c r="I390">
        <f t="shared" si="57"/>
        <v>29.25013361952503</v>
      </c>
      <c r="P390" s="2">
        <v>33482</v>
      </c>
      <c r="Q390">
        <v>1.6494974679906349E-2</v>
      </c>
      <c r="R390">
        <f t="shared" si="58"/>
        <v>2.6193904995906792E-2</v>
      </c>
      <c r="S390">
        <f t="shared" si="59"/>
        <v>-9.6989303160004425E-3</v>
      </c>
      <c r="T390">
        <v>0.13475613252041807</v>
      </c>
    </row>
    <row r="391" spans="2:20" x14ac:dyDescent="0.25">
      <c r="B391">
        <f t="shared" si="60"/>
        <v>390</v>
      </c>
      <c r="C391">
        <v>1.2305019387437E-2</v>
      </c>
      <c r="D391">
        <f t="shared" si="54"/>
        <v>29.288632543908374</v>
      </c>
      <c r="E391">
        <f t="shared" si="61"/>
        <v>29.288632543908374</v>
      </c>
      <c r="F391">
        <f t="shared" si="62"/>
        <v>2.3416127874212836E-2</v>
      </c>
      <c r="G391">
        <f t="shared" si="55"/>
        <v>29.194968032411523</v>
      </c>
      <c r="H391">
        <f t="shared" si="56"/>
        <v>-1.1111108486775836E-2</v>
      </c>
      <c r="I391">
        <f t="shared" si="57"/>
        <v>29.265216416034161</v>
      </c>
      <c r="P391" s="2">
        <v>33512</v>
      </c>
      <c r="Q391">
        <v>1.2305019387437E-2</v>
      </c>
      <c r="R391">
        <f t="shared" si="58"/>
        <v>2.3416127874212836E-2</v>
      </c>
      <c r="S391">
        <f t="shared" si="59"/>
        <v>-1.1111108486775836E-2</v>
      </c>
      <c r="T391">
        <v>0.13335824744185398</v>
      </c>
    </row>
    <row r="392" spans="2:20" x14ac:dyDescent="0.25">
      <c r="B392">
        <f t="shared" si="60"/>
        <v>391</v>
      </c>
      <c r="C392">
        <v>1.1200117079537719E-2</v>
      </c>
      <c r="D392">
        <f t="shared" si="54"/>
        <v>29.29983266098791</v>
      </c>
      <c r="E392">
        <f t="shared" si="61"/>
        <v>29.29983266098791</v>
      </c>
      <c r="F392">
        <f t="shared" si="62"/>
        <v>2.0972925715277313E-2</v>
      </c>
      <c r="G392">
        <f t="shared" si="55"/>
        <v>29.215940958126801</v>
      </c>
      <c r="H392">
        <f t="shared" si="56"/>
        <v>-9.7728086357395938E-3</v>
      </c>
      <c r="I392">
        <f t="shared" si="57"/>
        <v>29.278859735272633</v>
      </c>
      <c r="P392" s="2">
        <v>33543</v>
      </c>
      <c r="Q392">
        <v>1.1200117079537719E-2</v>
      </c>
      <c r="R392">
        <f t="shared" si="58"/>
        <v>2.0972925715277313E-2</v>
      </c>
      <c r="S392">
        <f t="shared" si="59"/>
        <v>-9.7728086357395938E-3</v>
      </c>
      <c r="T392">
        <v>0.1235502393785417</v>
      </c>
    </row>
    <row r="393" spans="2:20" x14ac:dyDescent="0.25">
      <c r="B393">
        <f t="shared" si="60"/>
        <v>392</v>
      </c>
      <c r="C393">
        <v>1.2970657723604617E-2</v>
      </c>
      <c r="D393">
        <f t="shared" si="54"/>
        <v>29.312803318711516</v>
      </c>
      <c r="E393">
        <f t="shared" si="61"/>
        <v>29.312803318711516</v>
      </c>
      <c r="F393">
        <f t="shared" si="62"/>
        <v>1.937247211694313E-2</v>
      </c>
      <c r="G393">
        <f t="shared" si="55"/>
        <v>29.235313430243743</v>
      </c>
      <c r="H393">
        <f t="shared" si="56"/>
        <v>-6.4018143933385133E-3</v>
      </c>
      <c r="I393">
        <f t="shared" si="57"/>
        <v>29.293430846594575</v>
      </c>
      <c r="P393" s="2">
        <v>33573</v>
      </c>
      <c r="Q393">
        <v>1.2970657723604617E-2</v>
      </c>
      <c r="R393">
        <f t="shared" si="58"/>
        <v>1.937247211694313E-2</v>
      </c>
      <c r="S393">
        <f t="shared" si="59"/>
        <v>-6.4018143933385133E-3</v>
      </c>
      <c r="T393">
        <v>0.1212445486318714</v>
      </c>
    </row>
    <row r="394" spans="2:20" x14ac:dyDescent="0.25">
      <c r="B394">
        <f t="shared" si="60"/>
        <v>393</v>
      </c>
      <c r="C394">
        <v>1.6378300245190047E-2</v>
      </c>
      <c r="D394">
        <f t="shared" si="54"/>
        <v>29.329181618956707</v>
      </c>
      <c r="E394">
        <f t="shared" si="61"/>
        <v>29.329181618956707</v>
      </c>
      <c r="F394">
        <f t="shared" si="62"/>
        <v>1.8773637742592799E-2</v>
      </c>
      <c r="G394">
        <f t="shared" si="55"/>
        <v>29.254087067986337</v>
      </c>
      <c r="H394">
        <f t="shared" si="56"/>
        <v>-2.3953374974027518E-3</v>
      </c>
      <c r="I394">
        <f t="shared" si="57"/>
        <v>29.310407981214112</v>
      </c>
      <c r="P394" s="2">
        <v>33604</v>
      </c>
      <c r="Q394">
        <v>1.6378300245190047E-2</v>
      </c>
      <c r="R394">
        <f t="shared" si="58"/>
        <v>1.8773637742592799E-2</v>
      </c>
      <c r="S394">
        <f t="shared" si="59"/>
        <v>-2.3953374974027518E-3</v>
      </c>
      <c r="T394">
        <v>0.12016967163411429</v>
      </c>
    </row>
    <row r="395" spans="2:20" x14ac:dyDescent="0.25">
      <c r="B395">
        <f t="shared" si="60"/>
        <v>394</v>
      </c>
      <c r="C395">
        <v>1.8780309921544003E-2</v>
      </c>
      <c r="D395">
        <f t="shared" si="54"/>
        <v>29.347961928878249</v>
      </c>
      <c r="E395">
        <f t="shared" si="61"/>
        <v>29.347961928878249</v>
      </c>
      <c r="F395">
        <f t="shared" si="62"/>
        <v>1.87749721783824E-2</v>
      </c>
      <c r="G395">
        <f t="shared" si="55"/>
        <v>29.272862040164718</v>
      </c>
      <c r="H395">
        <f t="shared" si="56"/>
        <v>5.3377431616027926E-6</v>
      </c>
      <c r="I395">
        <f t="shared" si="57"/>
        <v>29.329186956699868</v>
      </c>
      <c r="P395" s="2">
        <v>33635</v>
      </c>
      <c r="Q395">
        <v>1.8780309921544003E-2</v>
      </c>
      <c r="R395">
        <f t="shared" si="58"/>
        <v>1.87749721783824E-2</v>
      </c>
      <c r="S395">
        <f t="shared" si="59"/>
        <v>5.3377431616027926E-6</v>
      </c>
      <c r="T395">
        <v>0.11896437070221477</v>
      </c>
    </row>
    <row r="396" spans="2:20" x14ac:dyDescent="0.25">
      <c r="B396">
        <f t="shared" si="60"/>
        <v>395</v>
      </c>
      <c r="C396">
        <v>1.796279157511016E-2</v>
      </c>
      <c r="D396">
        <f t="shared" si="54"/>
        <v>29.365924720453357</v>
      </c>
      <c r="E396">
        <f t="shared" si="61"/>
        <v>29.365924720453357</v>
      </c>
      <c r="F396">
        <f t="shared" si="62"/>
        <v>1.861253605772788E-2</v>
      </c>
      <c r="G396">
        <f t="shared" si="55"/>
        <v>29.291474576222445</v>
      </c>
      <c r="H396">
        <f t="shared" si="56"/>
        <v>-6.497444826177208E-4</v>
      </c>
      <c r="I396">
        <f t="shared" si="57"/>
        <v>29.34731218439563</v>
      </c>
      <c r="P396" s="2">
        <v>33664</v>
      </c>
      <c r="Q396">
        <v>1.796279157511016E-2</v>
      </c>
      <c r="R396">
        <f t="shared" si="58"/>
        <v>1.861253605772788E-2</v>
      </c>
      <c r="S396">
        <f t="shared" si="59"/>
        <v>-6.497444826177208E-4</v>
      </c>
      <c r="T396">
        <v>0.11895194286136501</v>
      </c>
    </row>
    <row r="397" spans="2:20" x14ac:dyDescent="0.25">
      <c r="B397">
        <f t="shared" si="60"/>
        <v>396</v>
      </c>
      <c r="C397">
        <v>1.544852627523241E-2</v>
      </c>
      <c r="D397">
        <f t="shared" si="54"/>
        <v>29.38137324672859</v>
      </c>
      <c r="E397">
        <f t="shared" si="61"/>
        <v>29.38137324672859</v>
      </c>
      <c r="F397">
        <f t="shared" si="62"/>
        <v>1.7979734101228929E-2</v>
      </c>
      <c r="G397">
        <f t="shared" si="55"/>
        <v>29.309454310323673</v>
      </c>
      <c r="H397">
        <f t="shared" si="56"/>
        <v>-2.5312078259965183E-3</v>
      </c>
      <c r="I397">
        <f t="shared" si="57"/>
        <v>29.363393512627361</v>
      </c>
      <c r="P397" s="2">
        <v>33695</v>
      </c>
      <c r="Q397">
        <v>1.544852627523241E-2</v>
      </c>
      <c r="R397">
        <f t="shared" si="58"/>
        <v>1.7979734101228929E-2</v>
      </c>
      <c r="S397">
        <f t="shared" si="59"/>
        <v>-2.5312078259965183E-3</v>
      </c>
      <c r="T397">
        <v>0.11648179929841174</v>
      </c>
    </row>
    <row r="398" spans="2:20" x14ac:dyDescent="0.25">
      <c r="B398">
        <f t="shared" si="60"/>
        <v>397</v>
      </c>
      <c r="C398">
        <v>1.1146682475025926E-2</v>
      </c>
      <c r="D398">
        <f t="shared" si="54"/>
        <v>29.392519929203615</v>
      </c>
      <c r="E398">
        <f t="shared" si="61"/>
        <v>29.392519929203615</v>
      </c>
      <c r="F398">
        <f t="shared" si="62"/>
        <v>1.6613123775988472E-2</v>
      </c>
      <c r="G398">
        <f t="shared" si="55"/>
        <v>29.326067434099663</v>
      </c>
      <c r="H398">
        <f t="shared" si="56"/>
        <v>-5.4664413009625455E-3</v>
      </c>
      <c r="I398">
        <f t="shared" si="57"/>
        <v>29.375906805427626</v>
      </c>
      <c r="P398" s="2">
        <v>33725</v>
      </c>
      <c r="Q398">
        <v>1.1146682475025926E-2</v>
      </c>
      <c r="R398">
        <f t="shared" si="58"/>
        <v>1.6613123775988472E-2</v>
      </c>
      <c r="S398">
        <f t="shared" si="59"/>
        <v>-5.4664413009625455E-3</v>
      </c>
      <c r="T398">
        <v>0.11149550422534205</v>
      </c>
    </row>
    <row r="399" spans="2:20" x14ac:dyDescent="0.25">
      <c r="B399">
        <f t="shared" si="60"/>
        <v>398</v>
      </c>
      <c r="C399">
        <v>4.2556377968914205E-3</v>
      </c>
      <c r="D399">
        <f t="shared" si="54"/>
        <v>29.396775567000507</v>
      </c>
      <c r="E399">
        <f t="shared" si="61"/>
        <v>29.396775567000507</v>
      </c>
      <c r="F399">
        <f t="shared" si="62"/>
        <v>1.4141626580168777E-2</v>
      </c>
      <c r="G399">
        <f t="shared" si="55"/>
        <v>29.340209060679832</v>
      </c>
      <c r="H399">
        <f t="shared" si="56"/>
        <v>-9.8859887832773562E-3</v>
      </c>
      <c r="I399">
        <f t="shared" si="57"/>
        <v>29.382633940420337</v>
      </c>
      <c r="P399" s="2">
        <v>33756</v>
      </c>
      <c r="Q399">
        <v>4.2556377968914205E-3</v>
      </c>
      <c r="R399">
        <f t="shared" si="58"/>
        <v>1.4141626580168777E-2</v>
      </c>
      <c r="S399">
        <f t="shared" si="59"/>
        <v>-9.8859887832773562E-3</v>
      </c>
      <c r="T399">
        <v>0.10788896201118536</v>
      </c>
    </row>
    <row r="400" spans="2:20" x14ac:dyDescent="0.25">
      <c r="B400">
        <f t="shared" si="60"/>
        <v>399</v>
      </c>
      <c r="C400">
        <v>2.2888677167944849E-3</v>
      </c>
      <c r="D400">
        <f t="shared" si="54"/>
        <v>29.399064434717303</v>
      </c>
      <c r="E400">
        <f t="shared" si="61"/>
        <v>29.399064434717303</v>
      </c>
      <c r="F400">
        <f t="shared" si="62"/>
        <v>1.1771074807494132E-2</v>
      </c>
      <c r="G400">
        <f t="shared" si="55"/>
        <v>29.351980135487327</v>
      </c>
      <c r="H400">
        <f t="shared" si="56"/>
        <v>-9.4822070906996469E-3</v>
      </c>
      <c r="I400">
        <f t="shared" si="57"/>
        <v>29.387293359909808</v>
      </c>
      <c r="P400" s="2">
        <v>33786</v>
      </c>
      <c r="Q400">
        <v>2.2888677167944849E-3</v>
      </c>
      <c r="R400">
        <f t="shared" si="58"/>
        <v>1.1771074807494132E-2</v>
      </c>
      <c r="S400">
        <f t="shared" si="59"/>
        <v>-9.4822070906996469E-3</v>
      </c>
      <c r="T400">
        <v>0.10085600353672142</v>
      </c>
    </row>
    <row r="401" spans="2:20" x14ac:dyDescent="0.25">
      <c r="B401">
        <f t="shared" si="60"/>
        <v>400</v>
      </c>
      <c r="C401">
        <v>3.4062578816147493E-3</v>
      </c>
      <c r="D401">
        <f t="shared" si="54"/>
        <v>29.402470692598918</v>
      </c>
      <c r="E401">
        <f t="shared" si="61"/>
        <v>29.402470692598918</v>
      </c>
      <c r="F401">
        <f t="shared" si="62"/>
        <v>1.0098111422318113E-2</v>
      </c>
      <c r="G401">
        <f t="shared" si="55"/>
        <v>29.362078246909647</v>
      </c>
      <c r="H401">
        <f t="shared" si="56"/>
        <v>-6.6918535407033634E-3</v>
      </c>
      <c r="I401">
        <f t="shared" si="57"/>
        <v>29.392372581176598</v>
      </c>
      <c r="P401" s="2">
        <v>33817</v>
      </c>
      <c r="Q401">
        <v>3.4062578816147493E-3</v>
      </c>
      <c r="R401">
        <f t="shared" si="58"/>
        <v>1.0098111422318113E-2</v>
      </c>
      <c r="S401">
        <f t="shared" si="59"/>
        <v>-6.6918535407033634E-3</v>
      </c>
      <c r="T401">
        <v>9.6545510412317626E-2</v>
      </c>
    </row>
    <row r="402" spans="2:20" x14ac:dyDescent="0.25">
      <c r="B402">
        <f t="shared" si="60"/>
        <v>401</v>
      </c>
      <c r="C402">
        <v>1.1206320185445762E-2</v>
      </c>
      <c r="D402">
        <f t="shared" si="54"/>
        <v>29.413677012784362</v>
      </c>
      <c r="E402">
        <f t="shared" si="61"/>
        <v>29.413677012784362</v>
      </c>
      <c r="F402">
        <f t="shared" si="62"/>
        <v>1.0319753174943004E-2</v>
      </c>
      <c r="G402">
        <f t="shared" si="55"/>
        <v>29.372398000084591</v>
      </c>
      <c r="H402">
        <f t="shared" si="56"/>
        <v>8.8656701050275795E-4</v>
      </c>
      <c r="I402">
        <f t="shared" si="57"/>
        <v>29.403357259609418</v>
      </c>
      <c r="P402" s="2">
        <v>33848</v>
      </c>
      <c r="Q402">
        <v>1.1206320185445762E-2</v>
      </c>
      <c r="R402">
        <f t="shared" si="58"/>
        <v>1.0319753174943004E-2</v>
      </c>
      <c r="S402">
        <f t="shared" si="59"/>
        <v>8.8656701050275795E-4</v>
      </c>
      <c r="T402">
        <v>9.3416767198792883E-2</v>
      </c>
    </row>
    <row r="403" spans="2:20" x14ac:dyDescent="0.25">
      <c r="B403">
        <f t="shared" si="60"/>
        <v>402</v>
      </c>
      <c r="C403">
        <v>1.4336533915551897E-2</v>
      </c>
      <c r="D403">
        <f t="shared" si="54"/>
        <v>29.428013546699916</v>
      </c>
      <c r="E403">
        <f t="shared" si="61"/>
        <v>29.428013546699916</v>
      </c>
      <c r="F403">
        <f t="shared" si="62"/>
        <v>1.1123109323064996E-2</v>
      </c>
      <c r="G403">
        <f t="shared" si="55"/>
        <v>29.383521109407656</v>
      </c>
      <c r="H403">
        <f t="shared" si="56"/>
        <v>3.213424592486901E-3</v>
      </c>
      <c r="I403">
        <f t="shared" si="57"/>
        <v>29.41689043737685</v>
      </c>
      <c r="P403" s="2">
        <v>33878</v>
      </c>
      <c r="Q403">
        <v>1.4336533915551897E-2</v>
      </c>
      <c r="R403">
        <f t="shared" si="58"/>
        <v>1.1123109323064996E-2</v>
      </c>
      <c r="S403">
        <f t="shared" si="59"/>
        <v>3.213424592486901E-3</v>
      </c>
      <c r="T403">
        <v>9.2551557365245785E-2</v>
      </c>
    </row>
    <row r="404" spans="2:20" x14ac:dyDescent="0.25">
      <c r="B404">
        <f t="shared" si="60"/>
        <v>403</v>
      </c>
      <c r="C404">
        <v>1.4072995170952396E-2</v>
      </c>
      <c r="D404">
        <f t="shared" si="54"/>
        <v>29.442086541870868</v>
      </c>
      <c r="E404">
        <f t="shared" si="61"/>
        <v>29.442086541870868</v>
      </c>
      <c r="F404">
        <f t="shared" si="62"/>
        <v>1.1713086492642334E-2</v>
      </c>
      <c r="G404">
        <f t="shared" si="55"/>
        <v>29.395234195900297</v>
      </c>
      <c r="H404">
        <f t="shared" si="56"/>
        <v>2.3599086783100617E-3</v>
      </c>
      <c r="I404">
        <f t="shared" si="57"/>
        <v>29.430373455378227</v>
      </c>
      <c r="P404" s="2">
        <v>33909</v>
      </c>
      <c r="Q404">
        <v>1.4072995170952396E-2</v>
      </c>
      <c r="R404">
        <f t="shared" si="58"/>
        <v>1.1713086492642334E-2</v>
      </c>
      <c r="S404">
        <f t="shared" si="59"/>
        <v>2.3599086783100617E-3</v>
      </c>
      <c r="T404">
        <v>0.10232929175454331</v>
      </c>
    </row>
    <row r="405" spans="2:20" x14ac:dyDescent="0.25">
      <c r="B405">
        <f t="shared" si="60"/>
        <v>404</v>
      </c>
      <c r="C405">
        <v>1.3704648710845646E-2</v>
      </c>
      <c r="D405">
        <f t="shared" si="54"/>
        <v>29.455791190581714</v>
      </c>
      <c r="E405">
        <f t="shared" si="61"/>
        <v>29.455791190581714</v>
      </c>
      <c r="F405">
        <f t="shared" si="62"/>
        <v>1.2111398936283281E-2</v>
      </c>
      <c r="G405">
        <f t="shared" si="55"/>
        <v>29.407345594836581</v>
      </c>
      <c r="H405">
        <f t="shared" si="56"/>
        <v>1.5932497745623653E-3</v>
      </c>
      <c r="I405">
        <f t="shared" si="57"/>
        <v>29.44367979164543</v>
      </c>
      <c r="P405" s="2">
        <v>33939</v>
      </c>
      <c r="Q405">
        <v>1.3704648710845646E-2</v>
      </c>
      <c r="R405">
        <f t="shared" si="58"/>
        <v>1.2111398936283281E-2</v>
      </c>
      <c r="S405">
        <f t="shared" si="59"/>
        <v>1.5932497745623653E-3</v>
      </c>
      <c r="T405">
        <v>0.10271278273538531</v>
      </c>
    </row>
    <row r="406" spans="2:20" x14ac:dyDescent="0.25">
      <c r="B406">
        <f t="shared" si="60"/>
        <v>405</v>
      </c>
      <c r="C406">
        <v>1.221144500514626E-2</v>
      </c>
      <c r="D406">
        <f t="shared" si="54"/>
        <v>29.46800263558686</v>
      </c>
      <c r="E406">
        <f t="shared" si="61"/>
        <v>29.46800263558686</v>
      </c>
      <c r="F406">
        <f t="shared" si="62"/>
        <v>1.2131408150055735E-2</v>
      </c>
      <c r="G406">
        <f t="shared" si="55"/>
        <v>29.419477002986635</v>
      </c>
      <c r="H406">
        <f t="shared" si="56"/>
        <v>8.0036855090524772E-5</v>
      </c>
      <c r="I406">
        <f t="shared" si="57"/>
        <v>29.455871227436806</v>
      </c>
      <c r="P406" s="2">
        <v>33970</v>
      </c>
      <c r="Q406">
        <v>1.221144500514626E-2</v>
      </c>
      <c r="R406">
        <f t="shared" si="58"/>
        <v>1.2131408150055735E-2</v>
      </c>
      <c r="S406">
        <f t="shared" si="59"/>
        <v>8.0036855090524772E-5</v>
      </c>
      <c r="T406">
        <v>0.10404857080986041</v>
      </c>
    </row>
    <row r="407" spans="2:20" x14ac:dyDescent="0.25">
      <c r="B407">
        <f t="shared" si="60"/>
        <v>406</v>
      </c>
      <c r="C407">
        <v>9.5633313698328948E-3</v>
      </c>
      <c r="D407">
        <f t="shared" si="54"/>
        <v>29.477565966956693</v>
      </c>
      <c r="E407">
        <f t="shared" si="61"/>
        <v>29.477565966956693</v>
      </c>
      <c r="F407">
        <f t="shared" si="62"/>
        <v>1.161779279401145E-2</v>
      </c>
      <c r="G407">
        <f t="shared" si="55"/>
        <v>29.431094795780648</v>
      </c>
      <c r="H407">
        <f t="shared" si="56"/>
        <v>-2.0544614241785556E-3</v>
      </c>
      <c r="I407">
        <f t="shared" si="57"/>
        <v>29.46594817416268</v>
      </c>
      <c r="P407" s="2">
        <v>34001</v>
      </c>
      <c r="Q407">
        <v>9.5633313698328948E-3</v>
      </c>
      <c r="R407">
        <f t="shared" si="58"/>
        <v>1.161779279401145E-2</v>
      </c>
      <c r="S407">
        <f t="shared" si="59"/>
        <v>-2.0544614241785556E-3</v>
      </c>
      <c r="T407">
        <v>9.7775743576788088E-2</v>
      </c>
    </row>
    <row r="408" spans="2:20" x14ac:dyDescent="0.25">
      <c r="B408">
        <f t="shared" si="60"/>
        <v>407</v>
      </c>
      <c r="C408">
        <v>1.2644079943587627E-2</v>
      </c>
      <c r="D408">
        <f t="shared" si="54"/>
        <v>29.49021004690028</v>
      </c>
      <c r="E408">
        <f t="shared" si="61"/>
        <v>29.49021004690028</v>
      </c>
      <c r="F408">
        <f t="shared" si="62"/>
        <v>1.1823050223926402E-2</v>
      </c>
      <c r="G408">
        <f t="shared" si="55"/>
        <v>29.442917846004576</v>
      </c>
      <c r="H408">
        <f t="shared" si="56"/>
        <v>8.2102971966122561E-4</v>
      </c>
      <c r="I408">
        <f t="shared" si="57"/>
        <v>29.478386996676353</v>
      </c>
      <c r="P408" s="2">
        <v>34029</v>
      </c>
      <c r="Q408">
        <v>1.2644079943587627E-2</v>
      </c>
      <c r="R408">
        <f t="shared" si="58"/>
        <v>1.1823050223926402E-2</v>
      </c>
      <c r="S408">
        <f t="shared" si="59"/>
        <v>8.2102971966122561E-4</v>
      </c>
      <c r="T408">
        <v>9.1479572864482606E-2</v>
      </c>
    </row>
    <row r="409" spans="2:20" x14ac:dyDescent="0.25">
      <c r="B409">
        <f t="shared" si="60"/>
        <v>408</v>
      </c>
      <c r="C409">
        <v>1.4436707135269344E-2</v>
      </c>
      <c r="D409">
        <f t="shared" si="54"/>
        <v>29.504646754035548</v>
      </c>
      <c r="E409">
        <f t="shared" si="61"/>
        <v>29.504646754035548</v>
      </c>
      <c r="F409">
        <f t="shared" si="62"/>
        <v>1.2345781606194352E-2</v>
      </c>
      <c r="G409">
        <f t="shared" si="55"/>
        <v>29.455263627610769</v>
      </c>
      <c r="H409">
        <f t="shared" si="56"/>
        <v>2.0909255290749926E-3</v>
      </c>
      <c r="I409">
        <f t="shared" si="57"/>
        <v>29.492300972429355</v>
      </c>
      <c r="P409" s="2">
        <v>34060</v>
      </c>
      <c r="Q409">
        <v>1.4436707135269344E-2</v>
      </c>
      <c r="R409">
        <f t="shared" si="58"/>
        <v>1.2345781606194352E-2</v>
      </c>
      <c r="S409">
        <f t="shared" si="59"/>
        <v>2.0909255290749926E-3</v>
      </c>
      <c r="T409">
        <v>8.5370370781324034E-2</v>
      </c>
    </row>
    <row r="410" spans="2:20" x14ac:dyDescent="0.25">
      <c r="B410">
        <f t="shared" si="60"/>
        <v>409</v>
      </c>
      <c r="C410">
        <v>1.6188343076610323E-2</v>
      </c>
      <c r="D410">
        <f t="shared" si="54"/>
        <v>29.520835097112158</v>
      </c>
      <c r="E410">
        <f t="shared" si="61"/>
        <v>29.520835097112158</v>
      </c>
      <c r="F410">
        <f t="shared" si="62"/>
        <v>1.3114293900277831E-2</v>
      </c>
      <c r="G410">
        <f t="shared" si="55"/>
        <v>29.468377921511046</v>
      </c>
      <c r="H410">
        <f t="shared" si="56"/>
        <v>3.0740491763324926E-3</v>
      </c>
      <c r="I410">
        <f t="shared" si="57"/>
        <v>29.507720803211882</v>
      </c>
      <c r="P410" s="2">
        <v>34090</v>
      </c>
      <c r="Q410">
        <v>1.6188343076610323E-2</v>
      </c>
      <c r="R410">
        <f t="shared" si="58"/>
        <v>1.3114293900277831E-2</v>
      </c>
      <c r="S410">
        <f t="shared" si="59"/>
        <v>3.0740491763324926E-3</v>
      </c>
      <c r="T410">
        <v>7.9336742236521651E-2</v>
      </c>
    </row>
    <row r="411" spans="2:20" x14ac:dyDescent="0.25">
      <c r="B411">
        <f t="shared" si="60"/>
        <v>410</v>
      </c>
      <c r="C411">
        <v>1.7764828160588664E-2</v>
      </c>
      <c r="D411">
        <f t="shared" si="54"/>
        <v>29.538599925272749</v>
      </c>
      <c r="E411">
        <f t="shared" si="61"/>
        <v>29.538599925272749</v>
      </c>
      <c r="F411">
        <f t="shared" si="62"/>
        <v>1.4044400752340636E-2</v>
      </c>
      <c r="G411">
        <f t="shared" si="55"/>
        <v>29.482422322263385</v>
      </c>
      <c r="H411">
        <f t="shared" si="56"/>
        <v>3.7204274082480275E-3</v>
      </c>
      <c r="I411">
        <f t="shared" si="57"/>
        <v>29.524555524520409</v>
      </c>
      <c r="P411" s="2">
        <v>34121</v>
      </c>
      <c r="Q411">
        <v>1.7764828160588664E-2</v>
      </c>
      <c r="R411">
        <f t="shared" si="58"/>
        <v>1.4044400752340636E-2</v>
      </c>
      <c r="S411">
        <f t="shared" si="59"/>
        <v>3.7204274082480275E-3</v>
      </c>
      <c r="T411">
        <v>7.3377185713825455E-2</v>
      </c>
    </row>
    <row r="412" spans="2:20" x14ac:dyDescent="0.25">
      <c r="B412">
        <f t="shared" si="60"/>
        <v>411</v>
      </c>
      <c r="C412">
        <v>1.9850328212593027E-2</v>
      </c>
      <c r="D412">
        <f t="shared" si="54"/>
        <v>29.55845025348534</v>
      </c>
      <c r="E412">
        <f t="shared" si="61"/>
        <v>29.55845025348534</v>
      </c>
      <c r="F412">
        <f t="shared" si="62"/>
        <v>1.5205586244390902E-2</v>
      </c>
      <c r="G412">
        <f t="shared" si="55"/>
        <v>29.497627908507777</v>
      </c>
      <c r="H412">
        <f t="shared" si="56"/>
        <v>4.6447419682021252E-3</v>
      </c>
      <c r="I412">
        <f t="shared" si="57"/>
        <v>29.543244667240948</v>
      </c>
      <c r="P412" s="2">
        <v>34151</v>
      </c>
      <c r="Q412">
        <v>1.9850328212593027E-2</v>
      </c>
      <c r="R412">
        <f t="shared" si="58"/>
        <v>1.5205586244390902E-2</v>
      </c>
      <c r="S412">
        <f t="shared" si="59"/>
        <v>4.6447419682021252E-3</v>
      </c>
      <c r="T412">
        <v>6.658214258099715E-2</v>
      </c>
    </row>
    <row r="413" spans="2:20" x14ac:dyDescent="0.25">
      <c r="B413">
        <f t="shared" si="60"/>
        <v>412</v>
      </c>
      <c r="C413">
        <v>2.0312336930757624E-2</v>
      </c>
      <c r="D413">
        <f t="shared" si="54"/>
        <v>29.578762590416098</v>
      </c>
      <c r="E413">
        <f t="shared" si="61"/>
        <v>29.578762590416098</v>
      </c>
      <c r="F413">
        <f t="shared" si="62"/>
        <v>1.6226936381664104E-2</v>
      </c>
      <c r="G413">
        <f t="shared" si="55"/>
        <v>29.51385484488944</v>
      </c>
      <c r="H413">
        <f t="shared" si="56"/>
        <v>4.0854005490935201E-3</v>
      </c>
      <c r="I413">
        <f t="shared" si="57"/>
        <v>29.562535654034434</v>
      </c>
      <c r="P413" s="2">
        <v>34182</v>
      </c>
      <c r="Q413">
        <v>2.0312336930757624E-2</v>
      </c>
      <c r="R413">
        <f t="shared" si="58"/>
        <v>1.6226936381664104E-2</v>
      </c>
      <c r="S413">
        <f t="shared" si="59"/>
        <v>4.0854005490935201E-3</v>
      </c>
      <c r="T413">
        <v>6.4117557123776869E-2</v>
      </c>
    </row>
    <row r="414" spans="2:20" x14ac:dyDescent="0.25">
      <c r="B414">
        <f t="shared" si="60"/>
        <v>413</v>
      </c>
      <c r="C414">
        <v>1.5561034003706453E-2</v>
      </c>
      <c r="D414">
        <f t="shared" si="54"/>
        <v>29.594323624419804</v>
      </c>
      <c r="E414">
        <f t="shared" si="61"/>
        <v>29.594323624419804</v>
      </c>
      <c r="F414">
        <f t="shared" si="62"/>
        <v>1.6093755906072715E-2</v>
      </c>
      <c r="G414">
        <f t="shared" si="55"/>
        <v>29.529948600795514</v>
      </c>
      <c r="H414">
        <f t="shared" si="56"/>
        <v>-5.3272190236626146E-4</v>
      </c>
      <c r="I414">
        <f t="shared" si="57"/>
        <v>29.578229868513731</v>
      </c>
      <c r="P414" s="2">
        <v>34213</v>
      </c>
      <c r="Q414">
        <v>1.5561034003706453E-2</v>
      </c>
      <c r="R414">
        <f t="shared" si="58"/>
        <v>1.6093755906072715E-2</v>
      </c>
      <c r="S414">
        <f t="shared" si="59"/>
        <v>-5.3272190236626146E-4</v>
      </c>
      <c r="T414">
        <v>6.6835212824642554E-2</v>
      </c>
    </row>
    <row r="415" spans="2:20" x14ac:dyDescent="0.25">
      <c r="B415">
        <f t="shared" si="60"/>
        <v>414</v>
      </c>
      <c r="C415">
        <v>1.0719702760514593E-2</v>
      </c>
      <c r="D415">
        <f t="shared" si="54"/>
        <v>29.605043327180319</v>
      </c>
      <c r="E415">
        <f t="shared" si="61"/>
        <v>29.605043327180319</v>
      </c>
      <c r="F415">
        <f t="shared" si="62"/>
        <v>1.501894527696095E-2</v>
      </c>
      <c r="G415">
        <f t="shared" si="55"/>
        <v>29.544967546072474</v>
      </c>
      <c r="H415">
        <f t="shared" si="56"/>
        <v>-4.2992425164463562E-3</v>
      </c>
      <c r="I415">
        <f t="shared" si="57"/>
        <v>29.590024381903358</v>
      </c>
      <c r="P415" s="2">
        <v>34243</v>
      </c>
      <c r="Q415">
        <v>1.0719702760514593E-2</v>
      </c>
      <c r="R415">
        <f t="shared" si="58"/>
        <v>1.501894527696095E-2</v>
      </c>
      <c r="S415">
        <f t="shared" si="59"/>
        <v>-4.2992425164463562E-3</v>
      </c>
      <c r="T415">
        <v>6.9361127797502142E-2</v>
      </c>
    </row>
    <row r="416" spans="2:20" x14ac:dyDescent="0.25">
      <c r="B416">
        <f t="shared" si="60"/>
        <v>415</v>
      </c>
      <c r="C416">
        <v>1.3333146063084556E-2</v>
      </c>
      <c r="D416">
        <f t="shared" si="54"/>
        <v>29.618376473243401</v>
      </c>
      <c r="E416">
        <f t="shared" si="61"/>
        <v>29.618376473243401</v>
      </c>
      <c r="F416">
        <f t="shared" si="62"/>
        <v>1.4681785434185458E-2</v>
      </c>
      <c r="G416">
        <f t="shared" si="55"/>
        <v>29.559649331506659</v>
      </c>
      <c r="H416">
        <f t="shared" si="56"/>
        <v>-1.3486393711009022E-3</v>
      </c>
      <c r="I416">
        <f t="shared" si="57"/>
        <v>29.603694687809217</v>
      </c>
      <c r="P416" s="2">
        <v>34274</v>
      </c>
      <c r="Q416">
        <v>1.3333146063084556E-2</v>
      </c>
      <c r="R416">
        <f t="shared" si="58"/>
        <v>1.4681785434185458E-2</v>
      </c>
      <c r="S416">
        <f t="shared" si="59"/>
        <v>-1.3486393711009022E-3</v>
      </c>
      <c r="T416">
        <v>6.3513405722325444E-2</v>
      </c>
    </row>
    <row r="417" spans="2:20" x14ac:dyDescent="0.25">
      <c r="B417">
        <f t="shared" si="60"/>
        <v>416</v>
      </c>
      <c r="C417">
        <v>1.1541808016692912E-2</v>
      </c>
      <c r="D417">
        <f t="shared" si="54"/>
        <v>29.629918281260096</v>
      </c>
      <c r="E417">
        <f t="shared" si="61"/>
        <v>29.629918281260096</v>
      </c>
      <c r="F417">
        <f t="shared" si="62"/>
        <v>1.4053789950687446E-2</v>
      </c>
      <c r="G417">
        <f t="shared" si="55"/>
        <v>29.573703121457346</v>
      </c>
      <c r="H417">
        <f t="shared" si="56"/>
        <v>-2.5119819339945344E-3</v>
      </c>
      <c r="I417">
        <f t="shared" si="57"/>
        <v>29.615864491309409</v>
      </c>
      <c r="P417" s="2">
        <v>34304</v>
      </c>
      <c r="Q417">
        <v>1.1541808016692912E-2</v>
      </c>
      <c r="R417">
        <f t="shared" si="58"/>
        <v>1.4053789950687446E-2</v>
      </c>
      <c r="S417">
        <f t="shared" si="59"/>
        <v>-2.5119819339945344E-3</v>
      </c>
      <c r="T417">
        <v>5.7941428486189217E-2</v>
      </c>
    </row>
    <row r="418" spans="2:20" x14ac:dyDescent="0.25">
      <c r="B418">
        <f t="shared" si="60"/>
        <v>417</v>
      </c>
      <c r="C418">
        <v>9.7719238892022275E-3</v>
      </c>
      <c r="D418">
        <f t="shared" si="54"/>
        <v>29.6396902051493</v>
      </c>
      <c r="E418">
        <f t="shared" si="61"/>
        <v>29.6396902051493</v>
      </c>
      <c r="F418">
        <f t="shared" si="62"/>
        <v>1.3197416738390901E-2</v>
      </c>
      <c r="G418">
        <f t="shared" si="55"/>
        <v>29.586900538195735</v>
      </c>
      <c r="H418">
        <f t="shared" si="56"/>
        <v>-3.425492849188673E-3</v>
      </c>
      <c r="I418">
        <f t="shared" si="57"/>
        <v>29.626492788410911</v>
      </c>
      <c r="P418" s="2">
        <v>34335</v>
      </c>
      <c r="Q418">
        <v>9.7719238892022275E-3</v>
      </c>
      <c r="R418">
        <f t="shared" si="58"/>
        <v>1.3197416738390901E-2</v>
      </c>
      <c r="S418">
        <f t="shared" si="59"/>
        <v>-3.425492849188673E-3</v>
      </c>
      <c r="T418">
        <v>4.8227374765716036E-2</v>
      </c>
    </row>
    <row r="419" spans="2:20" x14ac:dyDescent="0.25">
      <c r="B419">
        <f t="shared" si="60"/>
        <v>418</v>
      </c>
      <c r="C419">
        <v>7.9527864767374723E-3</v>
      </c>
      <c r="D419">
        <f t="shared" si="54"/>
        <v>29.647642991626036</v>
      </c>
      <c r="E419">
        <f t="shared" si="61"/>
        <v>29.647642991626036</v>
      </c>
      <c r="F419">
        <f t="shared" si="62"/>
        <v>1.2148490686060144E-2</v>
      </c>
      <c r="G419">
        <f t="shared" si="55"/>
        <v>29.599049028881794</v>
      </c>
      <c r="H419">
        <f t="shared" si="56"/>
        <v>-4.1957042093226718E-3</v>
      </c>
      <c r="I419">
        <f t="shared" si="57"/>
        <v>29.635494500939977</v>
      </c>
      <c r="P419" s="2">
        <v>34366</v>
      </c>
      <c r="Q419">
        <v>7.9527864767374723E-3</v>
      </c>
      <c r="R419">
        <f t="shared" si="58"/>
        <v>1.2148490686060144E-2</v>
      </c>
      <c r="S419">
        <f t="shared" si="59"/>
        <v>-4.1957042093226718E-3</v>
      </c>
      <c r="T419">
        <v>4.9096021336520579E-2</v>
      </c>
    </row>
    <row r="420" spans="2:20" x14ac:dyDescent="0.25">
      <c r="B420">
        <f t="shared" si="60"/>
        <v>419</v>
      </c>
      <c r="C420">
        <v>4.9157099547159078E-3</v>
      </c>
      <c r="D420">
        <f t="shared" si="54"/>
        <v>29.652558701580752</v>
      </c>
      <c r="E420">
        <f t="shared" si="61"/>
        <v>29.652558701580752</v>
      </c>
      <c r="F420">
        <f t="shared" si="62"/>
        <v>1.0701934539791581E-2</v>
      </c>
      <c r="G420">
        <f t="shared" si="55"/>
        <v>29.609750963421586</v>
      </c>
      <c r="H420">
        <f t="shared" si="56"/>
        <v>-5.7862245850756732E-3</v>
      </c>
      <c r="I420">
        <f t="shared" si="57"/>
        <v>29.641856767040959</v>
      </c>
      <c r="P420" s="2">
        <v>34394</v>
      </c>
      <c r="Q420">
        <v>4.9157099547159078E-3</v>
      </c>
      <c r="R420">
        <f t="shared" si="58"/>
        <v>1.0701934539791581E-2</v>
      </c>
      <c r="S420">
        <f t="shared" si="59"/>
        <v>-5.7862245850756732E-3</v>
      </c>
      <c r="T420">
        <v>4.3802622658393631E-2</v>
      </c>
    </row>
    <row r="421" spans="2:20" x14ac:dyDescent="0.25">
      <c r="B421">
        <f t="shared" si="60"/>
        <v>420</v>
      </c>
      <c r="C421">
        <v>3.4191014359734595E-3</v>
      </c>
      <c r="D421">
        <f t="shared" si="54"/>
        <v>29.655977803016725</v>
      </c>
      <c r="E421">
        <f t="shared" si="61"/>
        <v>29.655977803016725</v>
      </c>
      <c r="F421">
        <f t="shared" si="62"/>
        <v>9.2453679190278148E-3</v>
      </c>
      <c r="G421">
        <f t="shared" si="55"/>
        <v>29.618996331340615</v>
      </c>
      <c r="H421">
        <f t="shared" si="56"/>
        <v>-5.8262664830543553E-3</v>
      </c>
      <c r="I421">
        <f t="shared" si="57"/>
        <v>29.646732435097697</v>
      </c>
      <c r="P421" s="2">
        <v>34425</v>
      </c>
      <c r="Q421">
        <v>3.4191014359734595E-3</v>
      </c>
      <c r="R421">
        <f t="shared" si="58"/>
        <v>9.2453679190278148E-3</v>
      </c>
      <c r="S421">
        <f t="shared" si="59"/>
        <v>-5.8262664830543553E-3</v>
      </c>
      <c r="T421">
        <v>3.7543512457403061E-2</v>
      </c>
    </row>
    <row r="422" spans="2:20" x14ac:dyDescent="0.25">
      <c r="B422">
        <f t="shared" si="60"/>
        <v>421</v>
      </c>
      <c r="C422">
        <v>5.0234773302424429E-3</v>
      </c>
      <c r="D422">
        <f t="shared" si="54"/>
        <v>29.661001280346966</v>
      </c>
      <c r="E422">
        <f t="shared" si="61"/>
        <v>29.661001280346966</v>
      </c>
      <c r="F422">
        <f t="shared" si="62"/>
        <v>8.4009898012702422E-3</v>
      </c>
      <c r="G422">
        <f t="shared" si="55"/>
        <v>29.627397321141885</v>
      </c>
      <c r="H422">
        <f t="shared" si="56"/>
        <v>-3.3775124710277993E-3</v>
      </c>
      <c r="I422">
        <f t="shared" si="57"/>
        <v>29.652600290545696</v>
      </c>
      <c r="P422" s="2">
        <v>34455</v>
      </c>
      <c r="Q422">
        <v>5.0234773302424429E-3</v>
      </c>
      <c r="R422">
        <f t="shared" si="58"/>
        <v>8.4009898012702422E-3</v>
      </c>
      <c r="S422">
        <f t="shared" si="59"/>
        <v>-3.3775124710277993E-3</v>
      </c>
      <c r="T422">
        <v>3.6405476385009017E-2</v>
      </c>
    </row>
    <row r="423" spans="2:20" x14ac:dyDescent="0.25">
      <c r="B423">
        <f t="shared" si="60"/>
        <v>422</v>
      </c>
      <c r="C423">
        <v>4.0771849290983653E-3</v>
      </c>
      <c r="D423">
        <f t="shared" si="54"/>
        <v>29.665078465276064</v>
      </c>
      <c r="E423">
        <f t="shared" si="61"/>
        <v>29.665078465276064</v>
      </c>
      <c r="F423">
        <f t="shared" si="62"/>
        <v>7.536228826835867E-3</v>
      </c>
      <c r="G423">
        <f t="shared" si="55"/>
        <v>29.634933549968721</v>
      </c>
      <c r="H423">
        <f t="shared" si="56"/>
        <v>-3.4590438977375017E-3</v>
      </c>
      <c r="I423">
        <f t="shared" si="57"/>
        <v>29.657542236449228</v>
      </c>
      <c r="P423" s="2">
        <v>34486</v>
      </c>
      <c r="Q423">
        <v>4.0771849290983653E-3</v>
      </c>
      <c r="R423">
        <f t="shared" si="58"/>
        <v>7.536228826835867E-3</v>
      </c>
      <c r="S423">
        <f t="shared" si="59"/>
        <v>-3.4590438977375017E-3</v>
      </c>
      <c r="T423">
        <v>3.4253478478539989E-2</v>
      </c>
    </row>
    <row r="424" spans="2:20" x14ac:dyDescent="0.25">
      <c r="B424">
        <f t="shared" si="60"/>
        <v>423</v>
      </c>
      <c r="C424">
        <v>3.1558437942980078E-3</v>
      </c>
      <c r="D424">
        <f t="shared" si="54"/>
        <v>29.668234309070364</v>
      </c>
      <c r="E424">
        <f t="shared" si="61"/>
        <v>29.668234309070364</v>
      </c>
      <c r="F424">
        <f t="shared" si="62"/>
        <v>6.6601518203285087E-3</v>
      </c>
      <c r="G424">
        <f t="shared" si="55"/>
        <v>29.641593701789049</v>
      </c>
      <c r="H424">
        <f t="shared" si="56"/>
        <v>-3.5043080260305009E-3</v>
      </c>
      <c r="I424">
        <f t="shared" si="57"/>
        <v>29.661574157250037</v>
      </c>
      <c r="P424" s="2">
        <v>34516</v>
      </c>
      <c r="Q424">
        <v>3.1558437942980078E-3</v>
      </c>
      <c r="R424">
        <f t="shared" si="58"/>
        <v>6.6601518203285087E-3</v>
      </c>
      <c r="S424">
        <f t="shared" si="59"/>
        <v>-3.5043080260305009E-3</v>
      </c>
      <c r="T424">
        <v>3.5273366379285243E-2</v>
      </c>
    </row>
    <row r="425" spans="2:20" x14ac:dyDescent="0.25">
      <c r="B425">
        <f t="shared" si="60"/>
        <v>424</v>
      </c>
      <c r="C425">
        <v>5.128583692959765E-3</v>
      </c>
      <c r="D425">
        <f t="shared" si="54"/>
        <v>29.673362892763322</v>
      </c>
      <c r="E425">
        <f t="shared" si="61"/>
        <v>29.673362892763322</v>
      </c>
      <c r="F425">
        <f t="shared" si="62"/>
        <v>6.3538381948546885E-3</v>
      </c>
      <c r="G425">
        <f t="shared" si="55"/>
        <v>29.647947539983903</v>
      </c>
      <c r="H425">
        <f t="shared" si="56"/>
        <v>-1.2252545018949235E-3</v>
      </c>
      <c r="I425">
        <f t="shared" si="57"/>
        <v>29.667009054568467</v>
      </c>
      <c r="P425" s="2">
        <v>34547</v>
      </c>
      <c r="Q425">
        <v>5.128583692959765E-3</v>
      </c>
      <c r="R425">
        <f t="shared" si="58"/>
        <v>6.3538381948546885E-3</v>
      </c>
      <c r="S425">
        <f t="shared" si="59"/>
        <v>-1.2252545018949235E-3</v>
      </c>
      <c r="T425">
        <v>3.9220713153281572E-2</v>
      </c>
    </row>
    <row r="426" spans="2:20" x14ac:dyDescent="0.25">
      <c r="B426">
        <f t="shared" si="60"/>
        <v>425</v>
      </c>
      <c r="C426">
        <v>9.5225238454741401E-3</v>
      </c>
      <c r="D426">
        <f t="shared" si="54"/>
        <v>29.682885416608798</v>
      </c>
      <c r="E426">
        <f t="shared" si="61"/>
        <v>29.682885416608798</v>
      </c>
      <c r="F426">
        <f t="shared" si="62"/>
        <v>6.9875753249789346E-3</v>
      </c>
      <c r="G426">
        <f t="shared" si="55"/>
        <v>29.654935115308881</v>
      </c>
      <c r="H426">
        <f t="shared" si="56"/>
        <v>2.5349485204952055E-3</v>
      </c>
      <c r="I426">
        <f t="shared" si="57"/>
        <v>29.67589784128382</v>
      </c>
      <c r="P426" s="2">
        <v>34578</v>
      </c>
      <c r="Q426">
        <v>9.5225238454741401E-3</v>
      </c>
      <c r="R426">
        <f t="shared" si="58"/>
        <v>6.9875753249789346E-3</v>
      </c>
      <c r="S426">
        <f t="shared" si="59"/>
        <v>2.5349485204952055E-3</v>
      </c>
      <c r="T426">
        <v>3.3832032401434731E-2</v>
      </c>
    </row>
    <row r="427" spans="2:20" x14ac:dyDescent="0.25">
      <c r="B427">
        <f t="shared" si="60"/>
        <v>426</v>
      </c>
      <c r="C427">
        <v>1.9749091013359532E-2</v>
      </c>
      <c r="D427">
        <f t="shared" si="54"/>
        <v>29.702634507622157</v>
      </c>
      <c r="E427">
        <f t="shared" si="61"/>
        <v>29.702634507622157</v>
      </c>
      <c r="F427">
        <f t="shared" si="62"/>
        <v>9.5398784626553393E-3</v>
      </c>
      <c r="G427">
        <f t="shared" si="55"/>
        <v>29.664474993771535</v>
      </c>
      <c r="H427">
        <f t="shared" si="56"/>
        <v>1.0209212550704193E-2</v>
      </c>
      <c r="I427">
        <f t="shared" si="57"/>
        <v>29.693094629159503</v>
      </c>
      <c r="P427" s="2">
        <v>34608</v>
      </c>
      <c r="Q427">
        <v>1.9749091013359532E-2</v>
      </c>
      <c r="R427">
        <f t="shared" si="58"/>
        <v>9.5398784626553393E-3</v>
      </c>
      <c r="S427">
        <f t="shared" si="59"/>
        <v>1.0209212550704193E-2</v>
      </c>
      <c r="T427">
        <v>2.4441135159145588E-2</v>
      </c>
    </row>
    <row r="428" spans="2:20" x14ac:dyDescent="0.25">
      <c r="B428">
        <f t="shared" si="60"/>
        <v>427</v>
      </c>
      <c r="C428">
        <v>2.2451195289635351E-2</v>
      </c>
      <c r="D428">
        <f t="shared" si="54"/>
        <v>29.725085702911791</v>
      </c>
      <c r="E428">
        <f t="shared" si="61"/>
        <v>29.725085702911791</v>
      </c>
      <c r="F428">
        <f t="shared" si="62"/>
        <v>1.2122141828051269E-2</v>
      </c>
      <c r="G428">
        <f t="shared" si="55"/>
        <v>29.676597135599586</v>
      </c>
      <c r="H428">
        <f t="shared" si="56"/>
        <v>1.0329053461584081E-2</v>
      </c>
      <c r="I428">
        <f t="shared" si="57"/>
        <v>29.71296356108374</v>
      </c>
      <c r="P428" s="2">
        <v>34639</v>
      </c>
      <c r="Q428">
        <v>2.2451195289635351E-2</v>
      </c>
      <c r="R428">
        <f t="shared" si="58"/>
        <v>1.2122141828051269E-2</v>
      </c>
      <c r="S428">
        <f t="shared" si="59"/>
        <v>1.0329053461584081E-2</v>
      </c>
      <c r="T428">
        <v>2.3315805313616877E-2</v>
      </c>
    </row>
    <row r="429" spans="2:20" x14ac:dyDescent="0.25">
      <c r="B429">
        <f t="shared" si="60"/>
        <v>428</v>
      </c>
      <c r="C429">
        <v>2.9204727290681021E-2</v>
      </c>
      <c r="D429">
        <f t="shared" si="54"/>
        <v>29.754290430202474</v>
      </c>
      <c r="E429">
        <f t="shared" si="61"/>
        <v>29.754290430202474</v>
      </c>
      <c r="F429">
        <f t="shared" si="62"/>
        <v>1.5538658920577576E-2</v>
      </c>
      <c r="G429">
        <f t="shared" si="55"/>
        <v>29.692135794520162</v>
      </c>
      <c r="H429">
        <f t="shared" si="56"/>
        <v>1.3666068370103444E-2</v>
      </c>
      <c r="I429">
        <f t="shared" si="57"/>
        <v>29.738751771281898</v>
      </c>
      <c r="P429" s="2">
        <v>34669</v>
      </c>
      <c r="Q429">
        <v>2.9204727290681021E-2</v>
      </c>
      <c r="R429">
        <f t="shared" si="58"/>
        <v>1.5538658920577576E-2</v>
      </c>
      <c r="S429">
        <f t="shared" si="59"/>
        <v>1.3666068370103444E-2</v>
      </c>
      <c r="T429">
        <v>2.4268127272437212E-2</v>
      </c>
    </row>
    <row r="430" spans="2:20" x14ac:dyDescent="0.25">
      <c r="B430">
        <f t="shared" si="60"/>
        <v>429</v>
      </c>
      <c r="C430">
        <v>3.2733375862990854E-2</v>
      </c>
      <c r="D430">
        <f t="shared" si="54"/>
        <v>29.787023806065463</v>
      </c>
      <c r="E430">
        <f t="shared" si="61"/>
        <v>29.787023806065463</v>
      </c>
      <c r="F430">
        <f t="shared" si="62"/>
        <v>1.8977602309060163E-2</v>
      </c>
      <c r="G430">
        <f t="shared" si="55"/>
        <v>29.711113396829223</v>
      </c>
      <c r="H430">
        <f t="shared" si="56"/>
        <v>1.3755773553930692E-2</v>
      </c>
      <c r="I430">
        <f t="shared" si="57"/>
        <v>29.768046203756402</v>
      </c>
      <c r="P430" s="2">
        <v>34700</v>
      </c>
      <c r="Q430">
        <v>3.2733375862990854E-2</v>
      </c>
      <c r="R430">
        <f t="shared" si="58"/>
        <v>1.8977602309060163E-2</v>
      </c>
      <c r="S430">
        <f t="shared" si="59"/>
        <v>1.3755773553930692E-2</v>
      </c>
      <c r="T430">
        <v>2.7260648208891958E-2</v>
      </c>
    </row>
    <row r="431" spans="2:20" x14ac:dyDescent="0.25">
      <c r="B431">
        <f t="shared" si="60"/>
        <v>430</v>
      </c>
      <c r="C431">
        <v>3.638199415257759E-2</v>
      </c>
      <c r="D431">
        <f t="shared" si="54"/>
        <v>29.82340580021804</v>
      </c>
      <c r="E431">
        <f t="shared" si="61"/>
        <v>29.82340580021804</v>
      </c>
      <c r="F431">
        <f t="shared" si="62"/>
        <v>2.2458480677763504E-2</v>
      </c>
      <c r="G431">
        <f t="shared" si="55"/>
        <v>29.733571877506986</v>
      </c>
      <c r="H431">
        <f t="shared" si="56"/>
        <v>1.3923513474814086E-2</v>
      </c>
      <c r="I431">
        <f t="shared" si="57"/>
        <v>29.800947319540278</v>
      </c>
      <c r="P431" s="2">
        <v>34731</v>
      </c>
      <c r="Q431">
        <v>3.638199415257759E-2</v>
      </c>
      <c r="R431">
        <f t="shared" si="58"/>
        <v>2.2458480677763504E-2</v>
      </c>
      <c r="S431">
        <f t="shared" si="59"/>
        <v>1.3923513474814086E-2</v>
      </c>
      <c r="T431">
        <v>2.7150989065950704E-2</v>
      </c>
    </row>
    <row r="432" spans="2:20" x14ac:dyDescent="0.25">
      <c r="B432">
        <f t="shared" si="60"/>
        <v>431</v>
      </c>
      <c r="C432">
        <v>3.7347279204684725E-2</v>
      </c>
      <c r="D432">
        <f t="shared" si="54"/>
        <v>29.860753079422725</v>
      </c>
      <c r="E432">
        <f t="shared" si="61"/>
        <v>29.860753079422725</v>
      </c>
      <c r="F432">
        <f t="shared" si="62"/>
        <v>2.5436240383147891E-2</v>
      </c>
      <c r="G432">
        <f t="shared" si="55"/>
        <v>29.759008117890133</v>
      </c>
      <c r="H432">
        <f t="shared" si="56"/>
        <v>1.1911038821536834E-2</v>
      </c>
      <c r="I432">
        <f t="shared" si="57"/>
        <v>29.835316839039578</v>
      </c>
      <c r="P432" s="2">
        <v>34759</v>
      </c>
      <c r="Q432">
        <v>3.7347279204684725E-2</v>
      </c>
      <c r="R432">
        <f t="shared" si="58"/>
        <v>2.5436240383147891E-2</v>
      </c>
      <c r="S432">
        <f t="shared" si="59"/>
        <v>1.1911038821536834E-2</v>
      </c>
      <c r="T432">
        <v>3.114264735585337E-2</v>
      </c>
    </row>
    <row r="433" spans="2:20" x14ac:dyDescent="0.25">
      <c r="B433">
        <f t="shared" si="60"/>
        <v>432</v>
      </c>
      <c r="C433">
        <v>4.0225212534540589E-2</v>
      </c>
      <c r="D433">
        <f t="shared" si="54"/>
        <v>29.900978291957266</v>
      </c>
      <c r="E433">
        <f t="shared" si="61"/>
        <v>29.900978291957266</v>
      </c>
      <c r="F433">
        <f t="shared" si="62"/>
        <v>2.8394034813426575E-2</v>
      </c>
      <c r="G433">
        <f t="shared" si="55"/>
        <v>29.78740215270356</v>
      </c>
      <c r="H433">
        <f t="shared" si="56"/>
        <v>1.1831177721114014E-2</v>
      </c>
      <c r="I433">
        <f t="shared" si="57"/>
        <v>29.872584257143838</v>
      </c>
      <c r="P433" s="2">
        <v>34790</v>
      </c>
      <c r="Q433">
        <v>4.0225212534540589E-2</v>
      </c>
      <c r="R433">
        <f t="shared" si="58"/>
        <v>2.8394034813426575E-2</v>
      </c>
      <c r="S433">
        <f t="shared" si="59"/>
        <v>1.1831177721114014E-2</v>
      </c>
      <c r="T433">
        <v>3.7171532108345673E-2</v>
      </c>
    </row>
    <row r="434" spans="2:20" x14ac:dyDescent="0.25">
      <c r="B434">
        <f t="shared" si="60"/>
        <v>433</v>
      </c>
      <c r="C434">
        <v>4.3562480601144316E-2</v>
      </c>
      <c r="D434">
        <f t="shared" si="54"/>
        <v>29.944540772558412</v>
      </c>
      <c r="E434">
        <f t="shared" si="61"/>
        <v>29.944540772558412</v>
      </c>
      <c r="F434">
        <f t="shared" si="62"/>
        <v>3.1427723970970337E-2</v>
      </c>
      <c r="G434">
        <f t="shared" si="55"/>
        <v>29.818829876674531</v>
      </c>
      <c r="H434">
        <f t="shared" si="56"/>
        <v>1.2134756630173979E-2</v>
      </c>
      <c r="I434">
        <f t="shared" si="57"/>
        <v>29.913113048587441</v>
      </c>
      <c r="P434" s="2">
        <v>34820</v>
      </c>
      <c r="Q434">
        <v>4.3562480601144316E-2</v>
      </c>
      <c r="R434">
        <f t="shared" si="58"/>
        <v>3.1427723970970337E-2</v>
      </c>
      <c r="S434">
        <f t="shared" si="59"/>
        <v>1.2134756630173979E-2</v>
      </c>
      <c r="T434">
        <v>4.2006175634154985E-2</v>
      </c>
    </row>
    <row r="435" spans="2:20" x14ac:dyDescent="0.25">
      <c r="B435">
        <f t="shared" si="60"/>
        <v>434</v>
      </c>
      <c r="C435">
        <v>4.8081747287673338E-2</v>
      </c>
      <c r="D435">
        <f t="shared" si="54"/>
        <v>29.992622519846087</v>
      </c>
      <c r="E435">
        <f t="shared" si="61"/>
        <v>29.992622519846087</v>
      </c>
      <c r="F435">
        <f t="shared" si="62"/>
        <v>3.4758528634311149E-2</v>
      </c>
      <c r="G435">
        <f t="shared" si="55"/>
        <v>29.853588405308841</v>
      </c>
      <c r="H435">
        <f t="shared" si="56"/>
        <v>1.3323218653362189E-2</v>
      </c>
      <c r="I435">
        <f t="shared" si="57"/>
        <v>29.957863991211777</v>
      </c>
      <c r="P435" s="2">
        <v>34851</v>
      </c>
      <c r="Q435">
        <v>4.8081747287673338E-2</v>
      </c>
      <c r="R435">
        <f t="shared" si="58"/>
        <v>3.4758528634311149E-2</v>
      </c>
      <c r="S435">
        <f t="shared" si="59"/>
        <v>1.3323218653362189E-2</v>
      </c>
      <c r="T435">
        <v>4.5870454066096578E-2</v>
      </c>
    </row>
    <row r="436" spans="2:20" x14ac:dyDescent="0.25">
      <c r="B436">
        <f t="shared" si="60"/>
        <v>435</v>
      </c>
      <c r="C436">
        <v>5.4569123762515659E-2</v>
      </c>
      <c r="D436">
        <f t="shared" ref="D436:D499" si="63">D435 +C436</f>
        <v>30.047191643608603</v>
      </c>
      <c r="E436">
        <f t="shared" si="61"/>
        <v>30.047191643608603</v>
      </c>
      <c r="F436">
        <f t="shared" si="62"/>
        <v>3.872064765995234E-2</v>
      </c>
      <c r="G436">
        <f t="shared" ref="G436:G499" si="64">G435 + F436</f>
        <v>29.892309052968795</v>
      </c>
      <c r="H436">
        <f t="shared" ref="H436:H499" si="65">C436-F436</f>
        <v>1.5848476102563319E-2</v>
      </c>
      <c r="I436">
        <f t="shared" ref="I436:I499" si="66">E436-F436</f>
        <v>30.008470995948649</v>
      </c>
      <c r="P436" s="2">
        <v>34881</v>
      </c>
      <c r="Q436">
        <v>5.4569123762515659E-2</v>
      </c>
      <c r="R436">
        <f t="shared" ref="R436:R499" si="67">F436</f>
        <v>3.872064765995234E-2</v>
      </c>
      <c r="S436">
        <f t="shared" ref="S436:S499" si="68">H436</f>
        <v>1.5848476102563319E-2</v>
      </c>
      <c r="T436">
        <v>4.7770276268686018E-2</v>
      </c>
    </row>
    <row r="437" spans="2:20" x14ac:dyDescent="0.25">
      <c r="B437">
        <f t="shared" si="60"/>
        <v>436</v>
      </c>
      <c r="C437">
        <v>5.5176633801364616E-2</v>
      </c>
      <c r="D437">
        <f t="shared" si="63"/>
        <v>30.102368277409965</v>
      </c>
      <c r="E437">
        <f t="shared" si="61"/>
        <v>30.102368277409965</v>
      </c>
      <c r="F437">
        <f t="shared" si="62"/>
        <v>4.2011844888234152E-2</v>
      </c>
      <c r="G437">
        <f t="shared" si="64"/>
        <v>29.934320897857027</v>
      </c>
      <c r="H437">
        <f t="shared" si="65"/>
        <v>1.3164788913130464E-2</v>
      </c>
      <c r="I437">
        <f t="shared" si="66"/>
        <v>30.060356432521733</v>
      </c>
      <c r="P437" s="2">
        <v>34912</v>
      </c>
      <c r="Q437">
        <v>5.5176633801364616E-2</v>
      </c>
      <c r="R437">
        <f t="shared" si="67"/>
        <v>4.2011844888234152E-2</v>
      </c>
      <c r="S437">
        <f t="shared" si="68"/>
        <v>1.3164788913130464E-2</v>
      </c>
      <c r="T437">
        <v>4.4539771371770343E-2</v>
      </c>
    </row>
    <row r="438" spans="2:20" x14ac:dyDescent="0.25">
      <c r="B438">
        <f t="shared" si="60"/>
        <v>437</v>
      </c>
      <c r="C438">
        <v>5.1270593942620124E-2</v>
      </c>
      <c r="D438">
        <f t="shared" si="63"/>
        <v>30.153638871352584</v>
      </c>
      <c r="E438">
        <f t="shared" si="61"/>
        <v>30.153638871352584</v>
      </c>
      <c r="F438">
        <f t="shared" si="62"/>
        <v>4.3863594699111275E-2</v>
      </c>
      <c r="G438">
        <f t="shared" si="64"/>
        <v>29.978184492556139</v>
      </c>
      <c r="H438">
        <f t="shared" si="65"/>
        <v>7.4069992435088494E-3</v>
      </c>
      <c r="I438">
        <f t="shared" si="66"/>
        <v>30.109775276653473</v>
      </c>
      <c r="P438" s="2">
        <v>34943</v>
      </c>
      <c r="Q438">
        <v>5.1270593942620124E-2</v>
      </c>
      <c r="R438">
        <f t="shared" si="67"/>
        <v>4.3863594699111275E-2</v>
      </c>
      <c r="S438">
        <f t="shared" si="68"/>
        <v>7.4069992435088494E-3</v>
      </c>
      <c r="T438">
        <v>4.2433598414596041E-2</v>
      </c>
    </row>
    <row r="439" spans="2:20" x14ac:dyDescent="0.25">
      <c r="B439">
        <f t="shared" si="60"/>
        <v>438</v>
      </c>
      <c r="C439">
        <v>4.7757789259899042E-2</v>
      </c>
      <c r="D439">
        <f t="shared" si="63"/>
        <v>30.201396660612481</v>
      </c>
      <c r="E439">
        <f t="shared" si="61"/>
        <v>30.201396660612481</v>
      </c>
      <c r="F439">
        <f t="shared" si="62"/>
        <v>4.4642433611268476E-2</v>
      </c>
      <c r="G439">
        <f t="shared" si="64"/>
        <v>30.022826926167408</v>
      </c>
      <c r="H439">
        <f t="shared" si="65"/>
        <v>3.1153556486305661E-3</v>
      </c>
      <c r="I439">
        <f t="shared" si="66"/>
        <v>30.156754227001212</v>
      </c>
      <c r="P439" s="2">
        <v>34973</v>
      </c>
      <c r="Q439">
        <v>4.7757789259899042E-2</v>
      </c>
      <c r="R439">
        <f t="shared" si="67"/>
        <v>4.4642433611268476E-2</v>
      </c>
      <c r="S439">
        <f t="shared" si="68"/>
        <v>3.1153556486305661E-3</v>
      </c>
      <c r="T439">
        <v>4.2350001572953211E-2</v>
      </c>
    </row>
    <row r="440" spans="2:20" x14ac:dyDescent="0.25">
      <c r="B440">
        <f t="shared" si="60"/>
        <v>439</v>
      </c>
      <c r="C440">
        <v>4.6472870435952274E-2</v>
      </c>
      <c r="D440">
        <f t="shared" si="63"/>
        <v>30.247869531048433</v>
      </c>
      <c r="E440">
        <f t="shared" si="61"/>
        <v>30.247869531048433</v>
      </c>
      <c r="F440">
        <f t="shared" si="62"/>
        <v>4.5008520976205092E-2</v>
      </c>
      <c r="G440">
        <f t="shared" si="64"/>
        <v>30.067835447143612</v>
      </c>
      <c r="H440">
        <f t="shared" si="65"/>
        <v>1.4643494597471815E-3</v>
      </c>
      <c r="I440">
        <f t="shared" si="66"/>
        <v>30.20286101007223</v>
      </c>
      <c r="P440" s="2">
        <v>35004</v>
      </c>
      <c r="Q440">
        <v>4.6472870435952274E-2</v>
      </c>
      <c r="R440">
        <f t="shared" si="67"/>
        <v>4.5008520976205092E-2</v>
      </c>
      <c r="S440">
        <f t="shared" si="68"/>
        <v>1.4643494597471815E-3</v>
      </c>
      <c r="T440">
        <v>4.2183792303505108E-2</v>
      </c>
    </row>
    <row r="441" spans="2:20" x14ac:dyDescent="0.25">
      <c r="B441">
        <f t="shared" si="60"/>
        <v>440</v>
      </c>
      <c r="C441">
        <v>4.2280946449876566E-2</v>
      </c>
      <c r="D441">
        <f t="shared" si="63"/>
        <v>30.290150477498308</v>
      </c>
      <c r="E441">
        <f t="shared" si="61"/>
        <v>30.290150477498308</v>
      </c>
      <c r="F441">
        <f t="shared" si="62"/>
        <v>4.4463006070939316E-2</v>
      </c>
      <c r="G441">
        <f t="shared" si="64"/>
        <v>30.112298453214549</v>
      </c>
      <c r="H441">
        <f t="shared" si="65"/>
        <v>-2.1820596210627499E-3</v>
      </c>
      <c r="I441">
        <f t="shared" si="66"/>
        <v>30.24568747142737</v>
      </c>
      <c r="P441" s="2">
        <v>35034</v>
      </c>
      <c r="Q441">
        <v>4.2280946449876566E-2</v>
      </c>
      <c r="R441">
        <f t="shared" si="67"/>
        <v>4.4463006070939316E-2</v>
      </c>
      <c r="S441">
        <f t="shared" si="68"/>
        <v>-2.1820596210627499E-3</v>
      </c>
      <c r="T441">
        <v>4.2059989127364084E-2</v>
      </c>
    </row>
    <row r="442" spans="2:20" x14ac:dyDescent="0.25">
      <c r="B442">
        <f t="shared" si="60"/>
        <v>441</v>
      </c>
      <c r="C442">
        <v>4.1145087152390403E-2</v>
      </c>
      <c r="D442">
        <f t="shared" si="63"/>
        <v>30.331295564650699</v>
      </c>
      <c r="E442">
        <f t="shared" si="61"/>
        <v>30.331295564650699</v>
      </c>
      <c r="F442">
        <f t="shared" si="62"/>
        <v>4.3799422287229821E-2</v>
      </c>
      <c r="G442">
        <f t="shared" si="64"/>
        <v>30.156097875501779</v>
      </c>
      <c r="H442">
        <f t="shared" si="65"/>
        <v>-2.6543351348394181E-3</v>
      </c>
      <c r="I442">
        <f t="shared" si="66"/>
        <v>30.287496142363469</v>
      </c>
      <c r="P442" s="2">
        <v>35065</v>
      </c>
      <c r="Q442">
        <v>4.1145087152390403E-2</v>
      </c>
      <c r="R442">
        <f t="shared" si="67"/>
        <v>4.3799422287229821E-2</v>
      </c>
      <c r="S442">
        <f t="shared" si="68"/>
        <v>-2.6543351348394181E-3</v>
      </c>
      <c r="T442">
        <v>4.1936910618861845E-2</v>
      </c>
    </row>
    <row r="443" spans="2:20" x14ac:dyDescent="0.25">
      <c r="B443">
        <f t="shared" si="60"/>
        <v>442</v>
      </c>
      <c r="C443">
        <v>4.3168274003225093E-2</v>
      </c>
      <c r="D443">
        <f t="shared" si="63"/>
        <v>30.374463838653924</v>
      </c>
      <c r="E443">
        <f t="shared" si="61"/>
        <v>30.374463838653924</v>
      </c>
      <c r="F443">
        <f t="shared" si="62"/>
        <v>4.3673192630429014E-2</v>
      </c>
      <c r="G443">
        <f t="shared" si="64"/>
        <v>30.199771068132208</v>
      </c>
      <c r="H443">
        <f t="shared" si="65"/>
        <v>-5.0491862720392078E-4</v>
      </c>
      <c r="I443">
        <f t="shared" si="66"/>
        <v>30.330790646023495</v>
      </c>
      <c r="P443" s="2">
        <v>35096</v>
      </c>
      <c r="Q443">
        <v>4.3168274003225093E-2</v>
      </c>
      <c r="R443">
        <f t="shared" si="67"/>
        <v>4.3673192630429014E-2</v>
      </c>
      <c r="S443">
        <f t="shared" si="68"/>
        <v>-5.0491862720392078E-4</v>
      </c>
      <c r="T443">
        <v>4.1773922245637252E-2</v>
      </c>
    </row>
    <row r="444" spans="2:20" x14ac:dyDescent="0.25">
      <c r="B444">
        <f t="shared" si="60"/>
        <v>443</v>
      </c>
      <c r="C444">
        <v>4.7264359814828794E-2</v>
      </c>
      <c r="D444">
        <f t="shared" si="63"/>
        <v>30.421728198468752</v>
      </c>
      <c r="E444">
        <f t="shared" si="61"/>
        <v>30.421728198468752</v>
      </c>
      <c r="F444">
        <f t="shared" si="62"/>
        <v>4.4391426067308976E-2</v>
      </c>
      <c r="G444">
        <f t="shared" si="64"/>
        <v>30.244162494199518</v>
      </c>
      <c r="H444">
        <f t="shared" si="65"/>
        <v>2.872933747519818E-3</v>
      </c>
      <c r="I444">
        <f t="shared" si="66"/>
        <v>30.377336772401442</v>
      </c>
      <c r="P444" s="2">
        <v>35125</v>
      </c>
      <c r="Q444">
        <v>4.7264359814828794E-2</v>
      </c>
      <c r="R444">
        <f t="shared" si="67"/>
        <v>4.4391426067308976E-2</v>
      </c>
      <c r="S444">
        <f t="shared" si="68"/>
        <v>2.872933747519818E-3</v>
      </c>
      <c r="T444">
        <v>4.0703293113503847E-2</v>
      </c>
    </row>
    <row r="445" spans="2:20" x14ac:dyDescent="0.25">
      <c r="B445">
        <f t="shared" si="60"/>
        <v>444</v>
      </c>
      <c r="C445">
        <v>5.0788965554469101E-2</v>
      </c>
      <c r="D445">
        <f t="shared" si="63"/>
        <v>30.472517164023223</v>
      </c>
      <c r="E445">
        <f t="shared" si="61"/>
        <v>30.472517164023223</v>
      </c>
      <c r="F445">
        <f t="shared" si="62"/>
        <v>4.5670933964741069E-2</v>
      </c>
      <c r="G445">
        <f t="shared" si="64"/>
        <v>30.289833428164258</v>
      </c>
      <c r="H445">
        <f t="shared" si="65"/>
        <v>5.1180315897280323E-3</v>
      </c>
      <c r="I445">
        <f t="shared" si="66"/>
        <v>30.426846230058484</v>
      </c>
      <c r="P445" s="2">
        <v>35156</v>
      </c>
      <c r="Q445">
        <v>5.0788965554469101E-2</v>
      </c>
      <c r="R445">
        <f t="shared" si="67"/>
        <v>4.5670933964741069E-2</v>
      </c>
      <c r="S445">
        <f t="shared" si="68"/>
        <v>5.1180315897280323E-3</v>
      </c>
      <c r="T445">
        <v>3.9637861759038273E-2</v>
      </c>
    </row>
    <row r="446" spans="2:20" x14ac:dyDescent="0.25">
      <c r="B446">
        <f t="shared" si="60"/>
        <v>445</v>
      </c>
      <c r="C446">
        <v>4.9913467346495821E-2</v>
      </c>
      <c r="D446">
        <f t="shared" si="63"/>
        <v>30.522430631369719</v>
      </c>
      <c r="E446">
        <f t="shared" si="61"/>
        <v>30.522430631369719</v>
      </c>
      <c r="F446">
        <f t="shared" si="62"/>
        <v>4.6519440641092306E-2</v>
      </c>
      <c r="G446">
        <f t="shared" si="64"/>
        <v>30.336352868805349</v>
      </c>
      <c r="H446">
        <f t="shared" si="65"/>
        <v>3.3940267054035148E-3</v>
      </c>
      <c r="I446">
        <f t="shared" si="66"/>
        <v>30.475911190728628</v>
      </c>
      <c r="P446" s="2">
        <v>35186</v>
      </c>
      <c r="Q446">
        <v>4.9913467346495821E-2</v>
      </c>
      <c r="R446">
        <f t="shared" si="67"/>
        <v>4.6519440641092306E-2</v>
      </c>
      <c r="S446">
        <f t="shared" si="68"/>
        <v>3.3940267054035148E-3</v>
      </c>
      <c r="T446">
        <v>3.4652167705572445E-2</v>
      </c>
    </row>
    <row r="447" spans="2:20" x14ac:dyDescent="0.25">
      <c r="B447">
        <f t="shared" si="60"/>
        <v>446</v>
      </c>
      <c r="C447">
        <v>4.9156817448260171E-2</v>
      </c>
      <c r="D447">
        <f t="shared" si="63"/>
        <v>30.571587448817979</v>
      </c>
      <c r="E447">
        <f t="shared" si="61"/>
        <v>30.571587448817979</v>
      </c>
      <c r="F447">
        <f t="shared" si="62"/>
        <v>4.7046916002526022E-2</v>
      </c>
      <c r="G447">
        <f t="shared" si="64"/>
        <v>30.383399784807875</v>
      </c>
      <c r="H447">
        <f t="shared" si="65"/>
        <v>2.1099014457341483E-3</v>
      </c>
      <c r="I447">
        <f t="shared" si="66"/>
        <v>30.524540532815454</v>
      </c>
      <c r="P447" s="2">
        <v>35217</v>
      </c>
      <c r="Q447">
        <v>4.9156817448260171E-2</v>
      </c>
      <c r="R447">
        <f t="shared" si="67"/>
        <v>4.7046916002526022E-2</v>
      </c>
      <c r="S447">
        <f t="shared" si="68"/>
        <v>2.1099014457341483E-3</v>
      </c>
      <c r="T447">
        <v>3.5427352611232976E-2</v>
      </c>
    </row>
    <row r="448" spans="2:20" x14ac:dyDescent="0.25">
      <c r="B448">
        <f t="shared" si="60"/>
        <v>447</v>
      </c>
      <c r="C448">
        <v>4.6192019429803111E-2</v>
      </c>
      <c r="D448">
        <f t="shared" si="63"/>
        <v>30.617779468247782</v>
      </c>
      <c r="E448">
        <f t="shared" si="61"/>
        <v>30.617779468247782</v>
      </c>
      <c r="F448">
        <f t="shared" si="62"/>
        <v>4.6875936687981581E-2</v>
      </c>
      <c r="G448">
        <f t="shared" si="64"/>
        <v>30.430275721495857</v>
      </c>
      <c r="H448">
        <f t="shared" si="65"/>
        <v>-6.8391725817847082E-4</v>
      </c>
      <c r="I448">
        <f t="shared" si="66"/>
        <v>30.5709035315598</v>
      </c>
      <c r="P448" s="2">
        <v>35247</v>
      </c>
      <c r="Q448">
        <v>4.6192019429803111E-2</v>
      </c>
      <c r="R448">
        <f t="shared" si="67"/>
        <v>4.6875936687981581E-2</v>
      </c>
      <c r="S448">
        <f t="shared" si="68"/>
        <v>-6.8391725817847082E-4</v>
      </c>
      <c r="T448">
        <v>3.7200283686090962E-2</v>
      </c>
    </row>
    <row r="449" spans="2:20" x14ac:dyDescent="0.25">
      <c r="B449">
        <f t="shared" si="60"/>
        <v>448</v>
      </c>
      <c r="C449">
        <v>4.735065394705984E-2</v>
      </c>
      <c r="D449">
        <f t="shared" si="63"/>
        <v>30.665130122194842</v>
      </c>
      <c r="E449">
        <f t="shared" si="61"/>
        <v>30.665130122194842</v>
      </c>
      <c r="F449">
        <f t="shared" si="62"/>
        <v>4.697088013979709E-2</v>
      </c>
      <c r="G449">
        <f t="shared" si="64"/>
        <v>30.477246601635652</v>
      </c>
      <c r="H449">
        <f t="shared" si="65"/>
        <v>3.7977380726274962E-4</v>
      </c>
      <c r="I449">
        <f t="shared" si="66"/>
        <v>30.618159242055047</v>
      </c>
      <c r="P449" s="2">
        <v>35278</v>
      </c>
      <c r="Q449">
        <v>4.735065394705984E-2</v>
      </c>
      <c r="R449">
        <f t="shared" si="67"/>
        <v>4.697088013979709E-2</v>
      </c>
      <c r="S449">
        <f t="shared" si="68"/>
        <v>3.7977380726274962E-4</v>
      </c>
      <c r="T449">
        <v>3.5191458336313097E-2</v>
      </c>
    </row>
    <row r="450" spans="2:20" x14ac:dyDescent="0.25">
      <c r="B450">
        <f t="shared" si="60"/>
        <v>449</v>
      </c>
      <c r="C450">
        <v>4.7279426858251483E-2</v>
      </c>
      <c r="D450">
        <f t="shared" si="63"/>
        <v>30.712409549053092</v>
      </c>
      <c r="E450">
        <f t="shared" si="61"/>
        <v>30.712409549053092</v>
      </c>
      <c r="F450">
        <f t="shared" si="62"/>
        <v>4.7032589483487902E-2</v>
      </c>
      <c r="G450">
        <f t="shared" si="64"/>
        <v>30.524279191119142</v>
      </c>
      <c r="H450">
        <f t="shared" si="65"/>
        <v>2.4683737476358103E-4</v>
      </c>
      <c r="I450">
        <f t="shared" si="66"/>
        <v>30.665376959569603</v>
      </c>
      <c r="P450" s="2">
        <v>35309</v>
      </c>
      <c r="Q450">
        <v>4.7279426858251483E-2</v>
      </c>
      <c r="R450">
        <f t="shared" si="67"/>
        <v>4.7032589483487902E-2</v>
      </c>
      <c r="S450">
        <f t="shared" si="68"/>
        <v>2.4683737476358103E-4</v>
      </c>
      <c r="T450">
        <v>3.5124635931278014E-2</v>
      </c>
    </row>
    <row r="451" spans="2:20" x14ac:dyDescent="0.25">
      <c r="B451">
        <f t="shared" si="60"/>
        <v>450</v>
      </c>
      <c r="C451">
        <v>4.8118346878460727E-2</v>
      </c>
      <c r="D451">
        <f t="shared" si="63"/>
        <v>30.760527895931553</v>
      </c>
      <c r="E451">
        <f t="shared" si="61"/>
        <v>30.760527895931553</v>
      </c>
      <c r="F451">
        <f t="shared" si="62"/>
        <v>4.7249740962482183E-2</v>
      </c>
      <c r="G451">
        <f t="shared" si="64"/>
        <v>30.571528932081623</v>
      </c>
      <c r="H451">
        <f t="shared" si="65"/>
        <v>8.6860591597854447E-4</v>
      </c>
      <c r="I451">
        <f t="shared" si="66"/>
        <v>30.713278154969071</v>
      </c>
      <c r="P451" s="2">
        <v>35339</v>
      </c>
      <c r="Q451">
        <v>4.8118346878460727E-2</v>
      </c>
      <c r="R451">
        <f t="shared" si="67"/>
        <v>4.7249740962482183E-2</v>
      </c>
      <c r="S451">
        <f t="shared" si="68"/>
        <v>8.6860591597854447E-4</v>
      </c>
      <c r="T451">
        <v>3.5988732332235429E-2</v>
      </c>
    </row>
    <row r="452" spans="2:20" x14ac:dyDescent="0.25">
      <c r="B452">
        <f t="shared" ref="B452:B515" si="69">B451+1</f>
        <v>451</v>
      </c>
      <c r="C452">
        <v>4.8776147600573694E-2</v>
      </c>
      <c r="D452">
        <f t="shared" si="63"/>
        <v>30.809304043532126</v>
      </c>
      <c r="E452">
        <f t="shared" ref="E452:E515" si="70">D452</f>
        <v>30.809304043532126</v>
      </c>
      <c r="F452">
        <f t="shared" ref="F452:F515" si="71">$K$1*(E452-G451)</f>
        <v>4.7555022290100626E-2</v>
      </c>
      <c r="G452">
        <f t="shared" si="64"/>
        <v>30.619083954371725</v>
      </c>
      <c r="H452">
        <f t="shared" si="65"/>
        <v>1.2211253104730674E-3</v>
      </c>
      <c r="I452">
        <f t="shared" si="66"/>
        <v>30.761749021242025</v>
      </c>
      <c r="P452" s="2">
        <v>35370</v>
      </c>
      <c r="Q452">
        <v>4.8776147600573694E-2</v>
      </c>
      <c r="R452">
        <f t="shared" si="67"/>
        <v>4.7555022290100626E-2</v>
      </c>
      <c r="S452">
        <f t="shared" si="68"/>
        <v>1.2211253104730674E-3</v>
      </c>
      <c r="T452">
        <v>3.3997608541419311E-2</v>
      </c>
    </row>
    <row r="453" spans="2:20" x14ac:dyDescent="0.25">
      <c r="B453">
        <f t="shared" si="69"/>
        <v>452</v>
      </c>
      <c r="C453">
        <v>5.5432685360855771E-2</v>
      </c>
      <c r="D453">
        <f t="shared" si="63"/>
        <v>30.864736728892982</v>
      </c>
      <c r="E453">
        <f t="shared" si="70"/>
        <v>30.864736728892982</v>
      </c>
      <c r="F453">
        <f t="shared" si="71"/>
        <v>4.9130554904251514E-2</v>
      </c>
      <c r="G453">
        <f t="shared" si="64"/>
        <v>30.668214509275977</v>
      </c>
      <c r="H453">
        <f t="shared" si="65"/>
        <v>6.3021304566042574E-3</v>
      </c>
      <c r="I453">
        <f t="shared" si="66"/>
        <v>30.81560617398873</v>
      </c>
      <c r="P453" s="2">
        <v>35400</v>
      </c>
      <c r="Q453">
        <v>5.5432685360855771E-2</v>
      </c>
      <c r="R453">
        <f t="shared" si="67"/>
        <v>4.9130554904251514E-2</v>
      </c>
      <c r="S453">
        <f t="shared" si="68"/>
        <v>6.3021304566042574E-3</v>
      </c>
      <c r="T453">
        <v>3.2975196815550056E-2</v>
      </c>
    </row>
    <row r="454" spans="2:20" x14ac:dyDescent="0.25">
      <c r="B454">
        <f t="shared" si="69"/>
        <v>453</v>
      </c>
      <c r="C454">
        <v>5.6884550537473544E-2</v>
      </c>
      <c r="D454">
        <f t="shared" si="63"/>
        <v>30.921621279430454</v>
      </c>
      <c r="E454">
        <f t="shared" si="70"/>
        <v>30.921621279430454</v>
      </c>
      <c r="F454">
        <f t="shared" si="71"/>
        <v>5.0681354030895423E-2</v>
      </c>
      <c r="G454">
        <f t="shared" si="64"/>
        <v>30.718895863306873</v>
      </c>
      <c r="H454">
        <f t="shared" si="65"/>
        <v>6.2031965065781208E-3</v>
      </c>
      <c r="I454">
        <f t="shared" si="66"/>
        <v>30.870939925399558</v>
      </c>
      <c r="P454" s="2">
        <v>35431</v>
      </c>
      <c r="Q454">
        <v>5.6884550537473544E-2</v>
      </c>
      <c r="R454">
        <f t="shared" si="67"/>
        <v>5.0681354030895423E-2</v>
      </c>
      <c r="S454">
        <f t="shared" si="68"/>
        <v>6.2031965065781208E-3</v>
      </c>
      <c r="T454">
        <v>3.1957606768671099E-2</v>
      </c>
    </row>
    <row r="455" spans="2:20" x14ac:dyDescent="0.25">
      <c r="B455">
        <f t="shared" si="69"/>
        <v>454</v>
      </c>
      <c r="C455">
        <v>5.6550074565262065E-2</v>
      </c>
      <c r="D455">
        <f t="shared" si="63"/>
        <v>30.978171353995716</v>
      </c>
      <c r="E455">
        <f t="shared" si="70"/>
        <v>30.978171353995716</v>
      </c>
      <c r="F455">
        <f t="shared" si="71"/>
        <v>5.1855098137768611E-2</v>
      </c>
      <c r="G455">
        <f t="shared" si="64"/>
        <v>30.770750961444641</v>
      </c>
      <c r="H455">
        <f t="shared" si="65"/>
        <v>4.6949764274934538E-3</v>
      </c>
      <c r="I455">
        <f t="shared" si="66"/>
        <v>30.926316255857948</v>
      </c>
      <c r="P455" s="2">
        <v>35462</v>
      </c>
      <c r="Q455">
        <v>5.6550074565262065E-2</v>
      </c>
      <c r="R455">
        <f t="shared" si="67"/>
        <v>5.1855098137768611E-2</v>
      </c>
      <c r="S455">
        <f t="shared" si="68"/>
        <v>4.6949764274934538E-3</v>
      </c>
      <c r="T455">
        <v>3.1837895097608815E-2</v>
      </c>
    </row>
    <row r="456" spans="2:20" x14ac:dyDescent="0.25">
      <c r="B456">
        <f t="shared" si="69"/>
        <v>455</v>
      </c>
      <c r="C456">
        <v>5.627677199595027E-2</v>
      </c>
      <c r="D456">
        <f t="shared" si="63"/>
        <v>31.034448125991666</v>
      </c>
      <c r="E456">
        <f t="shared" si="70"/>
        <v>31.034448125991666</v>
      </c>
      <c r="F456">
        <f t="shared" si="71"/>
        <v>5.2739432909405082E-2</v>
      </c>
      <c r="G456">
        <f t="shared" si="64"/>
        <v>30.823490394354046</v>
      </c>
      <c r="H456">
        <f t="shared" si="65"/>
        <v>3.5373390865451881E-3</v>
      </c>
      <c r="I456">
        <f t="shared" si="66"/>
        <v>30.981708693082261</v>
      </c>
      <c r="P456" s="2">
        <v>35490</v>
      </c>
      <c r="Q456">
        <v>5.627677199595027E-2</v>
      </c>
      <c r="R456">
        <f t="shared" si="67"/>
        <v>5.2739432909405082E-2</v>
      </c>
      <c r="S456">
        <f t="shared" si="68"/>
        <v>3.5373390865451881E-3</v>
      </c>
      <c r="T456">
        <v>3.4534463089213929E-2</v>
      </c>
    </row>
    <row r="457" spans="2:20" x14ac:dyDescent="0.25">
      <c r="B457">
        <f t="shared" si="69"/>
        <v>456</v>
      </c>
      <c r="C457">
        <v>5.4601856848952579E-2</v>
      </c>
      <c r="D457">
        <f t="shared" si="63"/>
        <v>31.089049982840621</v>
      </c>
      <c r="E457">
        <f t="shared" si="70"/>
        <v>31.089049982840621</v>
      </c>
      <c r="F457">
        <f t="shared" si="71"/>
        <v>5.3111917697314937E-2</v>
      </c>
      <c r="G457">
        <f t="shared" si="64"/>
        <v>30.876602312051361</v>
      </c>
      <c r="H457">
        <f t="shared" si="65"/>
        <v>1.4899391516376426E-3</v>
      </c>
      <c r="I457">
        <f t="shared" si="66"/>
        <v>31.035938065143306</v>
      </c>
      <c r="P457" s="2">
        <v>35521</v>
      </c>
      <c r="Q457">
        <v>5.4601856848952579E-2</v>
      </c>
      <c r="R457">
        <f t="shared" si="67"/>
        <v>5.3111917697314937E-2</v>
      </c>
      <c r="S457">
        <f t="shared" si="68"/>
        <v>1.4899391516376426E-3</v>
      </c>
      <c r="T457">
        <v>3.7213596340434307E-2</v>
      </c>
    </row>
    <row r="458" spans="2:20" x14ac:dyDescent="0.25">
      <c r="B458">
        <f t="shared" si="69"/>
        <v>457</v>
      </c>
      <c r="C458">
        <v>5.6181447835740528E-2</v>
      </c>
      <c r="D458">
        <f t="shared" si="63"/>
        <v>31.145231430676361</v>
      </c>
      <c r="E458">
        <f t="shared" si="70"/>
        <v>31.145231430676361</v>
      </c>
      <c r="F458">
        <f t="shared" si="71"/>
        <v>5.3725823725000059E-2</v>
      </c>
      <c r="G458">
        <f t="shared" si="64"/>
        <v>30.93032813577636</v>
      </c>
      <c r="H458">
        <f t="shared" si="65"/>
        <v>2.4556241107404689E-3</v>
      </c>
      <c r="I458">
        <f t="shared" si="66"/>
        <v>31.091505606951362</v>
      </c>
      <c r="P458" s="2">
        <v>35551</v>
      </c>
      <c r="Q458">
        <v>5.6181447835740528E-2</v>
      </c>
      <c r="R458">
        <f t="shared" si="67"/>
        <v>5.3725823725000059E-2</v>
      </c>
      <c r="S458">
        <f t="shared" si="68"/>
        <v>2.4556241107404689E-3</v>
      </c>
      <c r="T458">
        <v>3.8965968533384299E-2</v>
      </c>
    </row>
    <row r="459" spans="2:20" x14ac:dyDescent="0.25">
      <c r="B459">
        <f t="shared" si="69"/>
        <v>458</v>
      </c>
      <c r="C459">
        <v>6.1164337981651329E-2</v>
      </c>
      <c r="D459">
        <f t="shared" si="63"/>
        <v>31.206395768658012</v>
      </c>
      <c r="E459">
        <f t="shared" si="70"/>
        <v>31.206395768658012</v>
      </c>
      <c r="F459">
        <f t="shared" si="71"/>
        <v>5.5213526576330454E-2</v>
      </c>
      <c r="G459">
        <f t="shared" si="64"/>
        <v>30.985541662352691</v>
      </c>
      <c r="H459">
        <f t="shared" si="65"/>
        <v>5.9508114053208744E-3</v>
      </c>
      <c r="I459">
        <f t="shared" si="66"/>
        <v>31.151182242081681</v>
      </c>
      <c r="P459" s="2">
        <v>35582</v>
      </c>
      <c r="Q459">
        <v>6.1164337981651329E-2</v>
      </c>
      <c r="R459">
        <f t="shared" si="67"/>
        <v>5.5213526576330454E-2</v>
      </c>
      <c r="S459">
        <f t="shared" si="68"/>
        <v>5.9508114053208744E-3</v>
      </c>
      <c r="T459">
        <v>3.1484081933283115E-2</v>
      </c>
    </row>
    <row r="460" spans="2:20" x14ac:dyDescent="0.25">
      <c r="B460">
        <f t="shared" si="69"/>
        <v>459</v>
      </c>
      <c r="C460">
        <v>6.349069431045784E-2</v>
      </c>
      <c r="D460">
        <f t="shared" si="63"/>
        <v>31.269886462968472</v>
      </c>
      <c r="E460">
        <f t="shared" si="70"/>
        <v>31.269886462968472</v>
      </c>
      <c r="F460">
        <f t="shared" si="71"/>
        <v>5.6868960123156148E-2</v>
      </c>
      <c r="G460">
        <f t="shared" si="64"/>
        <v>31.042410622475849</v>
      </c>
      <c r="H460">
        <f t="shared" si="65"/>
        <v>6.6217341873016922E-3</v>
      </c>
      <c r="I460">
        <f t="shared" si="66"/>
        <v>31.213017502845315</v>
      </c>
      <c r="P460" s="2">
        <v>35612</v>
      </c>
      <c r="Q460">
        <v>6.349069431045784E-2</v>
      </c>
      <c r="R460">
        <f t="shared" si="67"/>
        <v>5.6868960123156148E-2</v>
      </c>
      <c r="S460">
        <f t="shared" si="68"/>
        <v>6.6217341873016922E-3</v>
      </c>
      <c r="T460">
        <v>2.1306966312930165E-2</v>
      </c>
    </row>
    <row r="461" spans="2:20" x14ac:dyDescent="0.25">
      <c r="B461">
        <f t="shared" si="69"/>
        <v>460</v>
      </c>
      <c r="C461">
        <v>6.5682437160324625E-2</v>
      </c>
      <c r="D461">
        <f t="shared" si="63"/>
        <v>31.335568900128798</v>
      </c>
      <c r="E461">
        <f t="shared" si="70"/>
        <v>31.335568900128798</v>
      </c>
      <c r="F461">
        <f t="shared" si="71"/>
        <v>5.863165553058991E-2</v>
      </c>
      <c r="G461">
        <f t="shared" si="64"/>
        <v>31.101042278006439</v>
      </c>
      <c r="H461">
        <f t="shared" si="65"/>
        <v>7.0507816297347148E-3</v>
      </c>
      <c r="I461">
        <f t="shared" si="66"/>
        <v>31.276937244598209</v>
      </c>
      <c r="P461" s="2">
        <v>35643</v>
      </c>
      <c r="Q461">
        <v>6.5682437160324625E-2</v>
      </c>
      <c r="R461">
        <f t="shared" si="67"/>
        <v>5.863165553058991E-2</v>
      </c>
      <c r="S461">
        <f t="shared" si="68"/>
        <v>7.0507816297347148E-3</v>
      </c>
      <c r="T461">
        <v>1.5762959665257981E-2</v>
      </c>
    </row>
    <row r="462" spans="2:20" x14ac:dyDescent="0.25">
      <c r="B462">
        <f t="shared" si="69"/>
        <v>461</v>
      </c>
      <c r="C462">
        <v>6.8368726665095636E-2</v>
      </c>
      <c r="D462">
        <f t="shared" si="63"/>
        <v>31.403937626793894</v>
      </c>
      <c r="E462">
        <f t="shared" si="70"/>
        <v>31.403937626793894</v>
      </c>
      <c r="F462">
        <f t="shared" si="71"/>
        <v>6.0579069757491055E-2</v>
      </c>
      <c r="G462">
        <f t="shared" si="64"/>
        <v>31.16162134776393</v>
      </c>
      <c r="H462">
        <f t="shared" si="65"/>
        <v>7.7896569076045807E-3</v>
      </c>
      <c r="I462">
        <f t="shared" si="66"/>
        <v>31.343358557036403</v>
      </c>
      <c r="P462" s="2">
        <v>35674</v>
      </c>
      <c r="Q462">
        <v>6.8368726665095636E-2</v>
      </c>
      <c r="R462">
        <f t="shared" si="67"/>
        <v>6.0579069757491055E-2</v>
      </c>
      <c r="S462">
        <f t="shared" si="68"/>
        <v>7.7896569076045807E-3</v>
      </c>
      <c r="T462">
        <v>1.6651633592442039E-2</v>
      </c>
    </row>
    <row r="463" spans="2:20" x14ac:dyDescent="0.25">
      <c r="B463">
        <f t="shared" si="69"/>
        <v>462</v>
      </c>
      <c r="C463">
        <v>6.8777794596133646E-2</v>
      </c>
      <c r="D463">
        <f t="shared" si="63"/>
        <v>31.472715421390028</v>
      </c>
      <c r="E463">
        <f t="shared" si="70"/>
        <v>31.472715421390028</v>
      </c>
      <c r="F463">
        <f t="shared" si="71"/>
        <v>6.2218814725219576E-2</v>
      </c>
      <c r="G463">
        <f t="shared" si="64"/>
        <v>31.22384016248915</v>
      </c>
      <c r="H463">
        <f t="shared" si="65"/>
        <v>6.5589798709140695E-3</v>
      </c>
      <c r="I463">
        <f t="shared" si="66"/>
        <v>31.410496606664807</v>
      </c>
      <c r="P463" s="2">
        <v>35704</v>
      </c>
      <c r="Q463">
        <v>6.8777794596133646E-2</v>
      </c>
      <c r="R463">
        <f t="shared" si="67"/>
        <v>6.2218814725219576E-2</v>
      </c>
      <c r="S463">
        <f t="shared" si="68"/>
        <v>6.5589798709140695E-3</v>
      </c>
      <c r="T463">
        <v>1.7520042420163584E-2</v>
      </c>
    </row>
    <row r="464" spans="2:20" x14ac:dyDescent="0.25">
      <c r="B464">
        <f t="shared" si="69"/>
        <v>463</v>
      </c>
      <c r="C464">
        <v>6.8902820965149658E-2</v>
      </c>
      <c r="D464">
        <f t="shared" si="63"/>
        <v>31.541618242355177</v>
      </c>
      <c r="E464">
        <f t="shared" si="70"/>
        <v>31.541618242355177</v>
      </c>
      <c r="F464">
        <f t="shared" si="71"/>
        <v>6.3555615973205457E-2</v>
      </c>
      <c r="G464">
        <f t="shared" si="64"/>
        <v>31.287395778462354</v>
      </c>
      <c r="H464">
        <f t="shared" si="65"/>
        <v>5.3472049919442016E-3</v>
      </c>
      <c r="I464">
        <f t="shared" si="66"/>
        <v>31.478062626381973</v>
      </c>
      <c r="P464" s="2">
        <v>35735</v>
      </c>
      <c r="Q464">
        <v>6.8902820965149658E-2</v>
      </c>
      <c r="R464">
        <f t="shared" si="67"/>
        <v>6.3555615973205457E-2</v>
      </c>
      <c r="S464">
        <f t="shared" si="68"/>
        <v>5.3472049919442016E-3</v>
      </c>
      <c r="T464">
        <v>1.6574965094212857E-2</v>
      </c>
    </row>
    <row r="465" spans="2:20" x14ac:dyDescent="0.25">
      <c r="B465">
        <f t="shared" si="69"/>
        <v>464</v>
      </c>
      <c r="C465">
        <v>6.6307373241670575E-2</v>
      </c>
      <c r="D465">
        <f t="shared" si="63"/>
        <v>31.607925615596848</v>
      </c>
      <c r="E465">
        <f t="shared" si="70"/>
        <v>31.607925615596848</v>
      </c>
      <c r="F465">
        <f t="shared" si="71"/>
        <v>6.4105967426898766E-2</v>
      </c>
      <c r="G465">
        <f t="shared" si="64"/>
        <v>31.351501745889252</v>
      </c>
      <c r="H465">
        <f t="shared" si="65"/>
        <v>2.2014058147718091E-3</v>
      </c>
      <c r="I465">
        <f t="shared" si="66"/>
        <v>31.543819648169951</v>
      </c>
      <c r="P465" s="2">
        <v>35765</v>
      </c>
      <c r="Q465">
        <v>6.6307373241670575E-2</v>
      </c>
      <c r="R465">
        <f t="shared" si="67"/>
        <v>6.4105967426898766E-2</v>
      </c>
      <c r="S465">
        <f t="shared" si="68"/>
        <v>2.2014058147718091E-3</v>
      </c>
      <c r="T465">
        <v>1.5632502249826707E-2</v>
      </c>
    </row>
    <row r="466" spans="2:20" x14ac:dyDescent="0.25">
      <c r="B466">
        <f t="shared" si="69"/>
        <v>465</v>
      </c>
      <c r="C466">
        <v>7.1504961922661536E-2</v>
      </c>
      <c r="D466">
        <f t="shared" si="63"/>
        <v>31.679430577519511</v>
      </c>
      <c r="E466">
        <f t="shared" si="70"/>
        <v>31.679430577519511</v>
      </c>
      <c r="F466">
        <f t="shared" si="71"/>
        <v>6.5585766326051953E-2</v>
      </c>
      <c r="G466">
        <f t="shared" si="64"/>
        <v>31.417087512215303</v>
      </c>
      <c r="H466">
        <f t="shared" si="65"/>
        <v>5.9191955966095833E-3</v>
      </c>
      <c r="I466">
        <f t="shared" si="66"/>
        <v>31.613844811193459</v>
      </c>
      <c r="P466" s="2">
        <v>35796</v>
      </c>
      <c r="Q466">
        <v>7.1504961922661536E-2</v>
      </c>
      <c r="R466">
        <f t="shared" si="67"/>
        <v>6.5585766326051953E-2</v>
      </c>
      <c r="S466">
        <f t="shared" si="68"/>
        <v>5.9191955966095833E-3</v>
      </c>
      <c r="T466">
        <v>1.7423641147254365E-2</v>
      </c>
    </row>
    <row r="467" spans="2:20" x14ac:dyDescent="0.25">
      <c r="B467">
        <f t="shared" si="69"/>
        <v>466</v>
      </c>
      <c r="C467">
        <v>7.6036613060127323E-2</v>
      </c>
      <c r="D467">
        <f t="shared" si="63"/>
        <v>31.755467190579637</v>
      </c>
      <c r="E467">
        <f t="shared" si="70"/>
        <v>31.755467190579637</v>
      </c>
      <c r="F467">
        <f t="shared" si="71"/>
        <v>6.7675935672866672E-2</v>
      </c>
      <c r="G467">
        <f t="shared" si="64"/>
        <v>31.48476344788817</v>
      </c>
      <c r="H467">
        <f t="shared" si="65"/>
        <v>8.360677387260651E-3</v>
      </c>
      <c r="I467">
        <f t="shared" si="66"/>
        <v>31.68779125490677</v>
      </c>
      <c r="P467" s="2">
        <v>35827</v>
      </c>
      <c r="Q467">
        <v>7.6036613060127323E-2</v>
      </c>
      <c r="R467">
        <f t="shared" si="67"/>
        <v>6.7675935672866672E-2</v>
      </c>
      <c r="S467">
        <f t="shared" si="68"/>
        <v>8.360677387260651E-3</v>
      </c>
      <c r="T467">
        <v>1.5546723738300017E-2</v>
      </c>
    </row>
    <row r="468" spans="2:20" x14ac:dyDescent="0.25">
      <c r="B468">
        <f t="shared" si="69"/>
        <v>467</v>
      </c>
      <c r="C468">
        <v>7.9360383297666814E-2</v>
      </c>
      <c r="D468">
        <f t="shared" si="63"/>
        <v>31.834827573877305</v>
      </c>
      <c r="E468">
        <f t="shared" si="70"/>
        <v>31.834827573877305</v>
      </c>
      <c r="F468">
        <f t="shared" si="71"/>
        <v>7.0012825197827061E-2</v>
      </c>
      <c r="G468">
        <f t="shared" si="64"/>
        <v>31.554776273085999</v>
      </c>
      <c r="H468">
        <f t="shared" si="65"/>
        <v>9.3475580998397534E-3</v>
      </c>
      <c r="I468">
        <f t="shared" si="66"/>
        <v>31.764814748679477</v>
      </c>
      <c r="P468" s="2">
        <v>35855</v>
      </c>
      <c r="Q468">
        <v>7.9360383297666814E-2</v>
      </c>
      <c r="R468">
        <f t="shared" si="67"/>
        <v>7.0012825197827061E-2</v>
      </c>
      <c r="S468">
        <f t="shared" si="68"/>
        <v>9.3475580998397534E-3</v>
      </c>
      <c r="T468">
        <v>1.2762251613851916E-2</v>
      </c>
    </row>
    <row r="469" spans="2:20" x14ac:dyDescent="0.25">
      <c r="B469">
        <f t="shared" si="69"/>
        <v>468</v>
      </c>
      <c r="C469">
        <v>8.1466512904246002E-2</v>
      </c>
      <c r="D469">
        <f t="shared" si="63"/>
        <v>31.916294086781551</v>
      </c>
      <c r="E469">
        <f t="shared" si="70"/>
        <v>31.916294086781551</v>
      </c>
      <c r="F469">
        <f t="shared" si="71"/>
        <v>7.2303562739110566E-2</v>
      </c>
      <c r="G469">
        <f t="shared" si="64"/>
        <v>31.627079835825111</v>
      </c>
      <c r="H469">
        <f t="shared" si="65"/>
        <v>9.1629501651354361E-3</v>
      </c>
      <c r="I469">
        <f t="shared" si="66"/>
        <v>31.843990524042439</v>
      </c>
      <c r="P469" s="2">
        <v>35886</v>
      </c>
      <c r="Q469">
        <v>8.1466512904246002E-2</v>
      </c>
      <c r="R469">
        <f t="shared" si="67"/>
        <v>7.2303562739110566E-2</v>
      </c>
      <c r="S469">
        <f t="shared" si="68"/>
        <v>9.1629501651354361E-3</v>
      </c>
      <c r="T469">
        <v>1.1802225056627869E-2</v>
      </c>
    </row>
    <row r="470" spans="2:20" x14ac:dyDescent="0.25">
      <c r="B470">
        <f t="shared" si="69"/>
        <v>469</v>
      </c>
      <c r="C470">
        <v>8.19487007591988E-2</v>
      </c>
      <c r="D470">
        <f t="shared" si="63"/>
        <v>31.99824278754075</v>
      </c>
      <c r="E470">
        <f t="shared" si="70"/>
        <v>31.99824278754075</v>
      </c>
      <c r="F470">
        <f t="shared" si="71"/>
        <v>7.423259034312793E-2</v>
      </c>
      <c r="G470">
        <f t="shared" si="64"/>
        <v>31.70131242616824</v>
      </c>
      <c r="H470">
        <f t="shared" si="65"/>
        <v>7.7161104160708704E-3</v>
      </c>
      <c r="I470">
        <f t="shared" si="66"/>
        <v>31.924010197197621</v>
      </c>
      <c r="P470" s="2">
        <v>35916</v>
      </c>
      <c r="Q470">
        <v>8.19487007591988E-2</v>
      </c>
      <c r="R470">
        <f t="shared" si="67"/>
        <v>7.423259034312793E-2</v>
      </c>
      <c r="S470">
        <f t="shared" si="68"/>
        <v>7.7161104160708704E-3</v>
      </c>
      <c r="T470">
        <v>1.355646608360761E-2</v>
      </c>
    </row>
    <row r="471" spans="2:20" x14ac:dyDescent="0.25">
      <c r="B471">
        <f t="shared" si="69"/>
        <v>470</v>
      </c>
      <c r="C471">
        <v>7.9062087545697324E-2</v>
      </c>
      <c r="D471">
        <f t="shared" si="63"/>
        <v>32.077304875086448</v>
      </c>
      <c r="E471">
        <f t="shared" si="70"/>
        <v>32.077304875086448</v>
      </c>
      <c r="F471">
        <f t="shared" si="71"/>
        <v>7.519848978364152E-2</v>
      </c>
      <c r="G471">
        <f t="shared" si="64"/>
        <v>31.776510915951881</v>
      </c>
      <c r="H471">
        <f t="shared" si="65"/>
        <v>3.8635977620558037E-3</v>
      </c>
      <c r="I471">
        <f t="shared" si="66"/>
        <v>32.00210638530281</v>
      </c>
      <c r="P471" s="2">
        <v>35947</v>
      </c>
      <c r="Q471">
        <v>7.9062087545697324E-2</v>
      </c>
      <c r="R471">
        <f t="shared" si="67"/>
        <v>7.519848978364152E-2</v>
      </c>
      <c r="S471">
        <f t="shared" si="68"/>
        <v>3.8635977620558037E-3</v>
      </c>
      <c r="T471">
        <v>1.8962193439813646E-2</v>
      </c>
    </row>
    <row r="472" spans="2:20" x14ac:dyDescent="0.25">
      <c r="B472">
        <f t="shared" si="69"/>
        <v>471</v>
      </c>
      <c r="C472">
        <v>7.4404802064552911E-2</v>
      </c>
      <c r="D472">
        <f t="shared" si="63"/>
        <v>32.151709677151004</v>
      </c>
      <c r="E472">
        <f t="shared" si="70"/>
        <v>32.151709677151004</v>
      </c>
      <c r="F472">
        <f t="shared" si="71"/>
        <v>7.5039752239824509E-2</v>
      </c>
      <c r="G472">
        <f t="shared" si="64"/>
        <v>31.851550668191706</v>
      </c>
      <c r="H472">
        <f t="shared" si="65"/>
        <v>-6.3495017527159803E-4</v>
      </c>
      <c r="I472">
        <f t="shared" si="66"/>
        <v>32.07666992491118</v>
      </c>
      <c r="P472" s="2">
        <v>35977</v>
      </c>
      <c r="Q472">
        <v>7.4404802064552911E-2</v>
      </c>
      <c r="R472">
        <f t="shared" si="67"/>
        <v>7.5039752239824509E-2</v>
      </c>
      <c r="S472">
        <f t="shared" si="68"/>
        <v>-6.3495017527159803E-4</v>
      </c>
      <c r="T472">
        <v>2.8018100249571631E-2</v>
      </c>
    </row>
    <row r="473" spans="2:20" x14ac:dyDescent="0.25">
      <c r="B473">
        <f t="shared" si="69"/>
        <v>472</v>
      </c>
      <c r="C473">
        <v>7.4561608540033575E-2</v>
      </c>
      <c r="D473">
        <f t="shared" si="63"/>
        <v>32.226271285691041</v>
      </c>
      <c r="E473">
        <f t="shared" si="70"/>
        <v>32.226271285691041</v>
      </c>
      <c r="F473">
        <f t="shared" si="71"/>
        <v>7.4944123499867038E-2</v>
      </c>
      <c r="G473">
        <f t="shared" si="64"/>
        <v>31.926494791691574</v>
      </c>
      <c r="H473">
        <f t="shared" si="65"/>
        <v>-3.8251495983346318E-4</v>
      </c>
      <c r="I473">
        <f t="shared" si="66"/>
        <v>32.151327162191173</v>
      </c>
      <c r="P473" s="2">
        <v>36008</v>
      </c>
      <c r="Q473">
        <v>7.4561608540033575E-2</v>
      </c>
      <c r="R473">
        <f t="shared" si="67"/>
        <v>7.4944123499867038E-2</v>
      </c>
      <c r="S473">
        <f t="shared" si="68"/>
        <v>-3.8251495983346318E-4</v>
      </c>
      <c r="T473">
        <v>3.6137626918566923E-2</v>
      </c>
    </row>
    <row r="474" spans="2:20" x14ac:dyDescent="0.25">
      <c r="B474">
        <f t="shared" si="69"/>
        <v>473</v>
      </c>
      <c r="C474">
        <v>7.4233175287393038E-2</v>
      </c>
      <c r="D474">
        <f t="shared" si="63"/>
        <v>32.300504460978431</v>
      </c>
      <c r="E474">
        <f t="shared" si="70"/>
        <v>32.300504460978431</v>
      </c>
      <c r="F474">
        <f t="shared" si="71"/>
        <v>7.4801933857371244E-2</v>
      </c>
      <c r="G474">
        <f t="shared" si="64"/>
        <v>32.001296725548947</v>
      </c>
      <c r="H474">
        <f t="shared" si="65"/>
        <v>-5.6875856997820606E-4</v>
      </c>
      <c r="I474">
        <f t="shared" si="66"/>
        <v>32.225702527121058</v>
      </c>
      <c r="P474" s="2">
        <v>36039</v>
      </c>
      <c r="Q474">
        <v>7.4233175287393038E-2</v>
      </c>
      <c r="R474">
        <f t="shared" si="67"/>
        <v>7.4801933857371244E-2</v>
      </c>
      <c r="S474">
        <f t="shared" si="68"/>
        <v>-5.6875856997820606E-4</v>
      </c>
      <c r="T474">
        <v>3.6039936483197366E-2</v>
      </c>
    </row>
    <row r="475" spans="2:20" x14ac:dyDescent="0.25">
      <c r="B475">
        <f t="shared" si="69"/>
        <v>474</v>
      </c>
      <c r="C475">
        <v>7.4384491089350746E-2</v>
      </c>
      <c r="D475">
        <f t="shared" si="63"/>
        <v>32.374888952067778</v>
      </c>
      <c r="E475">
        <f t="shared" si="70"/>
        <v>32.374888952067778</v>
      </c>
      <c r="F475">
        <f t="shared" si="71"/>
        <v>7.4718445303766146E-2</v>
      </c>
      <c r="G475">
        <f t="shared" si="64"/>
        <v>32.076015170852713</v>
      </c>
      <c r="H475">
        <f t="shared" si="65"/>
        <v>-3.3395421441539952E-4</v>
      </c>
      <c r="I475">
        <f t="shared" si="66"/>
        <v>32.300170506764012</v>
      </c>
      <c r="P475" s="2">
        <v>36069</v>
      </c>
      <c r="Q475">
        <v>7.4384491089350746E-2</v>
      </c>
      <c r="R475">
        <f t="shared" si="67"/>
        <v>7.4718445303766146E-2</v>
      </c>
      <c r="S475">
        <f t="shared" si="68"/>
        <v>-3.3395421441539952E-4</v>
      </c>
      <c r="T475">
        <v>3.6791946933576902E-2</v>
      </c>
    </row>
    <row r="476" spans="2:20" x14ac:dyDescent="0.25">
      <c r="B476">
        <f t="shared" si="69"/>
        <v>475</v>
      </c>
      <c r="C476">
        <v>7.5725945761742963E-2</v>
      </c>
      <c r="D476">
        <f t="shared" si="63"/>
        <v>32.450614897829524</v>
      </c>
      <c r="E476">
        <f t="shared" si="70"/>
        <v>32.450614897829524</v>
      </c>
      <c r="F476">
        <f t="shared" si="71"/>
        <v>7.4919945395362217E-2</v>
      </c>
      <c r="G476">
        <f t="shared" si="64"/>
        <v>32.150935116248078</v>
      </c>
      <c r="H476">
        <f t="shared" si="65"/>
        <v>8.0600036638074635E-4</v>
      </c>
      <c r="I476">
        <f t="shared" si="66"/>
        <v>32.375694952434159</v>
      </c>
      <c r="P476" s="2">
        <v>36100</v>
      </c>
      <c r="Q476">
        <v>7.5725945761742963E-2</v>
      </c>
      <c r="R476">
        <f t="shared" si="67"/>
        <v>7.4919945395362217E-2</v>
      </c>
      <c r="S476">
        <f t="shared" si="68"/>
        <v>8.0600036638074635E-4</v>
      </c>
      <c r="T476">
        <v>3.8517972435674785E-2</v>
      </c>
    </row>
    <row r="477" spans="2:20" x14ac:dyDescent="0.25">
      <c r="B477">
        <f t="shared" si="69"/>
        <v>476</v>
      </c>
      <c r="C477">
        <v>7.3606172337660425E-2</v>
      </c>
      <c r="D477">
        <f t="shared" si="63"/>
        <v>32.524221070167187</v>
      </c>
      <c r="E477">
        <f t="shared" si="70"/>
        <v>32.524221070167187</v>
      </c>
      <c r="F477">
        <f t="shared" si="71"/>
        <v>7.4657190783821645E-2</v>
      </c>
      <c r="G477">
        <f t="shared" si="64"/>
        <v>32.225592307031903</v>
      </c>
      <c r="H477">
        <f t="shared" si="65"/>
        <v>-1.0510184461612199E-3</v>
      </c>
      <c r="I477">
        <f t="shared" si="66"/>
        <v>32.449563879383362</v>
      </c>
      <c r="P477" s="2">
        <v>36130</v>
      </c>
      <c r="Q477">
        <v>7.3606172337660425E-2</v>
      </c>
      <c r="R477">
        <f t="shared" si="67"/>
        <v>7.4657190783821645E-2</v>
      </c>
      <c r="S477">
        <f t="shared" si="68"/>
        <v>-1.0510184461612199E-3</v>
      </c>
      <c r="T477">
        <v>4.1989196286849939E-2</v>
      </c>
    </row>
    <row r="478" spans="2:20" x14ac:dyDescent="0.25">
      <c r="B478">
        <f t="shared" si="69"/>
        <v>477</v>
      </c>
      <c r="C478">
        <v>6.7958187606198095E-2</v>
      </c>
      <c r="D478">
        <f t="shared" si="63"/>
        <v>32.592179257773381</v>
      </c>
      <c r="E478">
        <f t="shared" si="70"/>
        <v>32.592179257773381</v>
      </c>
      <c r="F478">
        <f t="shared" si="71"/>
        <v>7.3317390148295664E-2</v>
      </c>
      <c r="G478">
        <f t="shared" si="64"/>
        <v>32.2989096971802</v>
      </c>
      <c r="H478">
        <f t="shared" si="65"/>
        <v>-5.3592025420975686E-3</v>
      </c>
      <c r="I478">
        <f t="shared" si="66"/>
        <v>32.518861867625084</v>
      </c>
      <c r="P478" s="2">
        <v>36161</v>
      </c>
      <c r="Q478">
        <v>6.7958187606198095E-2</v>
      </c>
      <c r="R478">
        <f t="shared" si="67"/>
        <v>7.3317390148295664E-2</v>
      </c>
      <c r="S478">
        <f t="shared" si="68"/>
        <v>-5.3592025420975686E-3</v>
      </c>
      <c r="T478">
        <v>4.1839658342908592E-2</v>
      </c>
    </row>
    <row r="479" spans="2:20" x14ac:dyDescent="0.25">
      <c r="B479">
        <f t="shared" si="69"/>
        <v>478</v>
      </c>
      <c r="C479">
        <v>6.3802649085136665E-2</v>
      </c>
      <c r="D479">
        <f t="shared" si="63"/>
        <v>32.655981906858514</v>
      </c>
      <c r="E479">
        <f t="shared" si="70"/>
        <v>32.655981906858514</v>
      </c>
      <c r="F479">
        <f t="shared" si="71"/>
        <v>7.1414441935662862E-2</v>
      </c>
      <c r="G479">
        <f t="shared" si="64"/>
        <v>32.370324139115866</v>
      </c>
      <c r="H479">
        <f t="shared" si="65"/>
        <v>-7.6117928505261973E-3</v>
      </c>
      <c r="I479">
        <f t="shared" si="66"/>
        <v>32.584567464922849</v>
      </c>
      <c r="P479" s="2">
        <v>36192</v>
      </c>
      <c r="Q479">
        <v>6.3802649085136665E-2</v>
      </c>
      <c r="R479">
        <f t="shared" si="67"/>
        <v>7.1414441935662862E-2</v>
      </c>
      <c r="S479">
        <f t="shared" si="68"/>
        <v>-7.6117928505261973E-3</v>
      </c>
      <c r="T479">
        <v>4.2635231644435834E-2</v>
      </c>
    </row>
    <row r="480" spans="2:20" x14ac:dyDescent="0.25">
      <c r="B480">
        <f t="shared" si="69"/>
        <v>479</v>
      </c>
      <c r="C480">
        <v>5.8988394741882999E-2</v>
      </c>
      <c r="D480">
        <f t="shared" si="63"/>
        <v>32.714970301600395</v>
      </c>
      <c r="E480">
        <f t="shared" si="70"/>
        <v>32.714970301600395</v>
      </c>
      <c r="F480">
        <f t="shared" si="71"/>
        <v>6.8929232496905968E-2</v>
      </c>
      <c r="G480">
        <f t="shared" si="64"/>
        <v>32.439253371612772</v>
      </c>
      <c r="H480">
        <f t="shared" si="65"/>
        <v>-9.9408377550229687E-3</v>
      </c>
      <c r="I480">
        <f t="shared" si="66"/>
        <v>32.646041069103489</v>
      </c>
      <c r="P480" s="2">
        <v>36220</v>
      </c>
      <c r="Q480">
        <v>5.8988394741882999E-2</v>
      </c>
      <c r="R480">
        <f t="shared" si="67"/>
        <v>6.8929232496905968E-2</v>
      </c>
      <c r="S480">
        <f t="shared" si="68"/>
        <v>-9.9408377550229687E-3</v>
      </c>
      <c r="T480">
        <v>4.4294220231003933E-2</v>
      </c>
    </row>
    <row r="481" spans="2:20" x14ac:dyDescent="0.25">
      <c r="B481">
        <f t="shared" si="69"/>
        <v>480</v>
      </c>
      <c r="C481">
        <v>5.8331005782914502E-2</v>
      </c>
      <c r="D481">
        <f t="shared" si="63"/>
        <v>32.773301307383306</v>
      </c>
      <c r="E481">
        <f t="shared" si="70"/>
        <v>32.773301307383306</v>
      </c>
      <c r="F481">
        <f t="shared" si="71"/>
        <v>6.6809587154106967E-2</v>
      </c>
      <c r="G481">
        <f t="shared" si="64"/>
        <v>32.506062958766876</v>
      </c>
      <c r="H481">
        <f t="shared" si="65"/>
        <v>-8.4785813711924646E-3</v>
      </c>
      <c r="I481">
        <f t="shared" si="66"/>
        <v>32.706491720229202</v>
      </c>
      <c r="P481" s="2">
        <v>36251</v>
      </c>
      <c r="Q481">
        <v>5.8331005782914502E-2</v>
      </c>
      <c r="R481">
        <f t="shared" si="67"/>
        <v>6.6809587154106967E-2</v>
      </c>
      <c r="S481">
        <f t="shared" si="68"/>
        <v>-8.4785813711924646E-3</v>
      </c>
      <c r="T481">
        <v>4.2409181925093797E-2</v>
      </c>
    </row>
    <row r="482" spans="2:20" x14ac:dyDescent="0.25">
      <c r="B482">
        <f t="shared" si="69"/>
        <v>481</v>
      </c>
      <c r="C482">
        <v>5.81497604497212E-2</v>
      </c>
      <c r="D482">
        <f t="shared" si="63"/>
        <v>32.831451067833029</v>
      </c>
      <c r="E482">
        <f t="shared" si="70"/>
        <v>32.831451067833029</v>
      </c>
      <c r="F482">
        <f t="shared" si="71"/>
        <v>6.5077621813230735E-2</v>
      </c>
      <c r="G482">
        <f t="shared" si="64"/>
        <v>32.571140580580106</v>
      </c>
      <c r="H482">
        <f t="shared" si="65"/>
        <v>-6.9278613635095354E-3</v>
      </c>
      <c r="I482">
        <f t="shared" si="66"/>
        <v>32.766373446019799</v>
      </c>
      <c r="P482" s="2">
        <v>36281</v>
      </c>
      <c r="Q482">
        <v>5.81497604497212E-2</v>
      </c>
      <c r="R482">
        <f t="shared" si="67"/>
        <v>6.5077621813230735E-2</v>
      </c>
      <c r="S482">
        <f t="shared" si="68"/>
        <v>-6.9278613635095354E-3</v>
      </c>
      <c r="T482">
        <v>4.0462863613180744E-2</v>
      </c>
    </row>
    <row r="483" spans="2:20" x14ac:dyDescent="0.25">
      <c r="B483">
        <f t="shared" si="69"/>
        <v>482</v>
      </c>
      <c r="C483">
        <v>5.5831823810393644E-2</v>
      </c>
      <c r="D483">
        <f t="shared" si="63"/>
        <v>32.887282891643423</v>
      </c>
      <c r="E483">
        <f t="shared" si="70"/>
        <v>32.887282891643423</v>
      </c>
      <c r="F483">
        <f t="shared" si="71"/>
        <v>6.3228462212663317E-2</v>
      </c>
      <c r="G483">
        <f t="shared" si="64"/>
        <v>32.63436904279277</v>
      </c>
      <c r="H483">
        <f t="shared" si="65"/>
        <v>-7.396638402269673E-3</v>
      </c>
      <c r="I483">
        <f t="shared" si="66"/>
        <v>32.82405442943076</v>
      </c>
      <c r="P483" s="2">
        <v>36312</v>
      </c>
      <c r="Q483">
        <v>5.5831823810393644E-2</v>
      </c>
      <c r="R483">
        <f t="shared" si="67"/>
        <v>6.3228462212663317E-2</v>
      </c>
      <c r="S483">
        <f t="shared" si="68"/>
        <v>-7.396638402269673E-3</v>
      </c>
      <c r="T483">
        <v>3.8601283696812594E-2</v>
      </c>
    </row>
    <row r="484" spans="2:20" x14ac:dyDescent="0.25">
      <c r="B484">
        <f t="shared" si="69"/>
        <v>483</v>
      </c>
      <c r="C484">
        <v>6.0856857604481007E-2</v>
      </c>
      <c r="D484">
        <f t="shared" si="63"/>
        <v>32.9481397492479</v>
      </c>
      <c r="E484">
        <f t="shared" si="70"/>
        <v>32.9481397492479</v>
      </c>
      <c r="F484">
        <f t="shared" si="71"/>
        <v>6.2754141291026147E-2</v>
      </c>
      <c r="G484">
        <f t="shared" si="64"/>
        <v>32.697123184083793</v>
      </c>
      <c r="H484">
        <f t="shared" si="65"/>
        <v>-1.8972836865451398E-3</v>
      </c>
      <c r="I484">
        <f t="shared" si="66"/>
        <v>32.885385607956877</v>
      </c>
      <c r="P484" s="2">
        <v>36342</v>
      </c>
      <c r="Q484">
        <v>6.0856857604481007E-2</v>
      </c>
      <c r="R484">
        <f t="shared" si="67"/>
        <v>6.2754141291026147E-2</v>
      </c>
      <c r="S484">
        <f t="shared" si="68"/>
        <v>-1.8972836865451398E-3</v>
      </c>
      <c r="T484">
        <v>3.7608279917159315E-2</v>
      </c>
    </row>
    <row r="485" spans="2:20" x14ac:dyDescent="0.25">
      <c r="B485">
        <f t="shared" si="69"/>
        <v>484</v>
      </c>
      <c r="C485">
        <v>6.6222656022800308E-2</v>
      </c>
      <c r="D485">
        <f t="shared" si="63"/>
        <v>33.014362405270703</v>
      </c>
      <c r="E485">
        <f t="shared" si="70"/>
        <v>33.014362405270703</v>
      </c>
      <c r="F485">
        <f t="shared" si="71"/>
        <v>6.3447844237381909E-2</v>
      </c>
      <c r="G485">
        <f t="shared" si="64"/>
        <v>32.760571028321174</v>
      </c>
      <c r="H485">
        <f t="shared" si="65"/>
        <v>2.774811785418399E-3</v>
      </c>
      <c r="I485">
        <f t="shared" si="66"/>
        <v>32.950914561033322</v>
      </c>
      <c r="P485" s="2">
        <v>36373</v>
      </c>
      <c r="Q485">
        <v>6.6222656022800308E-2</v>
      </c>
      <c r="R485">
        <f t="shared" si="67"/>
        <v>6.3447844237381909E-2</v>
      </c>
      <c r="S485">
        <f t="shared" si="68"/>
        <v>2.774811785418399E-3</v>
      </c>
      <c r="T485">
        <v>3.9152456097181876E-2</v>
      </c>
    </row>
    <row r="486" spans="2:20" x14ac:dyDescent="0.25">
      <c r="B486">
        <f t="shared" si="69"/>
        <v>485</v>
      </c>
      <c r="C486">
        <v>5.8159950892946455E-2</v>
      </c>
      <c r="D486">
        <f t="shared" si="63"/>
        <v>33.072522356163645</v>
      </c>
      <c r="E486">
        <f t="shared" si="70"/>
        <v>33.072522356163645</v>
      </c>
      <c r="F486">
        <f t="shared" si="71"/>
        <v>6.2390265568494391E-2</v>
      </c>
      <c r="G486">
        <f t="shared" si="64"/>
        <v>32.822961293889669</v>
      </c>
      <c r="H486">
        <f t="shared" si="65"/>
        <v>-4.2303146755479359E-3</v>
      </c>
      <c r="I486">
        <f t="shared" si="66"/>
        <v>33.01013209059515</v>
      </c>
      <c r="P486" s="2">
        <v>36404</v>
      </c>
      <c r="Q486">
        <v>5.8159950892946455E-2</v>
      </c>
      <c r="R486">
        <f t="shared" si="67"/>
        <v>6.2390265568494391E-2</v>
      </c>
      <c r="S486">
        <f t="shared" si="68"/>
        <v>-4.2303146755479359E-3</v>
      </c>
      <c r="T486">
        <v>3.9050514871872721E-2</v>
      </c>
    </row>
    <row r="487" spans="2:20" x14ac:dyDescent="0.25">
      <c r="B487">
        <f t="shared" si="69"/>
        <v>486</v>
      </c>
      <c r="C487">
        <v>5.7047474069035431E-2</v>
      </c>
      <c r="D487">
        <f t="shared" si="63"/>
        <v>33.129569830232683</v>
      </c>
      <c r="E487">
        <f t="shared" si="70"/>
        <v>33.129569830232683</v>
      </c>
      <c r="F487">
        <f t="shared" si="71"/>
        <v>6.1321707268602671E-2</v>
      </c>
      <c r="G487">
        <f t="shared" si="64"/>
        <v>32.884283001158273</v>
      </c>
      <c r="H487">
        <f t="shared" si="65"/>
        <v>-4.27423319956724E-3</v>
      </c>
      <c r="I487">
        <f t="shared" si="66"/>
        <v>33.068248122964079</v>
      </c>
      <c r="P487" s="2">
        <v>36434</v>
      </c>
      <c r="Q487">
        <v>5.7047474069035431E-2</v>
      </c>
      <c r="R487">
        <f t="shared" si="67"/>
        <v>6.1321707268602671E-2</v>
      </c>
      <c r="S487">
        <f t="shared" si="68"/>
        <v>-4.27423319956724E-3</v>
      </c>
      <c r="T487">
        <v>3.8881787544207569E-2</v>
      </c>
    </row>
    <row r="488" spans="2:20" x14ac:dyDescent="0.25">
      <c r="B488">
        <f t="shared" si="69"/>
        <v>487</v>
      </c>
      <c r="C488">
        <v>5.4690318711195118E-2</v>
      </c>
      <c r="D488">
        <f t="shared" si="63"/>
        <v>33.184260148943878</v>
      </c>
      <c r="E488">
        <f t="shared" si="70"/>
        <v>33.184260148943878</v>
      </c>
      <c r="F488">
        <f t="shared" si="71"/>
        <v>5.9995429557120873E-2</v>
      </c>
      <c r="G488">
        <f t="shared" si="64"/>
        <v>32.944278430715393</v>
      </c>
      <c r="H488">
        <f t="shared" si="65"/>
        <v>-5.3051108459257548E-3</v>
      </c>
      <c r="I488">
        <f t="shared" si="66"/>
        <v>33.124264719386758</v>
      </c>
      <c r="P488" s="2">
        <v>36465</v>
      </c>
      <c r="Q488">
        <v>5.4690318711195118E-2</v>
      </c>
      <c r="R488">
        <f t="shared" si="67"/>
        <v>5.9995429557120873E-2</v>
      </c>
      <c r="S488">
        <f t="shared" si="68"/>
        <v>-5.3051108459257548E-3</v>
      </c>
      <c r="T488">
        <v>4.0470438882955762E-2</v>
      </c>
    </row>
    <row r="489" spans="2:20" x14ac:dyDescent="0.25">
      <c r="B489">
        <f t="shared" si="69"/>
        <v>488</v>
      </c>
      <c r="C489">
        <v>5.675433175085054E-2</v>
      </c>
      <c r="D489">
        <f t="shared" si="63"/>
        <v>33.24101448069473</v>
      </c>
      <c r="E489">
        <f t="shared" si="70"/>
        <v>33.24101448069473</v>
      </c>
      <c r="F489">
        <f t="shared" si="71"/>
        <v>5.9347209995867449E-2</v>
      </c>
      <c r="G489">
        <f t="shared" si="64"/>
        <v>33.003625640711263</v>
      </c>
      <c r="H489">
        <f t="shared" si="65"/>
        <v>-2.5928782450169094E-3</v>
      </c>
      <c r="I489">
        <f t="shared" si="66"/>
        <v>33.18166727069886</v>
      </c>
      <c r="P489" s="2">
        <v>36495</v>
      </c>
      <c r="Q489">
        <v>5.675433175085054E-2</v>
      </c>
      <c r="R489">
        <f t="shared" si="67"/>
        <v>5.9347209995867449E-2</v>
      </c>
      <c r="S489">
        <f t="shared" si="68"/>
        <v>-2.5928782450169094E-3</v>
      </c>
      <c r="T489">
        <v>4.0296922310764316E-2</v>
      </c>
    </row>
    <row r="490" spans="2:20" x14ac:dyDescent="0.25">
      <c r="B490">
        <f t="shared" si="69"/>
        <v>489</v>
      </c>
      <c r="C490">
        <v>6.062848525421316E-2</v>
      </c>
      <c r="D490">
        <f t="shared" si="63"/>
        <v>33.301642965948943</v>
      </c>
      <c r="E490">
        <f t="shared" si="70"/>
        <v>33.301642965948943</v>
      </c>
      <c r="F490">
        <f t="shared" si="71"/>
        <v>5.9603465047536025E-2</v>
      </c>
      <c r="G490">
        <f t="shared" si="64"/>
        <v>33.063229105758801</v>
      </c>
      <c r="H490">
        <f t="shared" si="65"/>
        <v>1.0250202066771352E-3</v>
      </c>
      <c r="I490">
        <f t="shared" si="66"/>
        <v>33.242039500901406</v>
      </c>
      <c r="P490" s="2">
        <v>36526</v>
      </c>
      <c r="Q490">
        <v>6.062848525421316E-2</v>
      </c>
      <c r="R490">
        <f t="shared" si="67"/>
        <v>5.9603465047536025E-2</v>
      </c>
      <c r="S490">
        <f t="shared" si="68"/>
        <v>1.0250202066771352E-3</v>
      </c>
      <c r="T490">
        <v>4.099634723624046E-2</v>
      </c>
    </row>
    <row r="491" spans="2:20" x14ac:dyDescent="0.25">
      <c r="B491">
        <f t="shared" si="69"/>
        <v>490</v>
      </c>
      <c r="C491">
        <v>5.8722884481863247E-2</v>
      </c>
      <c r="D491">
        <f t="shared" si="63"/>
        <v>33.36036585043081</v>
      </c>
      <c r="E491">
        <f t="shared" si="70"/>
        <v>33.36036585043081</v>
      </c>
      <c r="F491">
        <f t="shared" si="71"/>
        <v>5.9427348934401894E-2</v>
      </c>
      <c r="G491">
        <f t="shared" si="64"/>
        <v>33.1226564546932</v>
      </c>
      <c r="H491">
        <f t="shared" si="65"/>
        <v>-7.0446445253864731E-4</v>
      </c>
      <c r="I491">
        <f t="shared" si="66"/>
        <v>33.300938501496411</v>
      </c>
      <c r="P491" s="2">
        <v>36557</v>
      </c>
      <c r="Q491">
        <v>5.8722884481863247E-2</v>
      </c>
      <c r="R491">
        <f t="shared" si="67"/>
        <v>5.9427348934401894E-2</v>
      </c>
      <c r="S491">
        <f t="shared" si="68"/>
        <v>-7.0446445253864731E-4</v>
      </c>
      <c r="T491">
        <v>4.1725933670218041E-2</v>
      </c>
    </row>
    <row r="492" spans="2:20" x14ac:dyDescent="0.25">
      <c r="B492">
        <f t="shared" si="69"/>
        <v>491</v>
      </c>
      <c r="C492">
        <v>5.6870382388298779E-2</v>
      </c>
      <c r="D492">
        <f t="shared" si="63"/>
        <v>33.417236232819107</v>
      </c>
      <c r="E492">
        <f t="shared" si="70"/>
        <v>33.417236232819107</v>
      </c>
      <c r="F492">
        <f t="shared" si="71"/>
        <v>5.8915955625181482E-2</v>
      </c>
      <c r="G492">
        <f t="shared" si="64"/>
        <v>33.181572410318381</v>
      </c>
      <c r="H492">
        <f t="shared" si="65"/>
        <v>-2.0455732368827029E-3</v>
      </c>
      <c r="I492">
        <f t="shared" si="66"/>
        <v>33.358320277193926</v>
      </c>
      <c r="P492" s="2">
        <v>36586</v>
      </c>
      <c r="Q492">
        <v>5.6870382388298779E-2</v>
      </c>
      <c r="R492">
        <f t="shared" si="67"/>
        <v>5.8915955625181482E-2</v>
      </c>
      <c r="S492">
        <f t="shared" si="68"/>
        <v>-2.0455732368827029E-3</v>
      </c>
      <c r="T492">
        <v>4.1584268906634136E-2</v>
      </c>
    </row>
    <row r="493" spans="2:20" x14ac:dyDescent="0.25">
      <c r="B493">
        <f t="shared" si="69"/>
        <v>492</v>
      </c>
      <c r="C493">
        <v>6.0041035790710851E-2</v>
      </c>
      <c r="D493">
        <f t="shared" si="63"/>
        <v>33.477277268609818</v>
      </c>
      <c r="E493">
        <f t="shared" si="70"/>
        <v>33.477277268609818</v>
      </c>
      <c r="F493">
        <f t="shared" si="71"/>
        <v>5.9140971658287356E-2</v>
      </c>
      <c r="G493">
        <f t="shared" si="64"/>
        <v>33.240713381976668</v>
      </c>
      <c r="H493">
        <f t="shared" si="65"/>
        <v>9.0006413242349481E-4</v>
      </c>
      <c r="I493">
        <f t="shared" si="66"/>
        <v>33.418136296951531</v>
      </c>
      <c r="P493" s="2">
        <v>36617</v>
      </c>
      <c r="Q493">
        <v>6.0041035790710851E-2</v>
      </c>
      <c r="R493">
        <f t="shared" si="67"/>
        <v>5.9140971658287356E-2</v>
      </c>
      <c r="S493">
        <f t="shared" si="68"/>
        <v>9.0006413242349481E-4</v>
      </c>
      <c r="T493">
        <v>4.3172171865208497E-2</v>
      </c>
    </row>
    <row r="494" spans="2:20" x14ac:dyDescent="0.25">
      <c r="B494">
        <f t="shared" si="69"/>
        <v>493</v>
      </c>
      <c r="C494">
        <v>6.4221028283517612E-2</v>
      </c>
      <c r="D494">
        <f t="shared" si="63"/>
        <v>33.541498296893337</v>
      </c>
      <c r="E494">
        <f t="shared" si="70"/>
        <v>33.541498296893337</v>
      </c>
      <c r="F494">
        <f t="shared" si="71"/>
        <v>6.0156982983333766E-2</v>
      </c>
      <c r="G494">
        <f t="shared" si="64"/>
        <v>33.300870364960005</v>
      </c>
      <c r="H494">
        <f t="shared" si="65"/>
        <v>4.0640453001838453E-3</v>
      </c>
      <c r="I494">
        <f t="shared" si="66"/>
        <v>33.481341313910001</v>
      </c>
      <c r="P494" s="2">
        <v>36647</v>
      </c>
      <c r="Q494">
        <v>6.4221028283517612E-2</v>
      </c>
      <c r="R494">
        <f t="shared" si="67"/>
        <v>6.0156982983333766E-2</v>
      </c>
      <c r="S494">
        <f t="shared" si="68"/>
        <v>4.0640453001838453E-3</v>
      </c>
      <c r="T494">
        <v>4.3851882528849195E-2</v>
      </c>
    </row>
    <row r="495" spans="2:20" x14ac:dyDescent="0.25">
      <c r="B495">
        <f t="shared" si="69"/>
        <v>494</v>
      </c>
      <c r="C495">
        <v>6.9084047111212854E-2</v>
      </c>
      <c r="D495">
        <f t="shared" si="63"/>
        <v>33.610582344004548</v>
      </c>
      <c r="E495">
        <f t="shared" si="70"/>
        <v>33.610582344004548</v>
      </c>
      <c r="F495">
        <f t="shared" si="71"/>
        <v>6.194239580890866E-2</v>
      </c>
      <c r="G495">
        <f t="shared" si="64"/>
        <v>33.362812760768911</v>
      </c>
      <c r="H495">
        <f t="shared" si="65"/>
        <v>7.1416513023041944E-3</v>
      </c>
      <c r="I495">
        <f t="shared" si="66"/>
        <v>33.548639948195643</v>
      </c>
      <c r="P495" s="2">
        <v>36678</v>
      </c>
      <c r="Q495">
        <v>6.9084047111212854E-2</v>
      </c>
      <c r="R495">
        <f t="shared" si="67"/>
        <v>6.194239580890866E-2</v>
      </c>
      <c r="S495">
        <f t="shared" si="68"/>
        <v>7.1416513023041944E-3</v>
      </c>
      <c r="T495">
        <v>4.5424125114255531E-2</v>
      </c>
    </row>
    <row r="496" spans="2:20" x14ac:dyDescent="0.25">
      <c r="B496">
        <f t="shared" si="69"/>
        <v>495</v>
      </c>
      <c r="C496">
        <v>7.4004847163109844E-2</v>
      </c>
      <c r="D496">
        <f t="shared" si="63"/>
        <v>33.684587191167658</v>
      </c>
      <c r="E496">
        <f t="shared" si="70"/>
        <v>33.684587191167658</v>
      </c>
      <c r="F496">
        <f t="shared" si="71"/>
        <v>6.4354886079749471E-2</v>
      </c>
      <c r="G496">
        <f t="shared" si="64"/>
        <v>33.427167646848659</v>
      </c>
      <c r="H496">
        <f t="shared" si="65"/>
        <v>9.6499610833603727E-3</v>
      </c>
      <c r="I496">
        <f t="shared" si="66"/>
        <v>33.62023230508791</v>
      </c>
      <c r="P496" s="2">
        <v>36708</v>
      </c>
      <c r="Q496">
        <v>7.4004847163109844E-2</v>
      </c>
      <c r="R496">
        <f t="shared" si="67"/>
        <v>6.4354886079749471E-2</v>
      </c>
      <c r="S496">
        <f t="shared" si="68"/>
        <v>9.6499610833603727E-3</v>
      </c>
      <c r="T496">
        <v>4.776777373173946E-2</v>
      </c>
    </row>
    <row r="497" spans="2:20" x14ac:dyDescent="0.25">
      <c r="B497">
        <f t="shared" si="69"/>
        <v>496</v>
      </c>
      <c r="C497">
        <v>7.4726735381174691E-2</v>
      </c>
      <c r="D497">
        <f t="shared" si="63"/>
        <v>33.759313926548835</v>
      </c>
      <c r="E497">
        <f t="shared" si="70"/>
        <v>33.759313926548835</v>
      </c>
      <c r="F497">
        <f t="shared" si="71"/>
        <v>6.6429255940035153E-2</v>
      </c>
      <c r="G497">
        <f t="shared" si="64"/>
        <v>33.493596902788696</v>
      </c>
      <c r="H497">
        <f t="shared" si="65"/>
        <v>8.2974794411395381E-3</v>
      </c>
      <c r="I497">
        <f t="shared" si="66"/>
        <v>33.692884670608798</v>
      </c>
      <c r="P497" s="2">
        <v>36739</v>
      </c>
      <c r="Q497">
        <v>7.4726735381174691E-2</v>
      </c>
      <c r="R497">
        <f t="shared" si="67"/>
        <v>6.6429255940035153E-2</v>
      </c>
      <c r="S497">
        <f t="shared" si="68"/>
        <v>8.2974794411395381E-3</v>
      </c>
      <c r="T497">
        <v>4.911515604749539E-2</v>
      </c>
    </row>
    <row r="498" spans="2:20" x14ac:dyDescent="0.25">
      <c r="B498">
        <f t="shared" si="69"/>
        <v>497</v>
      </c>
      <c r="C498">
        <v>7.6724949779364948E-2</v>
      </c>
      <c r="D498">
        <f t="shared" si="63"/>
        <v>33.836038876328203</v>
      </c>
      <c r="E498">
        <f t="shared" si="70"/>
        <v>33.836038876328203</v>
      </c>
      <c r="F498">
        <f t="shared" si="71"/>
        <v>6.8488394707901537E-2</v>
      </c>
      <c r="G498">
        <f t="shared" si="64"/>
        <v>33.562085297496594</v>
      </c>
      <c r="H498">
        <f t="shared" si="65"/>
        <v>8.2365550714634111E-3</v>
      </c>
      <c r="I498">
        <f t="shared" si="66"/>
        <v>33.767550481620304</v>
      </c>
      <c r="P498" s="2">
        <v>36770</v>
      </c>
      <c r="Q498">
        <v>7.6724949779364948E-2</v>
      </c>
      <c r="R498">
        <f t="shared" si="67"/>
        <v>6.8488394707901537E-2</v>
      </c>
      <c r="S498">
        <f t="shared" si="68"/>
        <v>8.2365550714634111E-3</v>
      </c>
      <c r="T498">
        <v>5.1420945814228958E-2</v>
      </c>
    </row>
    <row r="499" spans="2:20" x14ac:dyDescent="0.25">
      <c r="B499">
        <f t="shared" si="69"/>
        <v>498</v>
      </c>
      <c r="C499">
        <v>8.0825849853860987E-2</v>
      </c>
      <c r="D499">
        <f t="shared" si="63"/>
        <v>33.916864726182062</v>
      </c>
      <c r="E499">
        <f t="shared" si="70"/>
        <v>33.916864726182062</v>
      </c>
      <c r="F499">
        <f t="shared" si="71"/>
        <v>7.0955885737093646E-2</v>
      </c>
      <c r="G499">
        <f t="shared" si="64"/>
        <v>33.633041183233686</v>
      </c>
      <c r="H499">
        <f t="shared" si="65"/>
        <v>9.8699641167673408E-3</v>
      </c>
      <c r="I499">
        <f t="shared" si="66"/>
        <v>33.84590884044497</v>
      </c>
      <c r="P499" s="2">
        <v>36800</v>
      </c>
      <c r="Q499">
        <v>8.0825849853860987E-2</v>
      </c>
      <c r="R499">
        <f t="shared" si="67"/>
        <v>7.0955885737093646E-2</v>
      </c>
      <c r="S499">
        <f t="shared" si="68"/>
        <v>9.8699641167673408E-3</v>
      </c>
      <c r="T499">
        <v>5.0403067744896113E-2</v>
      </c>
    </row>
    <row r="500" spans="2:20" x14ac:dyDescent="0.25">
      <c r="B500">
        <f t="shared" si="69"/>
        <v>499</v>
      </c>
      <c r="C500">
        <v>8.2907115460281844E-2</v>
      </c>
      <c r="D500">
        <f t="shared" ref="D500:D563" si="72">D499 +C500</f>
        <v>33.999771841642342</v>
      </c>
      <c r="E500">
        <f t="shared" si="70"/>
        <v>33.999771841642342</v>
      </c>
      <c r="F500">
        <f t="shared" si="71"/>
        <v>7.3346131681731208E-2</v>
      </c>
      <c r="G500">
        <f t="shared" ref="G500:G563" si="73">G499 + F500</f>
        <v>33.706387314915418</v>
      </c>
      <c r="H500">
        <f t="shared" ref="H500:H563" si="74">C500-F500</f>
        <v>9.5609837785506357E-3</v>
      </c>
      <c r="I500">
        <f t="shared" ref="I500:I563" si="75">E500-F500</f>
        <v>33.926425709960611</v>
      </c>
      <c r="P500" s="2">
        <v>36831</v>
      </c>
      <c r="Q500">
        <v>8.2907115460281844E-2</v>
      </c>
      <c r="R500">
        <f t="shared" ref="R500:R563" si="76">F500</f>
        <v>7.3346131681731208E-2</v>
      </c>
      <c r="S500">
        <f t="shared" ref="S500:S563" si="77">H500</f>
        <v>9.5609837785506357E-3</v>
      </c>
      <c r="T500">
        <v>4.9392755329575877E-2</v>
      </c>
    </row>
    <row r="501" spans="2:20" x14ac:dyDescent="0.25">
      <c r="B501">
        <f t="shared" si="69"/>
        <v>500</v>
      </c>
      <c r="C501">
        <v>8.353188306507775E-2</v>
      </c>
      <c r="D501">
        <f t="shared" si="72"/>
        <v>34.08330372470742</v>
      </c>
      <c r="E501">
        <f t="shared" si="70"/>
        <v>34.08330372470742</v>
      </c>
      <c r="F501">
        <f t="shared" si="71"/>
        <v>7.5383281958400522E-2</v>
      </c>
      <c r="G501">
        <f t="shared" si="73"/>
        <v>33.78177059687382</v>
      </c>
      <c r="H501">
        <f t="shared" si="74"/>
        <v>8.1486011066772279E-3</v>
      </c>
      <c r="I501">
        <f t="shared" si="75"/>
        <v>34.007920442749018</v>
      </c>
      <c r="P501" s="2">
        <v>36861</v>
      </c>
      <c r="Q501">
        <v>8.353188306507775E-2</v>
      </c>
      <c r="R501">
        <f t="shared" si="76"/>
        <v>7.5383281958400522E-2</v>
      </c>
      <c r="S501">
        <f t="shared" si="77"/>
        <v>8.1486011066772279E-3</v>
      </c>
      <c r="T501">
        <v>4.5182222793232363E-2</v>
      </c>
    </row>
    <row r="502" spans="2:20" x14ac:dyDescent="0.25">
      <c r="B502">
        <f t="shared" si="69"/>
        <v>501</v>
      </c>
      <c r="C502">
        <v>9.7159169562791803E-2</v>
      </c>
      <c r="D502">
        <f t="shared" si="72"/>
        <v>34.180462894270214</v>
      </c>
      <c r="E502">
        <f t="shared" si="70"/>
        <v>34.180462894270214</v>
      </c>
      <c r="F502">
        <f t="shared" si="71"/>
        <v>7.973845947927885E-2</v>
      </c>
      <c r="G502">
        <f t="shared" si="73"/>
        <v>33.8615090563531</v>
      </c>
      <c r="H502">
        <f t="shared" si="74"/>
        <v>1.7420710083512952E-2</v>
      </c>
      <c r="I502">
        <f t="shared" si="75"/>
        <v>34.100724434790934</v>
      </c>
      <c r="P502" s="2">
        <v>36892</v>
      </c>
      <c r="Q502">
        <v>9.7159169562791803E-2</v>
      </c>
      <c r="R502">
        <f t="shared" si="76"/>
        <v>7.973845947927885E-2</v>
      </c>
      <c r="S502">
        <f t="shared" si="77"/>
        <v>1.7420710083512952E-2</v>
      </c>
      <c r="T502">
        <v>4.3396084563761761E-2</v>
      </c>
    </row>
    <row r="503" spans="2:20" x14ac:dyDescent="0.25">
      <c r="B503">
        <f t="shared" si="69"/>
        <v>502</v>
      </c>
      <c r="C503">
        <v>9.1752781741197609E-2</v>
      </c>
      <c r="D503">
        <f t="shared" si="72"/>
        <v>34.272215676011413</v>
      </c>
      <c r="E503">
        <f t="shared" si="70"/>
        <v>34.272215676011413</v>
      </c>
      <c r="F503">
        <f t="shared" si="71"/>
        <v>8.214132393166268E-2</v>
      </c>
      <c r="G503">
        <f t="shared" si="73"/>
        <v>33.943650380284765</v>
      </c>
      <c r="H503">
        <f t="shared" si="74"/>
        <v>9.611457809534929E-3</v>
      </c>
      <c r="I503">
        <f t="shared" si="75"/>
        <v>34.190074352079748</v>
      </c>
      <c r="P503" s="2">
        <v>36923</v>
      </c>
      <c r="Q503">
        <v>9.1752781741197609E-2</v>
      </c>
      <c r="R503">
        <f t="shared" si="76"/>
        <v>8.214132393166268E-2</v>
      </c>
      <c r="S503">
        <f t="shared" si="77"/>
        <v>9.611457809534929E-3</v>
      </c>
      <c r="T503">
        <v>4.4850566165352213E-2</v>
      </c>
    </row>
    <row r="504" spans="2:20" x14ac:dyDescent="0.25">
      <c r="B504">
        <f t="shared" si="69"/>
        <v>503</v>
      </c>
      <c r="C504">
        <v>9.7630368618510488E-2</v>
      </c>
      <c r="D504">
        <f t="shared" si="72"/>
        <v>34.369846044629924</v>
      </c>
      <c r="E504">
        <f t="shared" si="70"/>
        <v>34.369846044629924</v>
      </c>
      <c r="F504">
        <f t="shared" si="71"/>
        <v>8.5239132869031675E-2</v>
      </c>
      <c r="G504">
        <f t="shared" si="73"/>
        <v>34.0288895131538</v>
      </c>
      <c r="H504">
        <f t="shared" si="74"/>
        <v>1.2391235749478813E-2</v>
      </c>
      <c r="I504">
        <f t="shared" si="75"/>
        <v>34.284606911760889</v>
      </c>
      <c r="P504" s="2">
        <v>36951</v>
      </c>
      <c r="Q504">
        <v>9.7630368618510488E-2</v>
      </c>
      <c r="R504">
        <f t="shared" si="76"/>
        <v>8.5239132869031675E-2</v>
      </c>
      <c r="S504">
        <f t="shared" si="77"/>
        <v>1.2391235749478813E-2</v>
      </c>
      <c r="T504">
        <v>4.5499318069667893E-2</v>
      </c>
    </row>
    <row r="505" spans="2:20" x14ac:dyDescent="0.25">
      <c r="B505">
        <f t="shared" si="69"/>
        <v>504</v>
      </c>
      <c r="C505">
        <v>9.8314430402808739E-2</v>
      </c>
      <c r="D505">
        <f t="shared" si="72"/>
        <v>34.468160475032732</v>
      </c>
      <c r="E505">
        <f t="shared" si="70"/>
        <v>34.468160475032732</v>
      </c>
      <c r="F505">
        <f t="shared" si="71"/>
        <v>8.7854192375786511E-2</v>
      </c>
      <c r="G505">
        <f t="shared" si="73"/>
        <v>34.116743705529586</v>
      </c>
      <c r="H505">
        <f t="shared" si="74"/>
        <v>1.0460238027022228E-2</v>
      </c>
      <c r="I505">
        <f t="shared" si="75"/>
        <v>34.380306282656946</v>
      </c>
      <c r="P505" s="2">
        <v>36982</v>
      </c>
      <c r="Q505">
        <v>9.8314430402808739E-2</v>
      </c>
      <c r="R505">
        <f t="shared" si="76"/>
        <v>8.7854192375786511E-2</v>
      </c>
      <c r="S505">
        <f t="shared" si="77"/>
        <v>1.0460238027022228E-2</v>
      </c>
      <c r="T505">
        <v>4.5351901252959514E-2</v>
      </c>
    </row>
    <row r="506" spans="2:20" x14ac:dyDescent="0.25">
      <c r="B506">
        <f t="shared" si="69"/>
        <v>505</v>
      </c>
      <c r="C506">
        <v>9.1801555191826978E-2</v>
      </c>
      <c r="D506">
        <f t="shared" si="72"/>
        <v>34.559962030224561</v>
      </c>
      <c r="E506">
        <f t="shared" si="70"/>
        <v>34.559962030224561</v>
      </c>
      <c r="F506">
        <f t="shared" si="71"/>
        <v>8.8643664938994962E-2</v>
      </c>
      <c r="G506">
        <f t="shared" si="73"/>
        <v>34.205387370468578</v>
      </c>
      <c r="H506">
        <f t="shared" si="74"/>
        <v>3.1578902528320157E-3</v>
      </c>
      <c r="I506">
        <f t="shared" si="75"/>
        <v>34.471318365285569</v>
      </c>
      <c r="P506" s="2">
        <v>37012</v>
      </c>
      <c r="Q506">
        <v>9.1801555191826978E-2</v>
      </c>
      <c r="R506">
        <f t="shared" si="76"/>
        <v>8.8643664938994962E-2</v>
      </c>
      <c r="S506">
        <f t="shared" si="77"/>
        <v>3.1578902528320157E-3</v>
      </c>
      <c r="T506">
        <v>5.0674290963267588E-2</v>
      </c>
    </row>
    <row r="507" spans="2:20" x14ac:dyDescent="0.25">
      <c r="B507">
        <f t="shared" si="69"/>
        <v>506</v>
      </c>
      <c r="C507">
        <v>8.9471402830492153E-2</v>
      </c>
      <c r="D507">
        <f t="shared" si="72"/>
        <v>34.649433433055052</v>
      </c>
      <c r="E507">
        <f t="shared" si="70"/>
        <v>34.649433433055052</v>
      </c>
      <c r="F507">
        <f t="shared" si="71"/>
        <v>8.8809212517294622E-2</v>
      </c>
      <c r="G507">
        <f t="shared" si="73"/>
        <v>34.294196582985876</v>
      </c>
      <c r="H507">
        <f t="shared" si="74"/>
        <v>6.6219031319753041E-4</v>
      </c>
      <c r="I507">
        <f t="shared" si="75"/>
        <v>34.560624220537754</v>
      </c>
      <c r="P507" s="2">
        <v>37043</v>
      </c>
      <c r="Q507">
        <v>8.9471402830492153E-2</v>
      </c>
      <c r="R507">
        <f t="shared" si="76"/>
        <v>8.8809212517294622E-2</v>
      </c>
      <c r="S507">
        <f t="shared" si="77"/>
        <v>6.6219031319753041E-4</v>
      </c>
      <c r="T507">
        <v>5.1293294387550148E-2</v>
      </c>
    </row>
    <row r="508" spans="2:20" x14ac:dyDescent="0.25">
      <c r="B508">
        <f t="shared" si="69"/>
        <v>507</v>
      </c>
      <c r="C508">
        <v>8.0139766782609811E-2</v>
      </c>
      <c r="D508">
        <f t="shared" si="72"/>
        <v>34.72957319983766</v>
      </c>
      <c r="E508">
        <f t="shared" si="70"/>
        <v>34.72957319983766</v>
      </c>
      <c r="F508">
        <f t="shared" si="71"/>
        <v>8.7075323370356728E-2</v>
      </c>
      <c r="G508">
        <f t="shared" si="73"/>
        <v>34.381271906356233</v>
      </c>
      <c r="H508">
        <f t="shared" si="74"/>
        <v>-6.9355565877469161E-3</v>
      </c>
      <c r="I508">
        <f t="shared" si="75"/>
        <v>34.642497876467303</v>
      </c>
      <c r="P508" s="2">
        <v>37073</v>
      </c>
      <c r="Q508">
        <v>8.0139766782609811E-2</v>
      </c>
      <c r="R508">
        <f t="shared" si="76"/>
        <v>8.7075323370356728E-2</v>
      </c>
      <c r="S508">
        <f t="shared" si="77"/>
        <v>-6.9355565877469161E-3</v>
      </c>
      <c r="T508">
        <v>5.1047765066023487E-2</v>
      </c>
    </row>
    <row r="509" spans="2:20" x14ac:dyDescent="0.25">
      <c r="B509">
        <f t="shared" si="69"/>
        <v>508</v>
      </c>
      <c r="C509">
        <v>6.7656282861735306E-2</v>
      </c>
      <c r="D509">
        <f t="shared" si="72"/>
        <v>34.797229482699393</v>
      </c>
      <c r="E509">
        <f t="shared" si="70"/>
        <v>34.797229482699393</v>
      </c>
      <c r="F509">
        <f t="shared" si="71"/>
        <v>8.3191515268632096E-2</v>
      </c>
      <c r="G509">
        <f t="shared" si="73"/>
        <v>34.464463421624863</v>
      </c>
      <c r="H509">
        <f t="shared" si="74"/>
        <v>-1.553523240689679E-2</v>
      </c>
      <c r="I509">
        <f t="shared" si="75"/>
        <v>34.714037967430762</v>
      </c>
      <c r="P509" s="2">
        <v>37104</v>
      </c>
      <c r="Q509">
        <v>6.7656282861735306E-2</v>
      </c>
      <c r="R509">
        <f t="shared" si="76"/>
        <v>8.3191515268632096E-2</v>
      </c>
      <c r="S509">
        <f t="shared" si="77"/>
        <v>-1.553523240689679E-2</v>
      </c>
      <c r="T509">
        <v>4.6039876754734088E-2</v>
      </c>
    </row>
    <row r="510" spans="2:20" x14ac:dyDescent="0.25">
      <c r="B510">
        <f t="shared" si="69"/>
        <v>509</v>
      </c>
      <c r="C510">
        <v>7.2959278926882476E-2</v>
      </c>
      <c r="D510">
        <f t="shared" si="72"/>
        <v>34.870188761626274</v>
      </c>
      <c r="E510">
        <f t="shared" si="70"/>
        <v>34.870188761626274</v>
      </c>
      <c r="F510">
        <f t="shared" si="71"/>
        <v>8.1145068000282095E-2</v>
      </c>
      <c r="G510">
        <f t="shared" si="73"/>
        <v>34.545608489625145</v>
      </c>
      <c r="H510">
        <f t="shared" si="74"/>
        <v>-8.1857890733996186E-3</v>
      </c>
      <c r="I510">
        <f t="shared" si="75"/>
        <v>34.789043693625992</v>
      </c>
      <c r="P510" s="2">
        <v>37135</v>
      </c>
      <c r="Q510">
        <v>7.2959278926882476E-2</v>
      </c>
      <c r="R510">
        <f t="shared" si="76"/>
        <v>8.1145068000282095E-2</v>
      </c>
      <c r="S510">
        <f t="shared" si="77"/>
        <v>-8.1857890733996186E-3</v>
      </c>
      <c r="T510">
        <v>4.2728018454154082E-2</v>
      </c>
    </row>
    <row r="511" spans="2:20" x14ac:dyDescent="0.25">
      <c r="B511">
        <f t="shared" si="69"/>
        <v>510</v>
      </c>
      <c r="C511">
        <v>6.9617656133710071E-2</v>
      </c>
      <c r="D511">
        <f t="shared" si="72"/>
        <v>34.939806417759982</v>
      </c>
      <c r="E511">
        <f t="shared" si="70"/>
        <v>34.939806417759982</v>
      </c>
      <c r="F511">
        <f t="shared" si="71"/>
        <v>7.8839585626967343E-2</v>
      </c>
      <c r="G511">
        <f t="shared" si="73"/>
        <v>34.624448075252111</v>
      </c>
      <c r="H511">
        <f t="shared" si="74"/>
        <v>-9.2219294932572721E-3</v>
      </c>
      <c r="I511">
        <f t="shared" si="75"/>
        <v>34.860966832133016</v>
      </c>
      <c r="P511" s="2">
        <v>37165</v>
      </c>
      <c r="Q511">
        <v>6.9617656133710071E-2</v>
      </c>
      <c r="R511">
        <f t="shared" si="76"/>
        <v>7.8839585626967343E-2</v>
      </c>
      <c r="S511">
        <f t="shared" si="77"/>
        <v>-9.2219294932572721E-3</v>
      </c>
      <c r="T511">
        <v>4.5677231465992563E-2</v>
      </c>
    </row>
    <row r="512" spans="2:20" x14ac:dyDescent="0.25">
      <c r="B512">
        <f t="shared" si="69"/>
        <v>511</v>
      </c>
      <c r="C512">
        <v>7.1506014338957868E-2</v>
      </c>
      <c r="D512">
        <f t="shared" si="72"/>
        <v>35.01131243209894</v>
      </c>
      <c r="E512">
        <f t="shared" si="70"/>
        <v>35.01131243209894</v>
      </c>
      <c r="F512">
        <f t="shared" si="71"/>
        <v>7.7372871369365728E-2</v>
      </c>
      <c r="G512">
        <f t="shared" si="73"/>
        <v>34.701820946621474</v>
      </c>
      <c r="H512">
        <f t="shared" si="74"/>
        <v>-5.8668570304078599E-3</v>
      </c>
      <c r="I512">
        <f t="shared" si="75"/>
        <v>34.933939560729577</v>
      </c>
      <c r="P512" s="2">
        <v>37196</v>
      </c>
      <c r="Q512">
        <v>7.1506014338957868E-2</v>
      </c>
      <c r="R512">
        <f t="shared" si="76"/>
        <v>7.7372871369365728E-2</v>
      </c>
      <c r="S512">
        <f t="shared" si="77"/>
        <v>-5.8668570304078599E-3</v>
      </c>
      <c r="T512">
        <v>4.7067510857986328E-2</v>
      </c>
    </row>
    <row r="513" spans="2:20" x14ac:dyDescent="0.25">
      <c r="B513">
        <f t="shared" si="69"/>
        <v>512</v>
      </c>
      <c r="C513">
        <v>7.2606589234773367E-2</v>
      </c>
      <c r="D513">
        <f t="shared" si="72"/>
        <v>35.083919021333713</v>
      </c>
      <c r="E513">
        <f t="shared" si="70"/>
        <v>35.083919021333713</v>
      </c>
      <c r="F513">
        <f t="shared" si="71"/>
        <v>7.6419614942447825E-2</v>
      </c>
      <c r="G513">
        <f t="shared" si="73"/>
        <v>34.778240561563919</v>
      </c>
      <c r="H513">
        <f t="shared" si="74"/>
        <v>-3.8130257076744584E-3</v>
      </c>
      <c r="I513">
        <f t="shared" si="75"/>
        <v>35.007499406391268</v>
      </c>
      <c r="P513" s="2">
        <v>37226</v>
      </c>
      <c r="Q513">
        <v>7.2606589234773367E-2</v>
      </c>
      <c r="R513">
        <f t="shared" si="76"/>
        <v>7.6419614942447825E-2</v>
      </c>
      <c r="S513">
        <f t="shared" si="77"/>
        <v>-3.8130257076744584E-3</v>
      </c>
      <c r="T513">
        <v>5.5461302986454797E-2</v>
      </c>
    </row>
    <row r="514" spans="2:20" x14ac:dyDescent="0.25">
      <c r="B514">
        <f t="shared" si="69"/>
        <v>513</v>
      </c>
      <c r="C514">
        <v>5.5919477835898235E-2</v>
      </c>
      <c r="D514">
        <f t="shared" si="72"/>
        <v>35.139838499169613</v>
      </c>
      <c r="E514">
        <f t="shared" si="70"/>
        <v>35.139838499169613</v>
      </c>
      <c r="F514">
        <f t="shared" si="71"/>
        <v>7.2319587521138831E-2</v>
      </c>
      <c r="G514">
        <f t="shared" si="73"/>
        <v>34.850560149085055</v>
      </c>
      <c r="H514">
        <f t="shared" si="74"/>
        <v>-1.6400109685240596E-2</v>
      </c>
      <c r="I514">
        <f t="shared" si="75"/>
        <v>35.067518911648477</v>
      </c>
      <c r="P514" s="2">
        <v>37257</v>
      </c>
      <c r="Q514">
        <v>5.5919477835898235E-2</v>
      </c>
      <c r="R514">
        <f t="shared" si="76"/>
        <v>7.2319587521138831E-2</v>
      </c>
      <c r="S514">
        <f t="shared" si="77"/>
        <v>-1.6400109685240596E-2</v>
      </c>
      <c r="T514">
        <v>5.9870189490949244E-2</v>
      </c>
    </row>
    <row r="515" spans="2:20" x14ac:dyDescent="0.25">
      <c r="B515">
        <f t="shared" si="69"/>
        <v>514</v>
      </c>
      <c r="C515">
        <v>6.5853913522419205E-2</v>
      </c>
      <c r="D515">
        <f t="shared" si="72"/>
        <v>35.205692412692031</v>
      </c>
      <c r="E515">
        <f t="shared" si="70"/>
        <v>35.205692412692031</v>
      </c>
      <c r="F515">
        <f t="shared" si="71"/>
        <v>7.1026452721395114E-2</v>
      </c>
      <c r="G515">
        <f t="shared" si="73"/>
        <v>34.921586601806453</v>
      </c>
      <c r="H515">
        <f t="shared" si="74"/>
        <v>-5.172539198975909E-3</v>
      </c>
      <c r="I515">
        <f t="shared" si="75"/>
        <v>35.134665959970633</v>
      </c>
      <c r="P515" s="2">
        <v>37288</v>
      </c>
      <c r="Q515">
        <v>6.5853913522419205E-2</v>
      </c>
      <c r="R515">
        <f t="shared" si="76"/>
        <v>7.1026452721395114E-2</v>
      </c>
      <c r="S515">
        <f t="shared" si="77"/>
        <v>-5.172539198975909E-3</v>
      </c>
      <c r="T515">
        <v>6.1843505282703326E-2</v>
      </c>
    </row>
    <row r="516" spans="2:20" x14ac:dyDescent="0.25">
      <c r="B516">
        <f t="shared" ref="B516:B579" si="78">B515+1</f>
        <v>515</v>
      </c>
      <c r="C516">
        <v>6.6467135187622262E-2</v>
      </c>
      <c r="D516">
        <f t="shared" si="72"/>
        <v>35.272159547879653</v>
      </c>
      <c r="E516">
        <f t="shared" ref="E516:E579" si="79">D516</f>
        <v>35.272159547879653</v>
      </c>
      <c r="F516">
        <f t="shared" ref="F516:F579" si="80">$K$1*(E516-G515)</f>
        <v>7.0114589214639977E-2</v>
      </c>
      <c r="G516">
        <f t="shared" si="73"/>
        <v>34.991701191021093</v>
      </c>
      <c r="H516">
        <f t="shared" si="74"/>
        <v>-3.6474540270177158E-3</v>
      </c>
      <c r="I516">
        <f t="shared" si="75"/>
        <v>35.202044958665013</v>
      </c>
      <c r="P516" s="2">
        <v>37316</v>
      </c>
      <c r="Q516">
        <v>6.6467135187622262E-2</v>
      </c>
      <c r="R516">
        <f t="shared" si="76"/>
        <v>7.0114589214639977E-2</v>
      </c>
      <c r="S516">
        <f t="shared" si="77"/>
        <v>-3.6474540270177158E-3</v>
      </c>
      <c r="T516">
        <v>6.0110543057596111E-2</v>
      </c>
    </row>
    <row r="517" spans="2:20" x14ac:dyDescent="0.25">
      <c r="B517">
        <f t="shared" si="78"/>
        <v>516</v>
      </c>
      <c r="C517">
        <v>6.0379935884764535E-2</v>
      </c>
      <c r="D517">
        <f t="shared" si="72"/>
        <v>35.332539483764421</v>
      </c>
      <c r="E517">
        <f t="shared" si="79"/>
        <v>35.332539483764421</v>
      </c>
      <c r="F517">
        <f t="shared" si="80"/>
        <v>6.8167658548665605E-2</v>
      </c>
      <c r="G517">
        <f t="shared" si="73"/>
        <v>35.05986884956976</v>
      </c>
      <c r="H517">
        <f t="shared" si="74"/>
        <v>-7.7877226639010699E-3</v>
      </c>
      <c r="I517">
        <f t="shared" si="75"/>
        <v>35.264371825215754</v>
      </c>
      <c r="P517" s="2">
        <v>37347</v>
      </c>
      <c r="Q517">
        <v>6.0379935884764535E-2</v>
      </c>
      <c r="R517">
        <f t="shared" si="76"/>
        <v>6.8167658548665605E-2</v>
      </c>
      <c r="S517">
        <f t="shared" si="77"/>
        <v>-7.7877226639010699E-3</v>
      </c>
      <c r="T517">
        <v>6.0671195181136284E-2</v>
      </c>
    </row>
    <row r="518" spans="2:20" x14ac:dyDescent="0.25">
      <c r="B518">
        <f t="shared" si="78"/>
        <v>517</v>
      </c>
      <c r="C518">
        <v>6.2283087238141022E-2</v>
      </c>
      <c r="D518">
        <f t="shared" si="72"/>
        <v>35.394822571002564</v>
      </c>
      <c r="E518">
        <f t="shared" si="79"/>
        <v>35.394822571002564</v>
      </c>
      <c r="F518">
        <f t="shared" si="80"/>
        <v>6.6990744286560752E-2</v>
      </c>
      <c r="G518">
        <f t="shared" si="73"/>
        <v>35.126859593856324</v>
      </c>
      <c r="H518">
        <f t="shared" si="74"/>
        <v>-4.7076570484197305E-3</v>
      </c>
      <c r="I518">
        <f t="shared" si="75"/>
        <v>35.327831826716</v>
      </c>
      <c r="P518" s="2">
        <v>37377</v>
      </c>
      <c r="Q518">
        <v>6.2283087238141022E-2</v>
      </c>
      <c r="R518">
        <f t="shared" si="76"/>
        <v>6.6990744286560752E-2</v>
      </c>
      <c r="S518">
        <f t="shared" si="77"/>
        <v>-4.7076570484197305E-3</v>
      </c>
      <c r="T518">
        <v>5.4933718817837374E-2</v>
      </c>
    </row>
    <row r="519" spans="2:20" x14ac:dyDescent="0.25">
      <c r="B519">
        <f t="shared" si="78"/>
        <v>518</v>
      </c>
      <c r="C519">
        <v>6.3125306146762483E-2</v>
      </c>
      <c r="D519">
        <f t="shared" si="72"/>
        <v>35.457947877149323</v>
      </c>
      <c r="E519">
        <f t="shared" si="79"/>
        <v>35.457947877149323</v>
      </c>
      <c r="F519">
        <f t="shared" si="80"/>
        <v>6.6217656658599827E-2</v>
      </c>
      <c r="G519">
        <f t="shared" si="73"/>
        <v>35.193077250514925</v>
      </c>
      <c r="H519">
        <f t="shared" si="74"/>
        <v>-3.092350511837344E-3</v>
      </c>
      <c r="I519">
        <f t="shared" si="75"/>
        <v>35.391730220490722</v>
      </c>
      <c r="P519" s="2">
        <v>37408</v>
      </c>
      <c r="Q519">
        <v>6.3125306146762483E-2</v>
      </c>
      <c r="R519">
        <f t="shared" si="76"/>
        <v>6.6217656658599827E-2</v>
      </c>
      <c r="S519">
        <f t="shared" si="77"/>
        <v>-3.092350511837344E-3</v>
      </c>
      <c r="T519">
        <v>5.1761934558589573E-2</v>
      </c>
    </row>
    <row r="520" spans="2:20" x14ac:dyDescent="0.25">
      <c r="B520">
        <f t="shared" si="78"/>
        <v>519</v>
      </c>
      <c r="C520">
        <v>6.451349898727976E-2</v>
      </c>
      <c r="D520">
        <f t="shared" si="72"/>
        <v>35.522461376136604</v>
      </c>
      <c r="E520">
        <f t="shared" si="79"/>
        <v>35.522461376136604</v>
      </c>
      <c r="F520">
        <f t="shared" si="80"/>
        <v>6.5876825124335889E-2</v>
      </c>
      <c r="G520">
        <f t="shared" si="73"/>
        <v>35.258954075639259</v>
      </c>
      <c r="H520">
        <f t="shared" si="74"/>
        <v>-1.3633261370561284E-3</v>
      </c>
      <c r="I520">
        <f t="shared" si="75"/>
        <v>35.45658455101227</v>
      </c>
      <c r="P520" s="2">
        <v>37438</v>
      </c>
      <c r="Q520">
        <v>6.451349898727976E-2</v>
      </c>
      <c r="R520">
        <f t="shared" si="76"/>
        <v>6.5876825124335889E-2</v>
      </c>
      <c r="S520">
        <f t="shared" si="77"/>
        <v>-1.3633261370561284E-3</v>
      </c>
      <c r="T520">
        <v>4.7085386674687868E-2</v>
      </c>
    </row>
    <row r="521" spans="2:20" x14ac:dyDescent="0.25">
      <c r="B521">
        <f t="shared" si="78"/>
        <v>520</v>
      </c>
      <c r="C521">
        <v>7.0837561739788057E-2</v>
      </c>
      <c r="D521">
        <f t="shared" si="72"/>
        <v>35.593298937876391</v>
      </c>
      <c r="E521">
        <f t="shared" si="79"/>
        <v>35.593298937876391</v>
      </c>
      <c r="F521">
        <f t="shared" si="80"/>
        <v>6.6868972447426248E-2</v>
      </c>
      <c r="G521">
        <f t="shared" si="73"/>
        <v>35.325823048086683</v>
      </c>
      <c r="H521">
        <f t="shared" si="74"/>
        <v>3.9685892923618099E-3</v>
      </c>
      <c r="I521">
        <f t="shared" si="75"/>
        <v>35.526429965428967</v>
      </c>
      <c r="P521" s="2">
        <v>37469</v>
      </c>
      <c r="Q521">
        <v>7.0837561739788057E-2</v>
      </c>
      <c r="R521">
        <f t="shared" si="76"/>
        <v>6.6868972447426248E-2</v>
      </c>
      <c r="S521">
        <f t="shared" si="77"/>
        <v>3.9685892923618099E-3</v>
      </c>
      <c r="T521">
        <v>4.6978335021011119E-2</v>
      </c>
    </row>
    <row r="522" spans="2:20" x14ac:dyDescent="0.25">
      <c r="B522">
        <f t="shared" si="78"/>
        <v>521</v>
      </c>
      <c r="C522">
        <v>7.6303462010029577E-2</v>
      </c>
      <c r="D522">
        <f t="shared" si="72"/>
        <v>35.669602399886422</v>
      </c>
      <c r="E522">
        <f t="shared" si="79"/>
        <v>35.669602399886422</v>
      </c>
      <c r="F522">
        <f t="shared" si="80"/>
        <v>6.8755870359947832E-2</v>
      </c>
      <c r="G522">
        <f t="shared" si="73"/>
        <v>35.394578918446634</v>
      </c>
      <c r="H522">
        <f t="shared" si="74"/>
        <v>7.5475916500817447E-3</v>
      </c>
      <c r="I522">
        <f t="shared" si="75"/>
        <v>35.600846529526471</v>
      </c>
      <c r="P522" s="2">
        <v>37500</v>
      </c>
      <c r="Q522">
        <v>7.6303462010029577E-2</v>
      </c>
      <c r="R522">
        <f t="shared" si="76"/>
        <v>6.8755870359947832E-2</v>
      </c>
      <c r="S522">
        <f t="shared" si="77"/>
        <v>7.5475916500817447E-3</v>
      </c>
      <c r="T522">
        <v>4.9122077653698248E-2</v>
      </c>
    </row>
    <row r="523" spans="2:20" x14ac:dyDescent="0.25">
      <c r="B523">
        <f t="shared" si="78"/>
        <v>522</v>
      </c>
      <c r="C523">
        <v>7.7925482043772476E-2</v>
      </c>
      <c r="D523">
        <f t="shared" si="72"/>
        <v>35.747527881930196</v>
      </c>
      <c r="E523">
        <f t="shared" si="79"/>
        <v>35.747527881930196</v>
      </c>
      <c r="F523">
        <f t="shared" si="80"/>
        <v>7.0589792696712547E-2</v>
      </c>
      <c r="G523">
        <f t="shared" si="73"/>
        <v>35.465168711143349</v>
      </c>
      <c r="H523">
        <f t="shared" si="74"/>
        <v>7.3356893470599288E-3</v>
      </c>
      <c r="I523">
        <f t="shared" si="75"/>
        <v>35.676938089233481</v>
      </c>
      <c r="P523" s="2">
        <v>37530</v>
      </c>
      <c r="Q523">
        <v>7.7925482043772476E-2</v>
      </c>
      <c r="R523">
        <f t="shared" si="76"/>
        <v>7.0589792696712547E-2</v>
      </c>
      <c r="S523">
        <f t="shared" si="77"/>
        <v>7.3356893470599288E-3</v>
      </c>
      <c r="T523">
        <v>4.5889962059498579E-2</v>
      </c>
    </row>
    <row r="524" spans="2:20" x14ac:dyDescent="0.25">
      <c r="B524">
        <f t="shared" si="78"/>
        <v>523</v>
      </c>
      <c r="C524">
        <v>7.8032659514738256E-2</v>
      </c>
      <c r="D524">
        <f t="shared" si="72"/>
        <v>35.825560541444936</v>
      </c>
      <c r="E524">
        <f t="shared" si="79"/>
        <v>35.825560541444936</v>
      </c>
      <c r="F524">
        <f t="shared" si="80"/>
        <v>7.2078366060317478E-2</v>
      </c>
      <c r="G524">
        <f t="shared" si="73"/>
        <v>35.537247077203666</v>
      </c>
      <c r="H524">
        <f t="shared" si="74"/>
        <v>5.9542934544207782E-3</v>
      </c>
      <c r="I524">
        <f t="shared" si="75"/>
        <v>35.753482175384619</v>
      </c>
      <c r="P524" s="2">
        <v>37561</v>
      </c>
      <c r="Q524">
        <v>7.8032659514738256E-2</v>
      </c>
      <c r="R524">
        <f t="shared" si="76"/>
        <v>7.2078366060317478E-2</v>
      </c>
      <c r="S524">
        <f t="shared" si="77"/>
        <v>5.9542934544207782E-3</v>
      </c>
      <c r="T524">
        <v>4.2751166952663233E-2</v>
      </c>
    </row>
    <row r="525" spans="2:20" x14ac:dyDescent="0.25">
      <c r="B525">
        <f t="shared" si="78"/>
        <v>524</v>
      </c>
      <c r="C525">
        <v>8.0026316514928197E-2</v>
      </c>
      <c r="D525">
        <f t="shared" si="72"/>
        <v>35.905586857959861</v>
      </c>
      <c r="E525">
        <f t="shared" si="79"/>
        <v>35.905586857959861</v>
      </c>
      <c r="F525">
        <f t="shared" si="80"/>
        <v>7.3667956151238917E-2</v>
      </c>
      <c r="G525">
        <f t="shared" si="73"/>
        <v>35.610915033354907</v>
      </c>
      <c r="H525">
        <f t="shared" si="74"/>
        <v>6.3583603636892805E-3</v>
      </c>
      <c r="I525">
        <f t="shared" si="75"/>
        <v>35.831918901808621</v>
      </c>
      <c r="P525" s="2">
        <v>37591</v>
      </c>
      <c r="Q525">
        <v>8.0026316514928197E-2</v>
      </c>
      <c r="R525">
        <f t="shared" si="76"/>
        <v>7.3667956151238917E-2</v>
      </c>
      <c r="S525">
        <f t="shared" si="77"/>
        <v>6.3583603636892805E-3</v>
      </c>
      <c r="T525">
        <v>3.7289928245472836E-2</v>
      </c>
    </row>
    <row r="526" spans="2:20" x14ac:dyDescent="0.25">
      <c r="B526">
        <f t="shared" si="78"/>
        <v>525</v>
      </c>
      <c r="C526">
        <v>7.1102855126149223E-2</v>
      </c>
      <c r="D526">
        <f t="shared" si="72"/>
        <v>35.97668971308601</v>
      </c>
      <c r="E526">
        <f t="shared" si="79"/>
        <v>35.97668971308601</v>
      </c>
      <c r="F526">
        <f t="shared" si="80"/>
        <v>7.3154935946220689E-2</v>
      </c>
      <c r="G526">
        <f t="shared" si="73"/>
        <v>35.684069969301127</v>
      </c>
      <c r="H526">
        <f t="shared" si="74"/>
        <v>-2.0520808200714669E-3</v>
      </c>
      <c r="I526">
        <f t="shared" si="75"/>
        <v>35.903534777139789</v>
      </c>
      <c r="P526" s="2">
        <v>37622</v>
      </c>
      <c r="Q526">
        <v>7.1102855126149223E-2</v>
      </c>
      <c r="R526">
        <f t="shared" si="76"/>
        <v>7.3154935946220689E-2</v>
      </c>
      <c r="S526">
        <f t="shared" si="77"/>
        <v>-2.0520808200714669E-3</v>
      </c>
      <c r="T526">
        <v>3.3398280401848446E-2</v>
      </c>
    </row>
    <row r="527" spans="2:20" x14ac:dyDescent="0.25">
      <c r="B527">
        <f t="shared" si="78"/>
        <v>526</v>
      </c>
      <c r="C527">
        <v>6.1767335286806002E-2</v>
      </c>
      <c r="D527">
        <f t="shared" si="72"/>
        <v>36.03845704837282</v>
      </c>
      <c r="E527">
        <f t="shared" si="79"/>
        <v>36.03845704837282</v>
      </c>
      <c r="F527">
        <f t="shared" si="80"/>
        <v>7.0877415814338471E-2</v>
      </c>
      <c r="G527">
        <f t="shared" si="73"/>
        <v>35.754947385115464</v>
      </c>
      <c r="H527">
        <f t="shared" si="74"/>
        <v>-9.1100805275324687E-3</v>
      </c>
      <c r="I527">
        <f t="shared" si="75"/>
        <v>35.967579632558483</v>
      </c>
      <c r="P527" s="2">
        <v>37653</v>
      </c>
      <c r="Q527">
        <v>6.1767335286806002E-2</v>
      </c>
      <c r="R527">
        <f t="shared" si="76"/>
        <v>7.0877415814338471E-2</v>
      </c>
      <c r="S527">
        <f t="shared" si="77"/>
        <v>-9.1100805275324687E-3</v>
      </c>
      <c r="T527">
        <v>2.8087581810260609E-2</v>
      </c>
    </row>
    <row r="528" spans="2:20" x14ac:dyDescent="0.25">
      <c r="B528">
        <f t="shared" si="78"/>
        <v>527</v>
      </c>
      <c r="C528">
        <v>5.3906126705587809E-2</v>
      </c>
      <c r="D528">
        <f t="shared" si="72"/>
        <v>36.092363175078404</v>
      </c>
      <c r="E528">
        <f t="shared" si="79"/>
        <v>36.092363175078404</v>
      </c>
      <c r="F528">
        <f t="shared" si="80"/>
        <v>6.7483157992587903E-2</v>
      </c>
      <c r="G528">
        <f t="shared" si="73"/>
        <v>35.822430543108055</v>
      </c>
      <c r="H528">
        <f t="shared" si="74"/>
        <v>-1.3577031287000094E-2</v>
      </c>
      <c r="I528">
        <f t="shared" si="75"/>
        <v>36.024880017085813</v>
      </c>
      <c r="P528" s="2">
        <v>37681</v>
      </c>
      <c r="Q528">
        <v>5.3906126705587809E-2</v>
      </c>
      <c r="R528">
        <f t="shared" si="76"/>
        <v>6.7483157992587903E-2</v>
      </c>
      <c r="S528">
        <f t="shared" si="77"/>
        <v>-1.3577031287000094E-2</v>
      </c>
      <c r="T528">
        <v>3.0204874471660759E-2</v>
      </c>
    </row>
    <row r="529" spans="2:20" x14ac:dyDescent="0.25">
      <c r="B529">
        <f t="shared" si="78"/>
        <v>528</v>
      </c>
      <c r="C529">
        <v>4.9895054658568583E-2</v>
      </c>
      <c r="D529">
        <f t="shared" si="72"/>
        <v>36.142258229736974</v>
      </c>
      <c r="E529">
        <f t="shared" si="79"/>
        <v>36.142258229736974</v>
      </c>
      <c r="F529">
        <f t="shared" si="80"/>
        <v>6.3965537325783833E-2</v>
      </c>
      <c r="G529">
        <f t="shared" si="73"/>
        <v>35.88639608043384</v>
      </c>
      <c r="H529">
        <f t="shared" si="74"/>
        <v>-1.4070482667215251E-2</v>
      </c>
      <c r="I529">
        <f t="shared" si="75"/>
        <v>36.078292692411189</v>
      </c>
      <c r="P529" s="2">
        <v>37712</v>
      </c>
      <c r="Q529">
        <v>4.9895054658568583E-2</v>
      </c>
      <c r="R529">
        <f t="shared" si="76"/>
        <v>6.3965537325783833E-2</v>
      </c>
      <c r="S529">
        <f t="shared" si="77"/>
        <v>-1.4070482667215251E-2</v>
      </c>
      <c r="T529">
        <v>2.9370686795988199E-2</v>
      </c>
    </row>
    <row r="530" spans="2:20" x14ac:dyDescent="0.25">
      <c r="B530">
        <f t="shared" si="78"/>
        <v>529</v>
      </c>
      <c r="C530">
        <v>4.5613583706227701E-2</v>
      </c>
      <c r="D530">
        <f t="shared" si="72"/>
        <v>36.187871813443202</v>
      </c>
      <c r="E530">
        <f t="shared" si="79"/>
        <v>36.187871813443202</v>
      </c>
      <c r="F530">
        <f t="shared" si="80"/>
        <v>6.0295146601872324E-2</v>
      </c>
      <c r="G530">
        <f t="shared" si="73"/>
        <v>35.946691227035714</v>
      </c>
      <c r="H530">
        <f t="shared" si="74"/>
        <v>-1.4681562895644623E-2</v>
      </c>
      <c r="I530">
        <f t="shared" si="75"/>
        <v>36.127576666841328</v>
      </c>
      <c r="P530" s="2">
        <v>37742</v>
      </c>
      <c r="Q530">
        <v>4.5613583706227701E-2</v>
      </c>
      <c r="R530">
        <f t="shared" si="76"/>
        <v>6.0295146601872324E-2</v>
      </c>
      <c r="S530">
        <f t="shared" si="77"/>
        <v>-1.4681562895644623E-2</v>
      </c>
      <c r="T530">
        <v>2.6375155254394045E-2</v>
      </c>
    </row>
    <row r="531" spans="2:20" x14ac:dyDescent="0.25">
      <c r="B531">
        <f t="shared" si="78"/>
        <v>530</v>
      </c>
      <c r="C531">
        <v>4.577963730746859E-2</v>
      </c>
      <c r="D531">
        <f t="shared" si="72"/>
        <v>36.233651450750671</v>
      </c>
      <c r="E531">
        <f t="shared" si="79"/>
        <v>36.233651450750671</v>
      </c>
      <c r="F531">
        <f t="shared" si="80"/>
        <v>5.739204474299129E-2</v>
      </c>
      <c r="G531">
        <f t="shared" si="73"/>
        <v>36.004083271778704</v>
      </c>
      <c r="H531">
        <f t="shared" si="74"/>
        <v>-1.1612407435522699E-2</v>
      </c>
      <c r="I531">
        <f t="shared" si="75"/>
        <v>36.176259406007681</v>
      </c>
      <c r="P531" s="2">
        <v>37773</v>
      </c>
      <c r="Q531">
        <v>4.577963730746859E-2</v>
      </c>
      <c r="R531">
        <f t="shared" si="76"/>
        <v>5.739204474299129E-2</v>
      </c>
      <c r="S531">
        <f t="shared" si="77"/>
        <v>-1.1612407435522699E-2</v>
      </c>
      <c r="T531">
        <v>2.7799888277596274E-2</v>
      </c>
    </row>
    <row r="532" spans="2:20" x14ac:dyDescent="0.25">
      <c r="B532">
        <f t="shared" si="78"/>
        <v>531</v>
      </c>
      <c r="C532">
        <v>4.8079858944019449E-2</v>
      </c>
      <c r="D532">
        <f t="shared" si="72"/>
        <v>36.281731309694692</v>
      </c>
      <c r="E532">
        <f t="shared" si="79"/>
        <v>36.281731309694692</v>
      </c>
      <c r="F532">
        <f t="shared" si="80"/>
        <v>5.5529607583197561E-2</v>
      </c>
      <c r="G532">
        <f t="shared" si="73"/>
        <v>36.0596128793619</v>
      </c>
      <c r="H532">
        <f t="shared" si="74"/>
        <v>-7.4497486391781123E-3</v>
      </c>
      <c r="I532">
        <f t="shared" si="75"/>
        <v>36.226201702111496</v>
      </c>
      <c r="P532" s="2">
        <v>37803</v>
      </c>
      <c r="Q532">
        <v>4.8079858944019449E-2</v>
      </c>
      <c r="R532">
        <f t="shared" si="76"/>
        <v>5.5529607583197561E-2</v>
      </c>
      <c r="S532">
        <f t="shared" si="77"/>
        <v>-7.4497486391781123E-3</v>
      </c>
      <c r="T532">
        <v>3.1400900451190594E-2</v>
      </c>
    </row>
    <row r="533" spans="2:20" x14ac:dyDescent="0.25">
      <c r="B533">
        <f t="shared" si="78"/>
        <v>532</v>
      </c>
      <c r="C533">
        <v>4.8379988579464239E-2</v>
      </c>
      <c r="D533">
        <f t="shared" si="72"/>
        <v>36.330111298274154</v>
      </c>
      <c r="E533">
        <f t="shared" si="79"/>
        <v>36.330111298274154</v>
      </c>
      <c r="F533">
        <f t="shared" si="80"/>
        <v>5.4099683782450829E-2</v>
      </c>
      <c r="G533">
        <f t="shared" si="73"/>
        <v>36.113712563144354</v>
      </c>
      <c r="H533">
        <f t="shared" si="74"/>
        <v>-5.7196952029865897E-3</v>
      </c>
      <c r="I533">
        <f t="shared" si="75"/>
        <v>36.276011614491701</v>
      </c>
      <c r="P533" s="2">
        <v>37834</v>
      </c>
      <c r="Q533">
        <v>4.8379988579464239E-2</v>
      </c>
      <c r="R533">
        <f t="shared" si="76"/>
        <v>5.4099683782450829E-2</v>
      </c>
      <c r="S533">
        <f t="shared" si="77"/>
        <v>-5.7196952029865897E-3</v>
      </c>
      <c r="T533">
        <v>3.1332253360270457E-2</v>
      </c>
    </row>
    <row r="534" spans="2:20" x14ac:dyDescent="0.25">
      <c r="B534">
        <f t="shared" si="78"/>
        <v>533</v>
      </c>
      <c r="C534">
        <v>5.0520253903760803E-2</v>
      </c>
      <c r="D534">
        <f t="shared" si="72"/>
        <v>36.380631552177917</v>
      </c>
      <c r="E534">
        <f t="shared" si="79"/>
        <v>36.380631552177917</v>
      </c>
      <c r="F534">
        <f t="shared" si="80"/>
        <v>5.338379780671261E-2</v>
      </c>
      <c r="G534">
        <f t="shared" si="73"/>
        <v>36.167096360951064</v>
      </c>
      <c r="H534">
        <f t="shared" si="74"/>
        <v>-2.8635439029518067E-3</v>
      </c>
      <c r="I534">
        <f t="shared" si="75"/>
        <v>36.327247754371207</v>
      </c>
      <c r="P534" s="2">
        <v>37865</v>
      </c>
      <c r="Q534">
        <v>5.0520253903760803E-2</v>
      </c>
      <c r="R534">
        <f t="shared" si="76"/>
        <v>5.338379780671261E-2</v>
      </c>
      <c r="S534">
        <f t="shared" si="77"/>
        <v>-2.8635439029518067E-3</v>
      </c>
      <c r="T534">
        <v>2.9787890756621138E-2</v>
      </c>
    </row>
    <row r="535" spans="2:20" x14ac:dyDescent="0.25">
      <c r="B535">
        <f t="shared" si="78"/>
        <v>534</v>
      </c>
      <c r="C535">
        <v>4.4763516041616214E-2</v>
      </c>
      <c r="D535">
        <f t="shared" si="72"/>
        <v>36.42539506821953</v>
      </c>
      <c r="E535">
        <f t="shared" si="79"/>
        <v>36.42539506821953</v>
      </c>
      <c r="F535">
        <f t="shared" si="80"/>
        <v>5.1659741453693189E-2</v>
      </c>
      <c r="G535">
        <f t="shared" si="73"/>
        <v>36.218756102404754</v>
      </c>
      <c r="H535">
        <f t="shared" si="74"/>
        <v>-6.8962254120769756E-3</v>
      </c>
      <c r="I535">
        <f t="shared" si="75"/>
        <v>36.373735326765839</v>
      </c>
      <c r="P535" s="2">
        <v>37895</v>
      </c>
      <c r="Q535">
        <v>4.4763516041616214E-2</v>
      </c>
      <c r="R535">
        <f t="shared" si="76"/>
        <v>5.1659741453693189E-2</v>
      </c>
      <c r="S535">
        <f t="shared" si="77"/>
        <v>-6.8962254120769756E-3</v>
      </c>
      <c r="T535">
        <v>2.9701567606909229E-2</v>
      </c>
    </row>
    <row r="536" spans="2:20" x14ac:dyDescent="0.25">
      <c r="B536">
        <f t="shared" si="78"/>
        <v>535</v>
      </c>
      <c r="C536">
        <v>3.9203527615992328E-2</v>
      </c>
      <c r="D536">
        <f t="shared" si="72"/>
        <v>36.464598595835525</v>
      </c>
      <c r="E536">
        <f t="shared" si="79"/>
        <v>36.464598595835525</v>
      </c>
      <c r="F536">
        <f t="shared" si="80"/>
        <v>4.9168498686154298E-2</v>
      </c>
      <c r="G536">
        <f t="shared" si="73"/>
        <v>36.267924601090911</v>
      </c>
      <c r="H536">
        <f t="shared" si="74"/>
        <v>-9.9649710701619695E-3</v>
      </c>
      <c r="I536">
        <f t="shared" si="75"/>
        <v>36.415430097149368</v>
      </c>
      <c r="P536" s="2">
        <v>37926</v>
      </c>
      <c r="Q536">
        <v>3.9203527615992328E-2</v>
      </c>
      <c r="R536">
        <f t="shared" si="76"/>
        <v>4.9168498686154298E-2</v>
      </c>
      <c r="S536">
        <f t="shared" si="77"/>
        <v>-9.9649710701619695E-3</v>
      </c>
      <c r="T536">
        <v>3.1083095058389354E-2</v>
      </c>
    </row>
    <row r="537" spans="2:20" x14ac:dyDescent="0.25">
      <c r="B537">
        <f t="shared" si="78"/>
        <v>536</v>
      </c>
      <c r="C537">
        <v>3.3810849074694005E-2</v>
      </c>
      <c r="D537">
        <f t="shared" si="72"/>
        <v>36.498409444910223</v>
      </c>
      <c r="E537">
        <f t="shared" si="79"/>
        <v>36.498409444910223</v>
      </c>
      <c r="F537">
        <f t="shared" si="80"/>
        <v>4.6096968763862378E-2</v>
      </c>
      <c r="G537">
        <f t="shared" si="73"/>
        <v>36.314021569854773</v>
      </c>
      <c r="H537">
        <f t="shared" si="74"/>
        <v>-1.2286119689168373E-2</v>
      </c>
      <c r="I537">
        <f t="shared" si="75"/>
        <v>36.452312476146361</v>
      </c>
      <c r="P537" s="2">
        <v>37956</v>
      </c>
      <c r="Q537">
        <v>3.3810849074694005E-2</v>
      </c>
      <c r="R537">
        <f t="shared" si="76"/>
        <v>4.6096968763862378E-2</v>
      </c>
      <c r="S537">
        <f t="shared" si="77"/>
        <v>-1.2286119689168373E-2</v>
      </c>
      <c r="T537">
        <v>3.0283496587252934E-2</v>
      </c>
    </row>
    <row r="538" spans="2:20" x14ac:dyDescent="0.25">
      <c r="B538">
        <f t="shared" si="78"/>
        <v>537</v>
      </c>
      <c r="C538">
        <v>4.3894597652080591E-2</v>
      </c>
      <c r="D538">
        <f t="shared" si="72"/>
        <v>36.542304042562307</v>
      </c>
      <c r="E538">
        <f t="shared" si="79"/>
        <v>36.542304042562307</v>
      </c>
      <c r="F538">
        <f t="shared" si="80"/>
        <v>4.5656494541506734E-2</v>
      </c>
      <c r="G538">
        <f t="shared" si="73"/>
        <v>36.359678064396277</v>
      </c>
      <c r="H538">
        <f t="shared" si="74"/>
        <v>-1.7618968894261428E-3</v>
      </c>
      <c r="I538">
        <f t="shared" si="75"/>
        <v>36.496647548020803</v>
      </c>
      <c r="P538" s="2">
        <v>37987</v>
      </c>
      <c r="Q538">
        <v>4.3894597652080591E-2</v>
      </c>
      <c r="R538">
        <f t="shared" si="76"/>
        <v>4.5656494541506734E-2</v>
      </c>
      <c r="S538">
        <f t="shared" si="77"/>
        <v>-1.7618968894261428E-3</v>
      </c>
      <c r="T538">
        <v>2.9487933030643454E-2</v>
      </c>
    </row>
    <row r="539" spans="2:20" x14ac:dyDescent="0.25">
      <c r="B539">
        <f t="shared" si="78"/>
        <v>538</v>
      </c>
      <c r="C539">
        <v>4.9813705712219658E-2</v>
      </c>
      <c r="D539">
        <f t="shared" si="72"/>
        <v>36.592117748274525</v>
      </c>
      <c r="E539">
        <f t="shared" si="79"/>
        <v>36.592117748274525</v>
      </c>
      <c r="F539">
        <f t="shared" si="80"/>
        <v>4.6487936775649531E-2</v>
      </c>
      <c r="G539">
        <f t="shared" si="73"/>
        <v>36.406166001171925</v>
      </c>
      <c r="H539">
        <f t="shared" si="74"/>
        <v>3.3257689365701268E-3</v>
      </c>
      <c r="I539">
        <f t="shared" si="75"/>
        <v>36.545629811498877</v>
      </c>
      <c r="P539" s="2">
        <v>38018</v>
      </c>
      <c r="Q539">
        <v>4.9813705712219658E-2</v>
      </c>
      <c r="R539">
        <f t="shared" si="76"/>
        <v>4.6487936775649531E-2</v>
      </c>
      <c r="S539">
        <f t="shared" si="77"/>
        <v>3.3257689365701268E-3</v>
      </c>
      <c r="T539">
        <v>3.2272431404850366E-2</v>
      </c>
    </row>
    <row r="540" spans="2:20" x14ac:dyDescent="0.25">
      <c r="B540">
        <f t="shared" si="78"/>
        <v>539</v>
      </c>
      <c r="C540">
        <v>5.3056415980256233E-2</v>
      </c>
      <c r="D540">
        <f t="shared" si="72"/>
        <v>36.645174164254783</v>
      </c>
      <c r="E540">
        <f t="shared" si="79"/>
        <v>36.645174164254783</v>
      </c>
      <c r="F540">
        <f t="shared" si="80"/>
        <v>4.7801632616571513E-2</v>
      </c>
      <c r="G540">
        <f t="shared" si="73"/>
        <v>36.453967633788494</v>
      </c>
      <c r="H540">
        <f t="shared" si="74"/>
        <v>5.2547833636847202E-3</v>
      </c>
      <c r="I540">
        <f t="shared" si="75"/>
        <v>36.597372531638214</v>
      </c>
      <c r="P540" s="2">
        <v>38047</v>
      </c>
      <c r="Q540">
        <v>5.3056415980256233E-2</v>
      </c>
      <c r="R540">
        <f t="shared" si="76"/>
        <v>4.7801632616571513E-2</v>
      </c>
      <c r="S540">
        <f t="shared" si="77"/>
        <v>5.2547833636847202E-3</v>
      </c>
      <c r="T540">
        <v>3.0727676523496505E-2</v>
      </c>
    </row>
    <row r="541" spans="2:20" x14ac:dyDescent="0.25">
      <c r="B541">
        <f t="shared" si="78"/>
        <v>540</v>
      </c>
      <c r="C541">
        <v>5.6239589558838787E-2</v>
      </c>
      <c r="D541">
        <f t="shared" si="72"/>
        <v>36.701413753813625</v>
      </c>
      <c r="E541">
        <f t="shared" si="79"/>
        <v>36.701413753813625</v>
      </c>
      <c r="F541">
        <f t="shared" si="80"/>
        <v>4.9489224005026249E-2</v>
      </c>
      <c r="G541">
        <f t="shared" si="73"/>
        <v>36.503456857793523</v>
      </c>
      <c r="H541">
        <f t="shared" si="74"/>
        <v>6.7503655538125387E-3</v>
      </c>
      <c r="I541">
        <f t="shared" si="75"/>
        <v>36.651924529808596</v>
      </c>
      <c r="P541" s="2">
        <v>38078</v>
      </c>
      <c r="Q541">
        <v>5.6239589558838787E-2</v>
      </c>
      <c r="R541">
        <f t="shared" si="76"/>
        <v>4.9489224005026249E-2</v>
      </c>
      <c r="S541">
        <f t="shared" si="77"/>
        <v>6.7503655538125387E-3</v>
      </c>
      <c r="T541">
        <v>2.9235593762236611E-2</v>
      </c>
    </row>
    <row r="542" spans="2:20" x14ac:dyDescent="0.25">
      <c r="B542">
        <f t="shared" si="78"/>
        <v>541</v>
      </c>
      <c r="C542">
        <v>5.5854516374870045E-2</v>
      </c>
      <c r="D542">
        <f t="shared" si="72"/>
        <v>36.757268270188497</v>
      </c>
      <c r="E542">
        <f t="shared" si="79"/>
        <v>36.757268270188497</v>
      </c>
      <c r="F542">
        <f t="shared" si="80"/>
        <v>5.0762282478994794E-2</v>
      </c>
      <c r="G542">
        <f t="shared" si="73"/>
        <v>36.554219140272515</v>
      </c>
      <c r="H542">
        <f t="shared" si="74"/>
        <v>5.0922338958752505E-3</v>
      </c>
      <c r="I542">
        <f t="shared" si="75"/>
        <v>36.706505987709505</v>
      </c>
      <c r="P542" s="2">
        <v>38108</v>
      </c>
      <c r="Q542">
        <v>5.5854516374870045E-2</v>
      </c>
      <c r="R542">
        <f t="shared" si="76"/>
        <v>5.0762282478994794E-2</v>
      </c>
      <c r="S542">
        <f t="shared" si="77"/>
        <v>5.0922338958752505E-3</v>
      </c>
      <c r="T542">
        <v>3.2019811234771822E-2</v>
      </c>
    </row>
    <row r="543" spans="2:20" x14ac:dyDescent="0.25">
      <c r="B543">
        <f t="shared" si="78"/>
        <v>542</v>
      </c>
      <c r="C543">
        <v>5.0779612273496255E-2</v>
      </c>
      <c r="D543">
        <f t="shared" si="72"/>
        <v>36.808047882461992</v>
      </c>
      <c r="E543">
        <f t="shared" si="79"/>
        <v>36.808047882461992</v>
      </c>
      <c r="F543">
        <f t="shared" si="80"/>
        <v>5.0765748437895303E-2</v>
      </c>
      <c r="G543">
        <f t="shared" si="73"/>
        <v>36.604984888710412</v>
      </c>
      <c r="H543">
        <f t="shared" si="74"/>
        <v>1.386383560095239E-5</v>
      </c>
      <c r="I543">
        <f t="shared" si="75"/>
        <v>36.757282134024095</v>
      </c>
      <c r="P543" s="2">
        <v>38139</v>
      </c>
      <c r="Q543">
        <v>5.0779612273496255E-2</v>
      </c>
      <c r="R543">
        <f t="shared" si="76"/>
        <v>5.0765748437895303E-2</v>
      </c>
      <c r="S543">
        <f t="shared" si="77"/>
        <v>1.386383560095239E-5</v>
      </c>
      <c r="T543">
        <v>3.1951599806602005E-2</v>
      </c>
    </row>
    <row r="544" spans="2:20" x14ac:dyDescent="0.25">
      <c r="B544">
        <f t="shared" si="78"/>
        <v>543</v>
      </c>
      <c r="C544">
        <v>4.6355185810226018E-2</v>
      </c>
      <c r="D544">
        <f t="shared" si="72"/>
        <v>36.854403068272219</v>
      </c>
      <c r="E544">
        <f t="shared" si="79"/>
        <v>36.854403068272219</v>
      </c>
      <c r="F544">
        <f t="shared" si="80"/>
        <v>4.9883635912361515E-2</v>
      </c>
      <c r="G544">
        <f t="shared" si="73"/>
        <v>36.654868524622771</v>
      </c>
      <c r="H544">
        <f t="shared" si="74"/>
        <v>-3.5284501021354969E-3</v>
      </c>
      <c r="I544">
        <f t="shared" si="75"/>
        <v>36.804519432359861</v>
      </c>
      <c r="P544" s="2">
        <v>38169</v>
      </c>
      <c r="Q544">
        <v>4.6355185810226018E-2</v>
      </c>
      <c r="R544">
        <f t="shared" si="76"/>
        <v>4.9883635912361515E-2</v>
      </c>
      <c r="S544">
        <f t="shared" si="77"/>
        <v>-3.5284501021354969E-3</v>
      </c>
      <c r="T544">
        <v>2.9747235904729052E-2</v>
      </c>
    </row>
    <row r="545" spans="2:20" x14ac:dyDescent="0.25">
      <c r="B545">
        <f t="shared" si="78"/>
        <v>544</v>
      </c>
      <c r="C545">
        <v>4.1865512406410232E-2</v>
      </c>
      <c r="D545">
        <f t="shared" si="72"/>
        <v>36.89626858067863</v>
      </c>
      <c r="E545">
        <f t="shared" si="79"/>
        <v>36.89626858067863</v>
      </c>
      <c r="F545">
        <f t="shared" si="80"/>
        <v>4.8280011211171828E-2</v>
      </c>
      <c r="G545">
        <f t="shared" si="73"/>
        <v>36.70314853583394</v>
      </c>
      <c r="H545">
        <f t="shared" si="74"/>
        <v>-6.4144988047615953E-3</v>
      </c>
      <c r="I545">
        <f t="shared" si="75"/>
        <v>36.847988569467461</v>
      </c>
      <c r="P545" s="2">
        <v>38200</v>
      </c>
      <c r="Q545">
        <v>4.1865512406410232E-2</v>
      </c>
      <c r="R545">
        <f t="shared" si="76"/>
        <v>4.8280011211171828E-2</v>
      </c>
      <c r="S545">
        <f t="shared" si="77"/>
        <v>-6.4144988047615953E-3</v>
      </c>
      <c r="T545">
        <v>3.1075946960522849E-2</v>
      </c>
    </row>
    <row r="546" spans="2:20" x14ac:dyDescent="0.25">
      <c r="B546">
        <f t="shared" si="78"/>
        <v>545</v>
      </c>
      <c r="C546">
        <v>3.2212746432385586E-2</v>
      </c>
      <c r="D546">
        <f t="shared" si="72"/>
        <v>36.928481327111015</v>
      </c>
      <c r="E546">
        <f t="shared" si="79"/>
        <v>36.928481327111015</v>
      </c>
      <c r="F546">
        <f t="shared" si="80"/>
        <v>4.5066558255415147E-2</v>
      </c>
      <c r="G546">
        <f t="shared" si="73"/>
        <v>36.748215094089353</v>
      </c>
      <c r="H546">
        <f t="shared" si="74"/>
        <v>-1.2853811823029561E-2</v>
      </c>
      <c r="I546">
        <f t="shared" si="75"/>
        <v>36.883414768855602</v>
      </c>
      <c r="P546" s="2">
        <v>38231</v>
      </c>
      <c r="Q546">
        <v>3.2212746432385586E-2</v>
      </c>
      <c r="R546">
        <f t="shared" si="76"/>
        <v>4.5066558255415147E-2</v>
      </c>
      <c r="S546">
        <f t="shared" si="77"/>
        <v>-1.2853811823029561E-2</v>
      </c>
      <c r="T546">
        <v>3.1703958587932846E-2</v>
      </c>
    </row>
    <row r="547" spans="2:20" x14ac:dyDescent="0.25">
      <c r="B547">
        <f t="shared" si="78"/>
        <v>546</v>
      </c>
      <c r="C547">
        <v>3.6837990442087687E-2</v>
      </c>
      <c r="D547">
        <f t="shared" si="72"/>
        <v>36.965319317553103</v>
      </c>
      <c r="E547">
        <f t="shared" si="79"/>
        <v>36.965319317553103</v>
      </c>
      <c r="F547">
        <f t="shared" si="80"/>
        <v>4.3420844692749941E-2</v>
      </c>
      <c r="G547">
        <f t="shared" si="73"/>
        <v>36.7916359387821</v>
      </c>
      <c r="H547">
        <f t="shared" si="74"/>
        <v>-6.5828542506622539E-3</v>
      </c>
      <c r="I547">
        <f t="shared" si="75"/>
        <v>36.921898472860356</v>
      </c>
      <c r="P547" s="2">
        <v>38261</v>
      </c>
      <c r="Q547">
        <v>3.6837990442087687E-2</v>
      </c>
      <c r="R547">
        <f t="shared" si="76"/>
        <v>4.3420844692749941E-2</v>
      </c>
      <c r="S547">
        <f t="shared" si="77"/>
        <v>-6.5828542506622539E-3</v>
      </c>
      <c r="T547">
        <v>2.9538012436863603E-2</v>
      </c>
    </row>
    <row r="548" spans="2:20" x14ac:dyDescent="0.25">
      <c r="B548">
        <f t="shared" si="78"/>
        <v>547</v>
      </c>
      <c r="C548">
        <v>3.9485073360287615E-2</v>
      </c>
      <c r="D548">
        <f t="shared" si="72"/>
        <v>37.004804390913392</v>
      </c>
      <c r="E548">
        <f t="shared" si="79"/>
        <v>37.004804390913392</v>
      </c>
      <c r="F548">
        <f t="shared" si="80"/>
        <v>4.2633690426258398E-2</v>
      </c>
      <c r="G548">
        <f t="shared" si="73"/>
        <v>36.834269629208357</v>
      </c>
      <c r="H548">
        <f t="shared" si="74"/>
        <v>-3.1486170659707838E-3</v>
      </c>
      <c r="I548">
        <f t="shared" si="75"/>
        <v>36.962170700487135</v>
      </c>
      <c r="P548" s="2">
        <v>38292</v>
      </c>
      <c r="Q548">
        <v>3.9485073360287615E-2</v>
      </c>
      <c r="R548">
        <f t="shared" si="76"/>
        <v>4.2633690426258398E-2</v>
      </c>
      <c r="S548">
        <f t="shared" si="77"/>
        <v>-3.1486170659707838E-3</v>
      </c>
      <c r="T548">
        <v>2.8072018778686036E-2</v>
      </c>
    </row>
    <row r="549" spans="2:20" x14ac:dyDescent="0.25">
      <c r="B549">
        <f t="shared" si="78"/>
        <v>548</v>
      </c>
      <c r="C549">
        <v>4.0313514237636738E-2</v>
      </c>
      <c r="D549">
        <f t="shared" si="72"/>
        <v>37.045117905151031</v>
      </c>
      <c r="E549">
        <f t="shared" si="79"/>
        <v>37.045117905151031</v>
      </c>
      <c r="F549">
        <f t="shared" si="80"/>
        <v>4.2169655188534709E-2</v>
      </c>
      <c r="G549">
        <f t="shared" si="73"/>
        <v>36.876439284396895</v>
      </c>
      <c r="H549">
        <f t="shared" si="74"/>
        <v>-1.8561409508979707E-3</v>
      </c>
      <c r="I549">
        <f t="shared" si="75"/>
        <v>37.002948249962493</v>
      </c>
      <c r="P549" s="2">
        <v>38322</v>
      </c>
      <c r="Q549">
        <v>4.0313514237636738E-2</v>
      </c>
      <c r="R549">
        <f t="shared" si="76"/>
        <v>4.2169655188534709E-2</v>
      </c>
      <c r="S549">
        <f t="shared" si="77"/>
        <v>-1.8561409508979707E-3</v>
      </c>
      <c r="T549">
        <v>2.8013036227673815E-2</v>
      </c>
    </row>
    <row r="550" spans="2:20" x14ac:dyDescent="0.25">
      <c r="B550">
        <f t="shared" si="78"/>
        <v>549</v>
      </c>
      <c r="C550">
        <v>4.0006570667536323E-2</v>
      </c>
      <c r="D550">
        <f t="shared" si="72"/>
        <v>37.085124475818567</v>
      </c>
      <c r="E550">
        <f t="shared" si="79"/>
        <v>37.085124475818567</v>
      </c>
      <c r="F550">
        <f t="shared" si="80"/>
        <v>4.1737038284334463E-2</v>
      </c>
      <c r="G550">
        <f t="shared" si="73"/>
        <v>36.918176322681227</v>
      </c>
      <c r="H550">
        <f t="shared" si="74"/>
        <v>-1.7304676167981398E-3</v>
      </c>
      <c r="I550">
        <f t="shared" si="75"/>
        <v>37.043387437534236</v>
      </c>
      <c r="P550" s="2">
        <v>38353</v>
      </c>
      <c r="Q550">
        <v>4.0006570667536323E-2</v>
      </c>
      <c r="R550">
        <f t="shared" si="76"/>
        <v>4.1737038284334463E-2</v>
      </c>
      <c r="S550">
        <f t="shared" si="77"/>
        <v>-1.7304676167981398E-3</v>
      </c>
      <c r="T550">
        <v>2.7264883561805675E-2</v>
      </c>
    </row>
    <row r="551" spans="2:20" x14ac:dyDescent="0.25">
      <c r="B551">
        <f t="shared" si="78"/>
        <v>550</v>
      </c>
      <c r="C551">
        <v>4.0783709068312746E-2</v>
      </c>
      <c r="D551">
        <f t="shared" si="72"/>
        <v>37.125908184886882</v>
      </c>
      <c r="E551">
        <f t="shared" si="79"/>
        <v>37.125908184886882</v>
      </c>
      <c r="F551">
        <f t="shared" si="80"/>
        <v>4.1546372441131046E-2</v>
      </c>
      <c r="G551">
        <f t="shared" si="73"/>
        <v>36.959722695122359</v>
      </c>
      <c r="H551">
        <f t="shared" si="74"/>
        <v>-7.6266337281830077E-4</v>
      </c>
      <c r="I551">
        <f t="shared" si="75"/>
        <v>37.084361812445749</v>
      </c>
      <c r="P551" s="2">
        <v>38384</v>
      </c>
      <c r="Q551">
        <v>4.0783709068312746E-2</v>
      </c>
      <c r="R551">
        <f t="shared" si="76"/>
        <v>4.1546372441131046E-2</v>
      </c>
      <c r="S551">
        <f t="shared" si="77"/>
        <v>-7.6266337281830077E-4</v>
      </c>
      <c r="T551">
        <v>2.7150989065950704E-2</v>
      </c>
    </row>
    <row r="552" spans="2:20" x14ac:dyDescent="0.25">
      <c r="B552">
        <f t="shared" si="78"/>
        <v>551</v>
      </c>
      <c r="C552">
        <v>3.9101711969740549E-2</v>
      </c>
      <c r="D552">
        <f t="shared" si="72"/>
        <v>37.165009896856624</v>
      </c>
      <c r="E552">
        <f t="shared" si="79"/>
        <v>37.165009896856624</v>
      </c>
      <c r="F552">
        <f t="shared" si="80"/>
        <v>4.1057440346853019E-2</v>
      </c>
      <c r="G552">
        <f t="shared" si="73"/>
        <v>37.000780135469213</v>
      </c>
      <c r="H552">
        <f t="shared" si="74"/>
        <v>-1.9557283771124701E-3</v>
      </c>
      <c r="I552">
        <f t="shared" si="75"/>
        <v>37.12395245650977</v>
      </c>
      <c r="P552" s="2">
        <v>38412</v>
      </c>
      <c r="Q552">
        <v>3.9101711969740549E-2</v>
      </c>
      <c r="R552">
        <f t="shared" si="76"/>
        <v>4.1057440346853019E-2</v>
      </c>
      <c r="S552">
        <f t="shared" si="77"/>
        <v>-1.9557283771124701E-3</v>
      </c>
      <c r="T552">
        <v>2.7075586605281643E-2</v>
      </c>
    </row>
    <row r="553" spans="2:20" x14ac:dyDescent="0.25">
      <c r="B553">
        <f t="shared" si="78"/>
        <v>552</v>
      </c>
      <c r="C553">
        <v>4.0249093114379519E-2</v>
      </c>
      <c r="D553">
        <f t="shared" si="72"/>
        <v>37.205258989971</v>
      </c>
      <c r="E553">
        <f t="shared" si="79"/>
        <v>37.205258989971</v>
      </c>
      <c r="F553">
        <f t="shared" si="80"/>
        <v>4.0895770900357321E-2</v>
      </c>
      <c r="G553">
        <f t="shared" si="73"/>
        <v>37.041675906369569</v>
      </c>
      <c r="H553">
        <f t="shared" si="74"/>
        <v>-6.4667778597780196E-4</v>
      </c>
      <c r="I553">
        <f t="shared" si="75"/>
        <v>37.164363219070644</v>
      </c>
      <c r="P553" s="2">
        <v>38443</v>
      </c>
      <c r="Q553">
        <v>4.0249093114379519E-2</v>
      </c>
      <c r="R553">
        <f t="shared" si="76"/>
        <v>4.0895770900357321E-2</v>
      </c>
      <c r="S553">
        <f t="shared" si="77"/>
        <v>-6.4667778597780196E-4</v>
      </c>
      <c r="T553">
        <v>2.7721802930272155E-2</v>
      </c>
    </row>
    <row r="554" spans="2:20" x14ac:dyDescent="0.25">
      <c r="B554">
        <f t="shared" si="78"/>
        <v>553</v>
      </c>
      <c r="C554">
        <v>4.5609024109515062E-2</v>
      </c>
      <c r="D554">
        <f t="shared" si="72"/>
        <v>37.250868014080517</v>
      </c>
      <c r="E554">
        <f t="shared" si="79"/>
        <v>37.250868014080517</v>
      </c>
      <c r="F554">
        <f t="shared" si="80"/>
        <v>4.1838421542189509E-2</v>
      </c>
      <c r="G554">
        <f t="shared" si="73"/>
        <v>37.083514327911757</v>
      </c>
      <c r="H554">
        <f t="shared" si="74"/>
        <v>3.7706025673255525E-3</v>
      </c>
      <c r="I554">
        <f t="shared" si="75"/>
        <v>37.209029592538329</v>
      </c>
      <c r="P554" s="2">
        <v>38473</v>
      </c>
      <c r="Q554">
        <v>4.5609024109515062E-2</v>
      </c>
      <c r="R554">
        <f t="shared" si="76"/>
        <v>4.1838421542189509E-2</v>
      </c>
      <c r="S554">
        <f t="shared" si="77"/>
        <v>3.7706025673255525E-3</v>
      </c>
      <c r="T554">
        <v>2.4214258120593968E-2</v>
      </c>
    </row>
    <row r="555" spans="2:20" x14ac:dyDescent="0.25">
      <c r="B555">
        <f t="shared" si="78"/>
        <v>554</v>
      </c>
      <c r="C555">
        <v>4.7925173713338154E-2</v>
      </c>
      <c r="D555">
        <f t="shared" si="72"/>
        <v>37.298793187793855</v>
      </c>
      <c r="E555">
        <f t="shared" si="79"/>
        <v>37.298793187793855</v>
      </c>
      <c r="F555">
        <f t="shared" si="80"/>
        <v>4.3055771976419521E-2</v>
      </c>
      <c r="G555">
        <f t="shared" si="73"/>
        <v>37.126570099888177</v>
      </c>
      <c r="H555">
        <f t="shared" si="74"/>
        <v>4.8694017369186327E-3</v>
      </c>
      <c r="I555">
        <f t="shared" si="75"/>
        <v>37.255737415817435</v>
      </c>
      <c r="P555" s="2">
        <v>38504</v>
      </c>
      <c r="Q555">
        <v>4.7925173713338154E-2</v>
      </c>
      <c r="R555">
        <f t="shared" si="76"/>
        <v>4.3055771976419521E-2</v>
      </c>
      <c r="S555">
        <f t="shared" si="77"/>
        <v>4.8694017369186327E-3</v>
      </c>
      <c r="T555">
        <v>2.4845998586530804E-2</v>
      </c>
    </row>
    <row r="556" spans="2:20" x14ac:dyDescent="0.25">
      <c r="B556">
        <f t="shared" si="78"/>
        <v>555</v>
      </c>
      <c r="C556">
        <v>4.8628264487000195E-2</v>
      </c>
      <c r="D556">
        <f t="shared" si="72"/>
        <v>37.347421452280855</v>
      </c>
      <c r="E556">
        <f t="shared" si="79"/>
        <v>37.347421452280855</v>
      </c>
      <c r="F556">
        <f t="shared" si="80"/>
        <v>4.417027047853566E-2</v>
      </c>
      <c r="G556">
        <f t="shared" si="73"/>
        <v>37.170740370366715</v>
      </c>
      <c r="H556">
        <f t="shared" si="74"/>
        <v>4.4579940084645345E-3</v>
      </c>
      <c r="I556">
        <f t="shared" si="75"/>
        <v>37.303251181802317</v>
      </c>
      <c r="P556" s="2">
        <v>38534</v>
      </c>
      <c r="Q556">
        <v>4.8628264487000195E-2</v>
      </c>
      <c r="R556">
        <f t="shared" si="76"/>
        <v>4.417027047853566E-2</v>
      </c>
      <c r="S556">
        <f t="shared" si="77"/>
        <v>4.4579940084645345E-3</v>
      </c>
      <c r="T556">
        <v>2.6172292773265937E-2</v>
      </c>
    </row>
    <row r="557" spans="2:20" x14ac:dyDescent="0.25">
      <c r="B557">
        <f t="shared" si="78"/>
        <v>556</v>
      </c>
      <c r="C557">
        <v>5.1942876575761687E-2</v>
      </c>
      <c r="D557">
        <f t="shared" si="72"/>
        <v>37.39936432885662</v>
      </c>
      <c r="E557">
        <f t="shared" si="79"/>
        <v>37.39936432885662</v>
      </c>
      <c r="F557">
        <f t="shared" si="80"/>
        <v>4.5724791697981007E-2</v>
      </c>
      <c r="G557">
        <f t="shared" si="73"/>
        <v>37.216465162064694</v>
      </c>
      <c r="H557">
        <f t="shared" si="74"/>
        <v>6.2180848777806802E-3</v>
      </c>
      <c r="I557">
        <f t="shared" si="75"/>
        <v>37.353639537158642</v>
      </c>
      <c r="P557" s="2">
        <v>38565</v>
      </c>
      <c r="Q557">
        <v>5.1942876575761687E-2</v>
      </c>
      <c r="R557">
        <f t="shared" si="76"/>
        <v>4.5724791697981007E-2</v>
      </c>
      <c r="S557">
        <f t="shared" si="77"/>
        <v>6.2180848777806802E-3</v>
      </c>
      <c r="T557">
        <v>2.3368761007829697E-2</v>
      </c>
    </row>
    <row r="558" spans="2:20" x14ac:dyDescent="0.25">
      <c r="B558">
        <f t="shared" si="78"/>
        <v>557</v>
      </c>
      <c r="C558">
        <v>5.0250778747168212E-2</v>
      </c>
      <c r="D558">
        <f t="shared" si="72"/>
        <v>37.44961510760379</v>
      </c>
      <c r="E558">
        <f t="shared" si="79"/>
        <v>37.44961510760379</v>
      </c>
      <c r="F558">
        <f t="shared" si="80"/>
        <v>4.6629989107819375E-2</v>
      </c>
      <c r="G558">
        <f t="shared" si="73"/>
        <v>37.263095151172514</v>
      </c>
      <c r="H558">
        <f t="shared" si="74"/>
        <v>3.620789639348837E-3</v>
      </c>
      <c r="I558">
        <f t="shared" si="75"/>
        <v>37.40298511849597</v>
      </c>
      <c r="P558" s="2">
        <v>38596</v>
      </c>
      <c r="Q558">
        <v>5.0250778747168212E-2</v>
      </c>
      <c r="R558">
        <f t="shared" si="76"/>
        <v>4.6629989107819375E-2</v>
      </c>
      <c r="S558">
        <f t="shared" si="77"/>
        <v>3.620789639348837E-3</v>
      </c>
      <c r="T558">
        <v>2.2626950929026002E-2</v>
      </c>
    </row>
    <row r="559" spans="2:20" x14ac:dyDescent="0.25">
      <c r="B559">
        <f t="shared" si="78"/>
        <v>558</v>
      </c>
      <c r="C559">
        <v>5.0809762705844363E-2</v>
      </c>
      <c r="D559">
        <f t="shared" si="72"/>
        <v>37.500424870309637</v>
      </c>
      <c r="E559">
        <f t="shared" si="79"/>
        <v>37.500424870309637</v>
      </c>
      <c r="F559">
        <f t="shared" si="80"/>
        <v>4.7465943827424445E-2</v>
      </c>
      <c r="G559">
        <f t="shared" si="73"/>
        <v>37.31056109499994</v>
      </c>
      <c r="H559">
        <f t="shared" si="74"/>
        <v>3.3438188784199185E-3</v>
      </c>
      <c r="I559">
        <f t="shared" si="75"/>
        <v>37.452958926482211</v>
      </c>
      <c r="P559" s="2">
        <v>38626</v>
      </c>
      <c r="Q559">
        <v>5.0809762705844363E-2</v>
      </c>
      <c r="R559">
        <f t="shared" si="76"/>
        <v>4.7465943827424445E-2</v>
      </c>
      <c r="S559">
        <f t="shared" si="77"/>
        <v>3.3438188784199185E-3</v>
      </c>
      <c r="T559">
        <v>2.4641903936928777E-2</v>
      </c>
    </row>
    <row r="560" spans="2:20" x14ac:dyDescent="0.25">
      <c r="B560">
        <f t="shared" si="78"/>
        <v>559</v>
      </c>
      <c r="C560">
        <v>5.199439771737957E-2</v>
      </c>
      <c r="D560">
        <f t="shared" si="72"/>
        <v>37.552419268027016</v>
      </c>
      <c r="E560">
        <f t="shared" si="79"/>
        <v>37.552419268027016</v>
      </c>
      <c r="F560">
        <f t="shared" si="80"/>
        <v>4.8371634605415187E-2</v>
      </c>
      <c r="G560">
        <f t="shared" si="73"/>
        <v>37.358932729605357</v>
      </c>
      <c r="H560">
        <f t="shared" si="74"/>
        <v>3.6227631119643833E-3</v>
      </c>
      <c r="I560">
        <f t="shared" si="75"/>
        <v>37.5040476334216</v>
      </c>
      <c r="P560" s="2">
        <v>38657</v>
      </c>
      <c r="Q560">
        <v>5.199439771737957E-2</v>
      </c>
      <c r="R560">
        <f t="shared" si="76"/>
        <v>4.8371634605415187E-2</v>
      </c>
      <c r="S560">
        <f t="shared" si="77"/>
        <v>3.6227631119643833E-3</v>
      </c>
      <c r="T560">
        <v>2.6631823180792935E-2</v>
      </c>
    </row>
    <row r="561" spans="2:20" x14ac:dyDescent="0.25">
      <c r="B561">
        <f t="shared" si="78"/>
        <v>560</v>
      </c>
      <c r="C561">
        <v>5.1452333215046053E-2</v>
      </c>
      <c r="D561">
        <f t="shared" si="72"/>
        <v>37.603871601242062</v>
      </c>
      <c r="E561">
        <f t="shared" si="79"/>
        <v>37.603871601242062</v>
      </c>
      <c r="F561">
        <f t="shared" si="80"/>
        <v>4.8987774327341076E-2</v>
      </c>
      <c r="G561">
        <f t="shared" si="73"/>
        <v>37.407920503932701</v>
      </c>
      <c r="H561">
        <f t="shared" si="74"/>
        <v>2.4645588877049776E-3</v>
      </c>
      <c r="I561">
        <f t="shared" si="75"/>
        <v>37.554883826914718</v>
      </c>
      <c r="P561" s="2">
        <v>38687</v>
      </c>
      <c r="Q561">
        <v>5.1452333215046053E-2</v>
      </c>
      <c r="R561">
        <f t="shared" si="76"/>
        <v>4.8987774327341076E-2</v>
      </c>
      <c r="S561">
        <f t="shared" si="77"/>
        <v>2.4645588877049776E-3</v>
      </c>
      <c r="T561">
        <v>2.859282599384283E-2</v>
      </c>
    </row>
    <row r="562" spans="2:20" x14ac:dyDescent="0.25">
      <c r="B562">
        <f t="shared" si="78"/>
        <v>561</v>
      </c>
      <c r="C562">
        <v>5.0185826746563578E-2</v>
      </c>
      <c r="D562">
        <f t="shared" si="72"/>
        <v>37.654057427988626</v>
      </c>
      <c r="E562">
        <f t="shared" si="79"/>
        <v>37.654057427988626</v>
      </c>
      <c r="F562">
        <f t="shared" si="80"/>
        <v>4.9227384811185007E-2</v>
      </c>
      <c r="G562">
        <f t="shared" si="73"/>
        <v>37.457147888743883</v>
      </c>
      <c r="H562">
        <f t="shared" si="74"/>
        <v>9.5844193537857059E-4</v>
      </c>
      <c r="I562">
        <f t="shared" si="75"/>
        <v>37.604830043177444</v>
      </c>
      <c r="P562" s="2">
        <v>38718</v>
      </c>
      <c r="Q562">
        <v>5.0185826746563578E-2</v>
      </c>
      <c r="R562">
        <f t="shared" si="76"/>
        <v>4.9227384811185007E-2</v>
      </c>
      <c r="S562">
        <f t="shared" si="77"/>
        <v>9.5844193537857059E-4</v>
      </c>
      <c r="T562">
        <v>2.9223962124570235E-2</v>
      </c>
    </row>
    <row r="563" spans="2:20" x14ac:dyDescent="0.25">
      <c r="B563">
        <f t="shared" si="78"/>
        <v>562</v>
      </c>
      <c r="C563">
        <v>5.205144996019051E-2</v>
      </c>
      <c r="D563">
        <f t="shared" si="72"/>
        <v>37.706108877948814</v>
      </c>
      <c r="E563">
        <f t="shared" si="79"/>
        <v>37.706108877948814</v>
      </c>
      <c r="F563">
        <f t="shared" si="80"/>
        <v>4.9792197840986319E-2</v>
      </c>
      <c r="G563">
        <f t="shared" si="73"/>
        <v>37.506940086584869</v>
      </c>
      <c r="H563">
        <f t="shared" si="74"/>
        <v>2.2592521192041914E-3</v>
      </c>
      <c r="I563">
        <f t="shared" si="75"/>
        <v>37.656316680107828</v>
      </c>
      <c r="P563" s="2">
        <v>38749</v>
      </c>
      <c r="Q563">
        <v>5.205144996019051E-2</v>
      </c>
      <c r="R563">
        <f t="shared" si="76"/>
        <v>4.9792197840986319E-2</v>
      </c>
      <c r="S563">
        <f t="shared" si="77"/>
        <v>2.2592521192041914E-3</v>
      </c>
      <c r="T563">
        <v>2.5764136936131443E-2</v>
      </c>
    </row>
    <row r="564" spans="2:20" x14ac:dyDescent="0.25">
      <c r="B564">
        <f t="shared" si="78"/>
        <v>563</v>
      </c>
      <c r="C564">
        <v>5.4590632054525301E-2</v>
      </c>
      <c r="D564">
        <f t="shared" ref="D564:D627" si="81">D563 +C564</f>
        <v>37.760699510003342</v>
      </c>
      <c r="E564">
        <f t="shared" si="79"/>
        <v>37.760699510003342</v>
      </c>
      <c r="F564">
        <f t="shared" si="80"/>
        <v>5.0751884683694473E-2</v>
      </c>
      <c r="G564">
        <f t="shared" ref="G564:G627" si="82">G563 + F564</f>
        <v>37.557691971268561</v>
      </c>
      <c r="H564">
        <f t="shared" ref="H564:H627" si="83">C564-F564</f>
        <v>3.8387473708308278E-3</v>
      </c>
      <c r="I564">
        <f t="shared" ref="I564:I627" si="84">E564-F564</f>
        <v>37.70994762531965</v>
      </c>
      <c r="P564" s="2">
        <v>38777</v>
      </c>
      <c r="Q564">
        <v>5.4590632054525301E-2</v>
      </c>
      <c r="R564">
        <f t="shared" ref="R564:R627" si="85">F564</f>
        <v>5.0751884683694473E-2</v>
      </c>
      <c r="S564">
        <f t="shared" ref="S564:S627" si="86">H564</f>
        <v>3.8387473708308278E-3</v>
      </c>
      <c r="T564">
        <v>2.5694449374783268E-2</v>
      </c>
    </row>
    <row r="565" spans="2:20" x14ac:dyDescent="0.25">
      <c r="B565">
        <f t="shared" si="78"/>
        <v>564</v>
      </c>
      <c r="C565">
        <v>5.6684384406318955E-2</v>
      </c>
      <c r="D565">
        <f t="shared" si="81"/>
        <v>37.817383894409659</v>
      </c>
      <c r="E565">
        <f t="shared" si="79"/>
        <v>37.817383894409659</v>
      </c>
      <c r="F565">
        <f t="shared" si="80"/>
        <v>5.1938384628219585E-2</v>
      </c>
      <c r="G565">
        <f t="shared" si="82"/>
        <v>37.609630355896783</v>
      </c>
      <c r="H565">
        <f t="shared" si="83"/>
        <v>4.7459997780993704E-3</v>
      </c>
      <c r="I565">
        <f t="shared" si="84"/>
        <v>37.765445509781436</v>
      </c>
      <c r="P565" s="2">
        <v>38808</v>
      </c>
      <c r="Q565">
        <v>5.6684384406318955E-2</v>
      </c>
      <c r="R565">
        <f t="shared" si="85"/>
        <v>5.1938384628219585E-2</v>
      </c>
      <c r="S565">
        <f t="shared" si="86"/>
        <v>4.7459997780993704E-3</v>
      </c>
      <c r="T565">
        <v>2.5642430613337375E-2</v>
      </c>
    </row>
    <row r="566" spans="2:20" x14ac:dyDescent="0.25">
      <c r="B566">
        <f t="shared" si="78"/>
        <v>565</v>
      </c>
      <c r="C566">
        <v>5.5718152591214931E-2</v>
      </c>
      <c r="D566">
        <f t="shared" si="81"/>
        <v>37.87310204700087</v>
      </c>
      <c r="E566">
        <f t="shared" si="79"/>
        <v>37.87310204700087</v>
      </c>
      <c r="F566">
        <f t="shared" si="80"/>
        <v>5.2694338220817372E-2</v>
      </c>
      <c r="G566">
        <f t="shared" si="82"/>
        <v>37.662324694117601</v>
      </c>
      <c r="H566">
        <f t="shared" si="83"/>
        <v>3.0238143703975595E-3</v>
      </c>
      <c r="I566">
        <f t="shared" si="84"/>
        <v>37.820407708780053</v>
      </c>
      <c r="P566" s="2">
        <v>38838</v>
      </c>
      <c r="Q566">
        <v>5.5718152591214931E-2</v>
      </c>
      <c r="R566">
        <f t="shared" si="85"/>
        <v>5.2694338220817372E-2</v>
      </c>
      <c r="S566">
        <f t="shared" si="86"/>
        <v>3.0238143703975595E-3</v>
      </c>
      <c r="T566">
        <v>2.8303776162851513E-2</v>
      </c>
    </row>
    <row r="567" spans="2:20" x14ac:dyDescent="0.25">
      <c r="B567">
        <f t="shared" si="78"/>
        <v>566</v>
      </c>
      <c r="C567">
        <v>5.431675456632945E-2</v>
      </c>
      <c r="D567">
        <f t="shared" si="81"/>
        <v>37.9274188015672</v>
      </c>
      <c r="E567">
        <f t="shared" si="79"/>
        <v>37.9274188015672</v>
      </c>
      <c r="F567">
        <f t="shared" si="80"/>
        <v>5.3018821489919793E-2</v>
      </c>
      <c r="G567">
        <f t="shared" si="82"/>
        <v>37.715343515607522</v>
      </c>
      <c r="H567">
        <f t="shared" si="83"/>
        <v>1.2979330764096575E-3</v>
      </c>
      <c r="I567">
        <f t="shared" si="84"/>
        <v>37.874399980077278</v>
      </c>
      <c r="P567" s="2">
        <v>38869</v>
      </c>
      <c r="Q567">
        <v>5.431675456632945E-2</v>
      </c>
      <c r="R567">
        <f t="shared" si="85"/>
        <v>5.3018821489919793E-2</v>
      </c>
      <c r="S567">
        <f t="shared" si="86"/>
        <v>1.2979330764096575E-3</v>
      </c>
      <c r="T567">
        <v>2.8227680624867801E-2</v>
      </c>
    </row>
    <row r="568" spans="2:20" x14ac:dyDescent="0.25">
      <c r="B568">
        <f t="shared" si="78"/>
        <v>567</v>
      </c>
      <c r="C568">
        <v>5.6932482601775192E-2</v>
      </c>
      <c r="D568">
        <f t="shared" si="81"/>
        <v>37.984351284168973</v>
      </c>
      <c r="E568">
        <f t="shared" si="79"/>
        <v>37.984351284168973</v>
      </c>
      <c r="F568">
        <f t="shared" si="80"/>
        <v>5.3801553712290229E-2</v>
      </c>
      <c r="G568">
        <f t="shared" si="82"/>
        <v>37.769145069319812</v>
      </c>
      <c r="H568">
        <f t="shared" si="83"/>
        <v>3.130928889484963E-3</v>
      </c>
      <c r="I568">
        <f t="shared" si="84"/>
        <v>37.930549730456683</v>
      </c>
      <c r="P568" s="2">
        <v>38899</v>
      </c>
      <c r="Q568">
        <v>5.6932482601775192E-2</v>
      </c>
      <c r="R568">
        <f t="shared" si="85"/>
        <v>5.3801553712290229E-2</v>
      </c>
      <c r="S568">
        <f t="shared" si="86"/>
        <v>3.130928889484963E-3</v>
      </c>
      <c r="T568">
        <v>2.7490836138040819E-2</v>
      </c>
    </row>
    <row r="569" spans="2:20" x14ac:dyDescent="0.25">
      <c r="B569">
        <f t="shared" si="78"/>
        <v>568</v>
      </c>
      <c r="C569">
        <v>6.1481508413541164E-2</v>
      </c>
      <c r="D569">
        <f t="shared" si="81"/>
        <v>38.045832792582516</v>
      </c>
      <c r="E569">
        <f t="shared" si="79"/>
        <v>38.045832792582516</v>
      </c>
      <c r="F569">
        <f t="shared" si="80"/>
        <v>5.5337544652540774E-2</v>
      </c>
      <c r="G569">
        <f t="shared" si="82"/>
        <v>37.82448261397235</v>
      </c>
      <c r="H569">
        <f t="shared" si="83"/>
        <v>6.14396376100039E-3</v>
      </c>
      <c r="I569">
        <f t="shared" si="84"/>
        <v>37.990495247929978</v>
      </c>
      <c r="P569" s="2">
        <v>38930</v>
      </c>
      <c r="Q569">
        <v>6.1481508413541164E-2</v>
      </c>
      <c r="R569">
        <f t="shared" si="85"/>
        <v>5.5337544652540774E-2</v>
      </c>
      <c r="S569">
        <f t="shared" si="86"/>
        <v>6.14396376100039E-3</v>
      </c>
      <c r="T569">
        <v>3.0771658666753687E-2</v>
      </c>
    </row>
    <row r="570" spans="2:20" x14ac:dyDescent="0.25">
      <c r="B570">
        <f t="shared" si="78"/>
        <v>569</v>
      </c>
      <c r="C570">
        <v>6.2429981140203594E-2</v>
      </c>
      <c r="D570">
        <f t="shared" si="81"/>
        <v>38.108262773722721</v>
      </c>
      <c r="E570">
        <f t="shared" si="79"/>
        <v>38.108262773722721</v>
      </c>
      <c r="F570">
        <f t="shared" si="80"/>
        <v>5.6756031950074261E-2</v>
      </c>
      <c r="G570">
        <f t="shared" si="82"/>
        <v>37.881238645922423</v>
      </c>
      <c r="H570">
        <f t="shared" si="83"/>
        <v>5.6739491901293335E-3</v>
      </c>
      <c r="I570">
        <f t="shared" si="84"/>
        <v>38.051506741772648</v>
      </c>
      <c r="P570" s="2">
        <v>38961</v>
      </c>
      <c r="Q570">
        <v>6.2429981140203594E-2</v>
      </c>
      <c r="R570">
        <f t="shared" si="85"/>
        <v>5.6756031950074261E-2</v>
      </c>
      <c r="S570">
        <f t="shared" si="86"/>
        <v>5.6739491901293335E-3</v>
      </c>
      <c r="T570">
        <v>3.0710023485371885E-2</v>
      </c>
    </row>
    <row r="571" spans="2:20" x14ac:dyDescent="0.25">
      <c r="B571">
        <f t="shared" si="78"/>
        <v>570</v>
      </c>
      <c r="C571">
        <v>6.1434686592892973E-2</v>
      </c>
      <c r="D571">
        <f t="shared" si="81"/>
        <v>38.169697460315618</v>
      </c>
      <c r="E571">
        <f t="shared" si="79"/>
        <v>38.169697460315618</v>
      </c>
      <c r="F571">
        <f t="shared" si="80"/>
        <v>5.7691762878639002E-2</v>
      </c>
      <c r="G571">
        <f t="shared" si="82"/>
        <v>37.938930408801063</v>
      </c>
      <c r="H571">
        <f t="shared" si="83"/>
        <v>3.7429237142539706E-3</v>
      </c>
      <c r="I571">
        <f t="shared" si="84"/>
        <v>38.112005697436977</v>
      </c>
      <c r="P571" s="2">
        <v>38991</v>
      </c>
      <c r="Q571">
        <v>6.1434686592892973E-2</v>
      </c>
      <c r="R571">
        <f t="shared" si="85"/>
        <v>5.7691762878639002E-2</v>
      </c>
      <c r="S571">
        <f t="shared" si="86"/>
        <v>3.7429237142539706E-3</v>
      </c>
      <c r="T571">
        <v>2.9972273535792127E-2</v>
      </c>
    </row>
    <row r="572" spans="2:20" x14ac:dyDescent="0.25">
      <c r="B572">
        <f t="shared" si="78"/>
        <v>571</v>
      </c>
      <c r="C572">
        <v>5.9572534873936434E-2</v>
      </c>
      <c r="D572">
        <f t="shared" si="81"/>
        <v>38.229269995189554</v>
      </c>
      <c r="E572">
        <f t="shared" si="79"/>
        <v>38.229269995189554</v>
      </c>
      <c r="F572">
        <f t="shared" si="80"/>
        <v>5.8067917277698201E-2</v>
      </c>
      <c r="G572">
        <f t="shared" si="82"/>
        <v>37.99699832607876</v>
      </c>
      <c r="H572">
        <f t="shared" si="83"/>
        <v>1.5046175962382322E-3</v>
      </c>
      <c r="I572">
        <f t="shared" si="84"/>
        <v>38.171202077911857</v>
      </c>
      <c r="P572" s="2">
        <v>39022</v>
      </c>
      <c r="Q572">
        <v>5.9572534873936434E-2</v>
      </c>
      <c r="R572">
        <f t="shared" si="85"/>
        <v>5.8067917277698201E-2</v>
      </c>
      <c r="S572">
        <f t="shared" si="86"/>
        <v>1.5046175962382322E-3</v>
      </c>
      <c r="T572">
        <v>2.7908788117076533E-2</v>
      </c>
    </row>
    <row r="573" spans="2:20" x14ac:dyDescent="0.25">
      <c r="B573">
        <f t="shared" si="78"/>
        <v>572</v>
      </c>
      <c r="C573">
        <v>6.5467850204534273E-2</v>
      </c>
      <c r="D573">
        <f t="shared" si="81"/>
        <v>38.294737845394089</v>
      </c>
      <c r="E573">
        <f t="shared" si="79"/>
        <v>38.294737845394089</v>
      </c>
      <c r="F573">
        <f t="shared" si="80"/>
        <v>5.9547903863065701E-2</v>
      </c>
      <c r="G573">
        <f t="shared" si="82"/>
        <v>38.056546229941823</v>
      </c>
      <c r="H573">
        <f t="shared" si="83"/>
        <v>5.919946341468571E-3</v>
      </c>
      <c r="I573">
        <f t="shared" si="84"/>
        <v>38.235189941531026</v>
      </c>
      <c r="P573" s="2">
        <v>39052</v>
      </c>
      <c r="Q573">
        <v>6.5467850204534273E-2</v>
      </c>
      <c r="R573">
        <f t="shared" si="85"/>
        <v>5.9547903863065701E-2</v>
      </c>
      <c r="S573">
        <f t="shared" si="86"/>
        <v>5.919946341468571E-3</v>
      </c>
      <c r="T573">
        <v>2.5837806989557066E-2</v>
      </c>
    </row>
    <row r="574" spans="2:20" x14ac:dyDescent="0.25">
      <c r="B574">
        <f t="shared" si="78"/>
        <v>573</v>
      </c>
      <c r="C574">
        <v>6.4005560383996851E-2</v>
      </c>
      <c r="D574">
        <f t="shared" si="81"/>
        <v>38.358743405778085</v>
      </c>
      <c r="E574">
        <f t="shared" si="79"/>
        <v>38.358743405778085</v>
      </c>
      <c r="F574">
        <f t="shared" si="80"/>
        <v>6.0439435167252503E-2</v>
      </c>
      <c r="G574">
        <f t="shared" si="82"/>
        <v>38.116985665109077</v>
      </c>
      <c r="H574">
        <f t="shared" si="83"/>
        <v>3.566125216744348E-3</v>
      </c>
      <c r="I574">
        <f t="shared" si="84"/>
        <v>38.298303970610831</v>
      </c>
      <c r="P574" s="2">
        <v>39083</v>
      </c>
      <c r="Q574">
        <v>6.4005560383996851E-2</v>
      </c>
      <c r="R574">
        <f t="shared" si="85"/>
        <v>6.0439435167252503E-2</v>
      </c>
      <c r="S574">
        <f t="shared" si="86"/>
        <v>3.566125216744348E-3</v>
      </c>
      <c r="T574">
        <v>2.5133598118493694E-2</v>
      </c>
    </row>
    <row r="575" spans="2:20" x14ac:dyDescent="0.25">
      <c r="B575">
        <f t="shared" si="78"/>
        <v>574</v>
      </c>
      <c r="C575">
        <v>5.8849079626641654E-2</v>
      </c>
      <c r="D575">
        <f t="shared" si="81"/>
        <v>38.417592485404725</v>
      </c>
      <c r="E575">
        <f t="shared" si="79"/>
        <v>38.417592485404725</v>
      </c>
      <c r="F575">
        <f t="shared" si="80"/>
        <v>6.0121364059129691E-2</v>
      </c>
      <c r="G575">
        <f t="shared" si="82"/>
        <v>38.177107029168205</v>
      </c>
      <c r="H575">
        <f t="shared" si="83"/>
        <v>-1.272284432488037E-3</v>
      </c>
      <c r="I575">
        <f t="shared" si="84"/>
        <v>38.357471121345597</v>
      </c>
      <c r="P575" s="2">
        <v>39114</v>
      </c>
      <c r="Q575">
        <v>5.8849079626641654E-2</v>
      </c>
      <c r="R575">
        <f t="shared" si="85"/>
        <v>6.0121364059129691E-2</v>
      </c>
      <c r="S575">
        <f t="shared" si="86"/>
        <v>-1.272284432488037E-3</v>
      </c>
      <c r="T575">
        <v>2.7073294328534558E-2</v>
      </c>
    </row>
    <row r="576" spans="2:20" x14ac:dyDescent="0.25">
      <c r="B576">
        <f t="shared" si="78"/>
        <v>575</v>
      </c>
      <c r="C576">
        <v>5.715367116560266E-2</v>
      </c>
      <c r="D576">
        <f t="shared" si="81"/>
        <v>38.474746156570326</v>
      </c>
      <c r="E576">
        <f t="shared" si="79"/>
        <v>38.474746156570326</v>
      </c>
      <c r="F576">
        <f t="shared" si="80"/>
        <v>5.9527825480424214E-2</v>
      </c>
      <c r="G576">
        <f t="shared" si="82"/>
        <v>38.236634854648628</v>
      </c>
      <c r="H576">
        <f t="shared" si="83"/>
        <v>-2.3741543148215541E-3</v>
      </c>
      <c r="I576">
        <f t="shared" si="84"/>
        <v>38.415218331089903</v>
      </c>
      <c r="P576" s="2">
        <v>39142</v>
      </c>
      <c r="Q576">
        <v>5.715367116560266E-2</v>
      </c>
      <c r="R576">
        <f t="shared" si="85"/>
        <v>5.9527825480424214E-2</v>
      </c>
      <c r="S576">
        <f t="shared" si="86"/>
        <v>-2.3741543148215541E-3</v>
      </c>
      <c r="T576">
        <v>2.570157946143059E-2</v>
      </c>
    </row>
    <row r="577" spans="2:20" x14ac:dyDescent="0.25">
      <c r="B577">
        <f t="shared" si="78"/>
        <v>576</v>
      </c>
      <c r="C577">
        <v>5.5022403653280705E-2</v>
      </c>
      <c r="D577">
        <f t="shared" si="81"/>
        <v>38.529768560223609</v>
      </c>
      <c r="E577">
        <f t="shared" si="79"/>
        <v>38.529768560223609</v>
      </c>
      <c r="F577">
        <f t="shared" si="80"/>
        <v>5.8626741114996155E-2</v>
      </c>
      <c r="G577">
        <f t="shared" si="82"/>
        <v>38.295261595763627</v>
      </c>
      <c r="H577">
        <f t="shared" si="83"/>
        <v>-3.6043374617154497E-3</v>
      </c>
      <c r="I577">
        <f t="shared" si="84"/>
        <v>38.47114181910861</v>
      </c>
      <c r="P577" s="2">
        <v>39173</v>
      </c>
      <c r="Q577">
        <v>5.5022403653280705E-2</v>
      </c>
      <c r="R577">
        <f t="shared" si="85"/>
        <v>5.8626741114996155E-2</v>
      </c>
      <c r="S577">
        <f t="shared" si="86"/>
        <v>-3.6043374617154497E-3</v>
      </c>
      <c r="T577">
        <v>2.500130220541763E-2</v>
      </c>
    </row>
    <row r="578" spans="2:20" x14ac:dyDescent="0.25">
      <c r="B578">
        <f t="shared" si="78"/>
        <v>577</v>
      </c>
      <c r="C578">
        <v>5.4190101675965607E-2</v>
      </c>
      <c r="D578">
        <f t="shared" si="81"/>
        <v>38.583958661899572</v>
      </c>
      <c r="E578">
        <f t="shared" si="79"/>
        <v>38.583958661899572</v>
      </c>
      <c r="F578">
        <f t="shared" si="80"/>
        <v>5.7739413227189118E-2</v>
      </c>
      <c r="G578">
        <f t="shared" si="82"/>
        <v>38.353001008990816</v>
      </c>
      <c r="H578">
        <f t="shared" si="83"/>
        <v>-3.5493115512235107E-3</v>
      </c>
      <c r="I578">
        <f t="shared" si="84"/>
        <v>38.526219248672383</v>
      </c>
      <c r="P578" s="2">
        <v>39203</v>
      </c>
      <c r="Q578">
        <v>5.4190101675965607E-2</v>
      </c>
      <c r="R578">
        <f t="shared" si="85"/>
        <v>5.7739413227189118E-2</v>
      </c>
      <c r="S578">
        <f t="shared" si="86"/>
        <v>-3.5493115512235107E-3</v>
      </c>
      <c r="T578">
        <v>2.7524673390090015E-2</v>
      </c>
    </row>
    <row r="579" spans="2:20" x14ac:dyDescent="0.25">
      <c r="B579">
        <f t="shared" si="78"/>
        <v>578</v>
      </c>
      <c r="C579">
        <v>6.325880913507298E-2</v>
      </c>
      <c r="D579">
        <f t="shared" si="81"/>
        <v>38.647217471034644</v>
      </c>
      <c r="E579">
        <f t="shared" si="79"/>
        <v>38.647217471034644</v>
      </c>
      <c r="F579">
        <f t="shared" si="80"/>
        <v>5.8843292408765541E-2</v>
      </c>
      <c r="G579">
        <f t="shared" si="82"/>
        <v>38.411844301399583</v>
      </c>
      <c r="H579">
        <f t="shared" si="83"/>
        <v>4.4155167263074391E-3</v>
      </c>
      <c r="I579">
        <f t="shared" si="84"/>
        <v>38.588374178625877</v>
      </c>
      <c r="P579" s="2">
        <v>39234</v>
      </c>
      <c r="Q579">
        <v>6.325880913507298E-2</v>
      </c>
      <c r="R579">
        <f t="shared" si="85"/>
        <v>5.8843292408765541E-2</v>
      </c>
      <c r="S579">
        <f t="shared" si="86"/>
        <v>4.4155167263074391E-3</v>
      </c>
      <c r="T579">
        <v>2.6807751145443426E-2</v>
      </c>
    </row>
    <row r="580" spans="2:20" x14ac:dyDescent="0.25">
      <c r="B580">
        <f t="shared" ref="B580:B643" si="87">B579+1</f>
        <v>579</v>
      </c>
      <c r="C580">
        <v>6.7131502363595885E-2</v>
      </c>
      <c r="D580">
        <f t="shared" si="81"/>
        <v>38.714348973398238</v>
      </c>
      <c r="E580">
        <f t="shared" ref="E580:E643" si="88">D580</f>
        <v>38.714348973398238</v>
      </c>
      <c r="F580">
        <f t="shared" ref="F580:F643" si="89">$K$1*(E580-G579)</f>
        <v>6.050093439973097E-2</v>
      </c>
      <c r="G580">
        <f t="shared" si="82"/>
        <v>38.472345235799317</v>
      </c>
      <c r="H580">
        <f t="shared" si="83"/>
        <v>6.6305679638649154E-3</v>
      </c>
      <c r="I580">
        <f t="shared" si="84"/>
        <v>38.653848038998504</v>
      </c>
      <c r="P580" s="2">
        <v>39264</v>
      </c>
      <c r="Q580">
        <v>6.7131502363595885E-2</v>
      </c>
      <c r="R580">
        <f t="shared" si="85"/>
        <v>6.050093439973097E-2</v>
      </c>
      <c r="S580">
        <f t="shared" si="86"/>
        <v>6.6305679638649154E-3</v>
      </c>
      <c r="T580">
        <v>2.8042267873855664E-2</v>
      </c>
    </row>
    <row r="581" spans="2:20" x14ac:dyDescent="0.25">
      <c r="B581">
        <f t="shared" si="87"/>
        <v>580</v>
      </c>
      <c r="C581">
        <v>6.2697600988343538E-2</v>
      </c>
      <c r="D581">
        <f t="shared" si="81"/>
        <v>38.777046574386581</v>
      </c>
      <c r="E581">
        <f t="shared" si="88"/>
        <v>38.777046574386581</v>
      </c>
      <c r="F581">
        <f t="shared" si="89"/>
        <v>6.0940267717452916E-2</v>
      </c>
      <c r="G581">
        <f t="shared" si="82"/>
        <v>38.533285503516773</v>
      </c>
      <c r="H581">
        <f t="shared" si="83"/>
        <v>1.7573332708906222E-3</v>
      </c>
      <c r="I581">
        <f t="shared" si="84"/>
        <v>38.716106306669126</v>
      </c>
      <c r="P581" s="2">
        <v>39295</v>
      </c>
      <c r="Q581">
        <v>6.2697600988343538E-2</v>
      </c>
      <c r="R581">
        <f t="shared" si="85"/>
        <v>6.0940267717452916E-2</v>
      </c>
      <c r="S581">
        <f t="shared" si="86"/>
        <v>1.7573332708906222E-3</v>
      </c>
      <c r="T581">
        <v>2.7932962559856556E-2</v>
      </c>
    </row>
    <row r="582" spans="2:20" x14ac:dyDescent="0.25">
      <c r="B582">
        <f t="shared" si="87"/>
        <v>581</v>
      </c>
      <c r="C582">
        <v>6.2307032749025382E-2</v>
      </c>
      <c r="D582">
        <f t="shared" si="81"/>
        <v>38.839353607135607</v>
      </c>
      <c r="E582">
        <f t="shared" si="88"/>
        <v>38.839353607135607</v>
      </c>
      <c r="F582">
        <f t="shared" si="89"/>
        <v>6.1213620723766841E-2</v>
      </c>
      <c r="G582">
        <f t="shared" si="82"/>
        <v>38.594499124240542</v>
      </c>
      <c r="H582">
        <f t="shared" si="83"/>
        <v>1.0934120252585403E-3</v>
      </c>
      <c r="I582">
        <f t="shared" si="84"/>
        <v>38.778139986411837</v>
      </c>
      <c r="P582" s="2">
        <v>39326</v>
      </c>
      <c r="Q582">
        <v>6.2307032749025382E-2</v>
      </c>
      <c r="R582">
        <f t="shared" si="85"/>
        <v>6.1213620723766841E-2</v>
      </c>
      <c r="S582">
        <f t="shared" si="86"/>
        <v>1.0934120252585403E-3</v>
      </c>
      <c r="T582">
        <v>2.7878628845964037E-2</v>
      </c>
    </row>
    <row r="583" spans="2:20" x14ac:dyDescent="0.25">
      <c r="B583">
        <f t="shared" si="87"/>
        <v>582</v>
      </c>
      <c r="C583">
        <v>6.0028013733857577E-2</v>
      </c>
      <c r="D583">
        <f t="shared" si="81"/>
        <v>38.899381620869462</v>
      </c>
      <c r="E583">
        <f t="shared" si="88"/>
        <v>38.899381620869462</v>
      </c>
      <c r="F583">
        <f t="shared" si="89"/>
        <v>6.0976499325784063E-2</v>
      </c>
      <c r="G583">
        <f t="shared" si="82"/>
        <v>38.655475623566325</v>
      </c>
      <c r="H583">
        <f t="shared" si="83"/>
        <v>-9.484855919264859E-4</v>
      </c>
      <c r="I583">
        <f t="shared" si="84"/>
        <v>38.83840512154368</v>
      </c>
      <c r="P583" s="2">
        <v>39356</v>
      </c>
      <c r="Q583">
        <v>6.0028013733857577E-2</v>
      </c>
      <c r="R583">
        <f t="shared" si="85"/>
        <v>6.0976499325784063E-2</v>
      </c>
      <c r="S583">
        <f t="shared" si="86"/>
        <v>-9.484855919264859E-4</v>
      </c>
      <c r="T583">
        <v>2.7824506109428881E-2</v>
      </c>
    </row>
    <row r="584" spans="2:20" x14ac:dyDescent="0.25">
      <c r="B584">
        <f t="shared" si="87"/>
        <v>583</v>
      </c>
      <c r="C584">
        <v>6.1858438189032583E-2</v>
      </c>
      <c r="D584">
        <f t="shared" si="81"/>
        <v>38.961240059058497</v>
      </c>
      <c r="E584">
        <f t="shared" si="88"/>
        <v>38.961240059058497</v>
      </c>
      <c r="F584">
        <f t="shared" si="89"/>
        <v>6.1152887098434409E-2</v>
      </c>
      <c r="G584">
        <f t="shared" si="82"/>
        <v>38.716628510664762</v>
      </c>
      <c r="H584">
        <f t="shared" si="83"/>
        <v>7.055510905981735E-4</v>
      </c>
      <c r="I584">
        <f t="shared" si="84"/>
        <v>38.90008717196006</v>
      </c>
      <c r="P584" s="2">
        <v>39387</v>
      </c>
      <c r="Q584">
        <v>6.1858438189032583E-2</v>
      </c>
      <c r="R584">
        <f t="shared" si="85"/>
        <v>6.1152887098434409E-2</v>
      </c>
      <c r="S584">
        <f t="shared" si="86"/>
        <v>7.055510905981735E-4</v>
      </c>
      <c r="T584">
        <v>2.8425686497951297E-2</v>
      </c>
    </row>
    <row r="585" spans="2:20" x14ac:dyDescent="0.25">
      <c r="B585">
        <f t="shared" si="87"/>
        <v>584</v>
      </c>
      <c r="C585">
        <v>5.3402076640962193E-2</v>
      </c>
      <c r="D585">
        <f t="shared" si="81"/>
        <v>39.014642135699461</v>
      </c>
      <c r="E585">
        <f t="shared" si="88"/>
        <v>39.014642135699461</v>
      </c>
      <c r="F585">
        <f t="shared" si="89"/>
        <v>5.960272500693975E-2</v>
      </c>
      <c r="G585">
        <f t="shared" si="82"/>
        <v>38.776231235671702</v>
      </c>
      <c r="H585">
        <f t="shared" si="83"/>
        <v>-6.2006483659775569E-3</v>
      </c>
      <c r="I585">
        <f t="shared" si="84"/>
        <v>38.955039410692521</v>
      </c>
      <c r="P585" s="2">
        <v>39417</v>
      </c>
      <c r="Q585">
        <v>5.3402076640962193E-2</v>
      </c>
      <c r="R585">
        <f t="shared" si="85"/>
        <v>5.960272500693975E-2</v>
      </c>
      <c r="S585">
        <f t="shared" si="86"/>
        <v>-6.2006483659775569E-3</v>
      </c>
      <c r="T585">
        <v>2.7734767060089816E-2</v>
      </c>
    </row>
    <row r="586" spans="2:20" x14ac:dyDescent="0.25">
      <c r="B586">
        <f t="shared" si="87"/>
        <v>585</v>
      </c>
      <c r="C586">
        <v>5.9810652015556798E-2</v>
      </c>
      <c r="D586">
        <f t="shared" si="81"/>
        <v>39.074452787715018</v>
      </c>
      <c r="E586">
        <f t="shared" si="88"/>
        <v>39.074452787715018</v>
      </c>
      <c r="F586">
        <f t="shared" si="89"/>
        <v>5.9644310408663165E-2</v>
      </c>
      <c r="G586">
        <f t="shared" si="82"/>
        <v>38.835875546080366</v>
      </c>
      <c r="H586">
        <f t="shared" si="83"/>
        <v>1.6634160689363298E-4</v>
      </c>
      <c r="I586">
        <f t="shared" si="84"/>
        <v>39.014808477306353</v>
      </c>
      <c r="P586" s="2">
        <v>39448</v>
      </c>
      <c r="Q586">
        <v>5.9810652015556798E-2</v>
      </c>
      <c r="R586">
        <f t="shared" si="85"/>
        <v>5.9644310408663165E-2</v>
      </c>
      <c r="S586">
        <f t="shared" si="86"/>
        <v>1.6634160689363298E-4</v>
      </c>
      <c r="T586">
        <v>2.9603191305354493E-2</v>
      </c>
    </row>
    <row r="587" spans="2:20" x14ac:dyDescent="0.25">
      <c r="B587">
        <f t="shared" si="87"/>
        <v>586</v>
      </c>
      <c r="C587">
        <v>7.1292979965047465E-2</v>
      </c>
      <c r="D587">
        <f t="shared" si="81"/>
        <v>39.145745767680069</v>
      </c>
      <c r="E587">
        <f t="shared" si="88"/>
        <v>39.145745767680069</v>
      </c>
      <c r="F587">
        <f t="shared" si="89"/>
        <v>6.1974044319940448E-2</v>
      </c>
      <c r="G587">
        <f t="shared" si="82"/>
        <v>38.897849590400305</v>
      </c>
      <c r="H587">
        <f t="shared" si="83"/>
        <v>9.3189356451070168E-3</v>
      </c>
      <c r="I587">
        <f t="shared" si="84"/>
        <v>39.08377172336013</v>
      </c>
      <c r="P587" s="2">
        <v>39479</v>
      </c>
      <c r="Q587">
        <v>7.1292979965047465E-2</v>
      </c>
      <c r="R587">
        <f t="shared" si="85"/>
        <v>6.1974044319940448E-2</v>
      </c>
      <c r="S587">
        <f t="shared" si="86"/>
        <v>9.3189356451070168E-3</v>
      </c>
      <c r="T587">
        <v>3.0159488306302329E-2</v>
      </c>
    </row>
    <row r="588" spans="2:20" x14ac:dyDescent="0.25">
      <c r="B588">
        <f t="shared" si="87"/>
        <v>587</v>
      </c>
      <c r="C588">
        <v>7.4301838864247571E-2</v>
      </c>
      <c r="D588">
        <f t="shared" si="81"/>
        <v>39.220047606544313</v>
      </c>
      <c r="E588">
        <f t="shared" si="88"/>
        <v>39.220047606544313</v>
      </c>
      <c r="F588">
        <f t="shared" si="89"/>
        <v>6.4439603228801448E-2</v>
      </c>
      <c r="G588">
        <f t="shared" si="82"/>
        <v>38.962289193629104</v>
      </c>
      <c r="H588">
        <f t="shared" si="83"/>
        <v>9.8622356354461232E-3</v>
      </c>
      <c r="I588">
        <f t="shared" si="84"/>
        <v>39.155608003315514</v>
      </c>
      <c r="P588" s="2">
        <v>39508</v>
      </c>
      <c r="Q588">
        <v>7.4301838864247571E-2</v>
      </c>
      <c r="R588">
        <f t="shared" si="85"/>
        <v>6.4439603228801448E-2</v>
      </c>
      <c r="S588">
        <f t="shared" si="86"/>
        <v>9.8622356354461232E-3</v>
      </c>
      <c r="T588">
        <v>3.2012976987813246E-2</v>
      </c>
    </row>
    <row r="589" spans="2:20" x14ac:dyDescent="0.25">
      <c r="B589">
        <f t="shared" si="87"/>
        <v>588</v>
      </c>
      <c r="C589">
        <v>9.2061108950884929E-2</v>
      </c>
      <c r="D589">
        <f t="shared" si="81"/>
        <v>39.312108715495199</v>
      </c>
      <c r="E589">
        <f t="shared" si="88"/>
        <v>39.312108715495199</v>
      </c>
      <c r="F589">
        <f t="shared" si="89"/>
        <v>6.9963904373219074E-2</v>
      </c>
      <c r="G589">
        <f t="shared" si="82"/>
        <v>39.032253098002322</v>
      </c>
      <c r="H589">
        <f t="shared" si="83"/>
        <v>2.2097204577665855E-2</v>
      </c>
      <c r="I589">
        <f t="shared" si="84"/>
        <v>39.242144811121982</v>
      </c>
      <c r="P589" s="2">
        <v>39539</v>
      </c>
      <c r="Q589">
        <v>9.2061108950884929E-2</v>
      </c>
      <c r="R589">
        <f t="shared" si="85"/>
        <v>6.9963904373219074E-2</v>
      </c>
      <c r="S589">
        <f t="shared" si="86"/>
        <v>2.2097204577665855E-2</v>
      </c>
      <c r="T589">
        <v>3.3229894498907342E-2</v>
      </c>
    </row>
    <row r="590" spans="2:20" x14ac:dyDescent="0.25">
      <c r="B590">
        <f t="shared" si="87"/>
        <v>589</v>
      </c>
      <c r="C590">
        <v>9.744572410569674E-2</v>
      </c>
      <c r="D590">
        <f t="shared" si="81"/>
        <v>39.409554439600896</v>
      </c>
      <c r="E590">
        <f t="shared" si="88"/>
        <v>39.409554439600896</v>
      </c>
      <c r="F590">
        <f t="shared" si="89"/>
        <v>7.546026831971489E-2</v>
      </c>
      <c r="G590">
        <f t="shared" si="82"/>
        <v>39.107713366322038</v>
      </c>
      <c r="H590">
        <f t="shared" si="83"/>
        <v>2.198545578598185E-2</v>
      </c>
      <c r="I590">
        <f t="shared" si="84"/>
        <v>39.33409417128118</v>
      </c>
      <c r="P590" s="2">
        <v>39569</v>
      </c>
      <c r="Q590">
        <v>9.744572410569674E-2</v>
      </c>
      <c r="R590">
        <f t="shared" si="85"/>
        <v>7.546026831971489E-2</v>
      </c>
      <c r="S590">
        <f t="shared" si="86"/>
        <v>2.198545578598185E-2</v>
      </c>
      <c r="T590">
        <v>2.9929008777094701E-2</v>
      </c>
    </row>
    <row r="591" spans="2:20" x14ac:dyDescent="0.25">
      <c r="B591">
        <f t="shared" si="87"/>
        <v>590</v>
      </c>
      <c r="C591">
        <v>8.9718299380400879E-2</v>
      </c>
      <c r="D591">
        <f t="shared" si="81"/>
        <v>39.499272738981297</v>
      </c>
      <c r="E591">
        <f t="shared" si="88"/>
        <v>39.499272738981297</v>
      </c>
      <c r="F591">
        <f t="shared" si="89"/>
        <v>7.8311874531851802E-2</v>
      </c>
      <c r="G591">
        <f t="shared" si="82"/>
        <v>39.186025240853887</v>
      </c>
      <c r="H591">
        <f t="shared" si="83"/>
        <v>1.1406424848549077E-2</v>
      </c>
      <c r="I591">
        <f t="shared" si="84"/>
        <v>39.420960864449448</v>
      </c>
      <c r="P591" s="2">
        <v>39600</v>
      </c>
      <c r="Q591">
        <v>8.9718299380400879E-2</v>
      </c>
      <c r="R591">
        <f t="shared" si="85"/>
        <v>7.8311874531851802E-2</v>
      </c>
      <c r="S591">
        <f t="shared" si="86"/>
        <v>1.1406424848549077E-2</v>
      </c>
      <c r="T591">
        <v>2.9871938301719858E-2</v>
      </c>
    </row>
    <row r="592" spans="2:20" x14ac:dyDescent="0.25">
      <c r="B592">
        <f t="shared" si="87"/>
        <v>591</v>
      </c>
      <c r="C592">
        <v>8.9054471873485141E-2</v>
      </c>
      <c r="D592">
        <f t="shared" si="81"/>
        <v>39.588327210854786</v>
      </c>
      <c r="E592">
        <f t="shared" si="88"/>
        <v>39.588327210854786</v>
      </c>
      <c r="F592">
        <f t="shared" si="89"/>
        <v>8.046039400017975E-2</v>
      </c>
      <c r="G592">
        <f t="shared" si="82"/>
        <v>39.266485634854064</v>
      </c>
      <c r="H592">
        <f t="shared" si="83"/>
        <v>8.5940778733053919E-3</v>
      </c>
      <c r="I592">
        <f t="shared" si="84"/>
        <v>39.507866816854609</v>
      </c>
      <c r="P592" s="2">
        <v>39630</v>
      </c>
      <c r="Q592">
        <v>8.9054471873485141E-2</v>
      </c>
      <c r="R592">
        <f t="shared" si="85"/>
        <v>8.046039400017975E-2</v>
      </c>
      <c r="S592">
        <f t="shared" si="86"/>
        <v>8.5940778733053919E-3</v>
      </c>
      <c r="T592">
        <v>2.727730171288556E-2</v>
      </c>
    </row>
    <row r="593" spans="2:20" x14ac:dyDescent="0.25">
      <c r="B593">
        <f t="shared" si="87"/>
        <v>592</v>
      </c>
      <c r="C593">
        <v>8.3883872642202206E-2</v>
      </c>
      <c r="D593">
        <f t="shared" si="81"/>
        <v>39.67221108349699</v>
      </c>
      <c r="E593">
        <f t="shared" si="88"/>
        <v>39.67221108349699</v>
      </c>
      <c r="F593">
        <f t="shared" si="89"/>
        <v>8.1145089728585168E-2</v>
      </c>
      <c r="G593">
        <f t="shared" si="82"/>
        <v>39.34763072458265</v>
      </c>
      <c r="H593">
        <f t="shared" si="83"/>
        <v>2.7387829136170383E-3</v>
      </c>
      <c r="I593">
        <f t="shared" si="84"/>
        <v>39.591065993768403</v>
      </c>
      <c r="P593" s="2">
        <v>39661</v>
      </c>
      <c r="Q593">
        <v>8.3883872642202206E-2</v>
      </c>
      <c r="R593">
        <f t="shared" si="85"/>
        <v>8.1145089728585168E-2</v>
      </c>
      <c r="S593">
        <f t="shared" si="86"/>
        <v>2.7387829136170383E-3</v>
      </c>
      <c r="T593">
        <v>2.4051792318521947E-2</v>
      </c>
    </row>
    <row r="594" spans="2:20" x14ac:dyDescent="0.25">
      <c r="B594">
        <f t="shared" si="87"/>
        <v>593</v>
      </c>
      <c r="C594">
        <v>8.9205987852208679E-2</v>
      </c>
      <c r="D594">
        <f t="shared" si="81"/>
        <v>39.7614170713492</v>
      </c>
      <c r="E594">
        <f t="shared" si="88"/>
        <v>39.7614170713492</v>
      </c>
      <c r="F594">
        <f t="shared" si="89"/>
        <v>8.2757269353309945E-2</v>
      </c>
      <c r="G594">
        <f t="shared" si="82"/>
        <v>39.430387993935959</v>
      </c>
      <c r="H594">
        <f t="shared" si="83"/>
        <v>6.4487184988987339E-3</v>
      </c>
      <c r="I594">
        <f t="shared" si="84"/>
        <v>39.678659801995892</v>
      </c>
      <c r="P594" s="2">
        <v>39692</v>
      </c>
      <c r="Q594">
        <v>8.9205987852208679E-2</v>
      </c>
      <c r="R594">
        <f t="shared" si="85"/>
        <v>8.2757269353309945E-2</v>
      </c>
      <c r="S594">
        <f t="shared" si="86"/>
        <v>6.4487184988987339E-3</v>
      </c>
      <c r="T594">
        <v>2.2131791728697614E-2</v>
      </c>
    </row>
    <row r="595" spans="2:20" x14ac:dyDescent="0.25">
      <c r="B595">
        <f t="shared" si="87"/>
        <v>594</v>
      </c>
      <c r="C595">
        <v>8.8074998802657234E-2</v>
      </c>
      <c r="D595">
        <f t="shared" si="81"/>
        <v>39.849492070151854</v>
      </c>
      <c r="E595">
        <f t="shared" si="88"/>
        <v>39.849492070151854</v>
      </c>
      <c r="F595">
        <f t="shared" si="89"/>
        <v>8.382081524317897E-2</v>
      </c>
      <c r="G595">
        <f t="shared" si="82"/>
        <v>39.514208809179138</v>
      </c>
      <c r="H595">
        <f t="shared" si="83"/>
        <v>4.254183559478264E-3</v>
      </c>
      <c r="I595">
        <f t="shared" si="84"/>
        <v>39.765671254908675</v>
      </c>
      <c r="P595" s="2">
        <v>39722</v>
      </c>
      <c r="Q595">
        <v>8.8074998802657234E-2</v>
      </c>
      <c r="R595">
        <f t="shared" si="85"/>
        <v>8.382081524317897E-2</v>
      </c>
      <c r="S595">
        <f t="shared" si="86"/>
        <v>4.254183559478264E-3</v>
      </c>
      <c r="T595">
        <v>2.2089885272284171E-2</v>
      </c>
    </row>
    <row r="596" spans="2:20" x14ac:dyDescent="0.25">
      <c r="B596">
        <f t="shared" si="87"/>
        <v>595</v>
      </c>
      <c r="C596">
        <v>8.2621487828596685E-2</v>
      </c>
      <c r="D596">
        <f t="shared" si="81"/>
        <v>39.93211355798045</v>
      </c>
      <c r="E596">
        <f t="shared" si="88"/>
        <v>39.93211355798045</v>
      </c>
      <c r="F596">
        <f t="shared" si="89"/>
        <v>8.3580949760262521E-2</v>
      </c>
      <c r="G596">
        <f t="shared" si="82"/>
        <v>39.597789758939399</v>
      </c>
      <c r="H596">
        <f t="shared" si="83"/>
        <v>-9.5946193166583649E-4</v>
      </c>
      <c r="I596">
        <f t="shared" si="84"/>
        <v>39.848532608220189</v>
      </c>
      <c r="P596" s="2">
        <v>39753</v>
      </c>
      <c r="Q596">
        <v>8.2621487828596685E-2</v>
      </c>
      <c r="R596">
        <f t="shared" si="85"/>
        <v>8.3580949760262521E-2</v>
      </c>
      <c r="S596">
        <f t="shared" si="86"/>
        <v>-9.5946193166583649E-4</v>
      </c>
      <c r="T596">
        <v>2.1424890084106529E-2</v>
      </c>
    </row>
    <row r="597" spans="2:20" x14ac:dyDescent="0.25">
      <c r="B597">
        <f t="shared" si="87"/>
        <v>596</v>
      </c>
      <c r="C597">
        <v>8.0708016765727919E-2</v>
      </c>
      <c r="D597">
        <f t="shared" si="81"/>
        <v>40.012821574746177</v>
      </c>
      <c r="E597">
        <f t="shared" si="88"/>
        <v>40.012821574746177</v>
      </c>
      <c r="F597">
        <f t="shared" si="89"/>
        <v>8.3006363161355526E-2</v>
      </c>
      <c r="G597">
        <f t="shared" si="82"/>
        <v>39.680796122100752</v>
      </c>
      <c r="H597">
        <f t="shared" si="83"/>
        <v>-2.2983463956276068E-3</v>
      </c>
      <c r="I597">
        <f t="shared" si="84"/>
        <v>39.929815211584824</v>
      </c>
      <c r="P597" s="2">
        <v>39783</v>
      </c>
      <c r="Q597">
        <v>8.0708016765727919E-2</v>
      </c>
      <c r="R597">
        <f t="shared" si="85"/>
        <v>8.3006363161355526E-2</v>
      </c>
      <c r="S597">
        <f t="shared" si="86"/>
        <v>-2.2983463956276068E-3</v>
      </c>
      <c r="T597">
        <v>2.2642476749759943E-2</v>
      </c>
    </row>
    <row r="598" spans="2:20" x14ac:dyDescent="0.25">
      <c r="B598">
        <f t="shared" si="87"/>
        <v>597</v>
      </c>
      <c r="C598">
        <v>7.1756823976553363E-2</v>
      </c>
      <c r="D598">
        <f t="shared" si="81"/>
        <v>40.084578398722726</v>
      </c>
      <c r="E598">
        <f t="shared" si="88"/>
        <v>40.084578398722726</v>
      </c>
      <c r="F598">
        <f t="shared" si="89"/>
        <v>8.075645532439496E-2</v>
      </c>
      <c r="G598">
        <f t="shared" si="82"/>
        <v>39.761552577425149</v>
      </c>
      <c r="H598">
        <f t="shared" si="83"/>
        <v>-8.9996313478415968E-3</v>
      </c>
      <c r="I598">
        <f t="shared" si="84"/>
        <v>40.003821943398329</v>
      </c>
      <c r="P598" s="2">
        <v>39814</v>
      </c>
      <c r="Q598">
        <v>7.1756823976553363E-2</v>
      </c>
      <c r="R598">
        <f t="shared" si="85"/>
        <v>8.075645532439496E-2</v>
      </c>
      <c r="S598">
        <f t="shared" si="86"/>
        <v>-8.9996313478415968E-3</v>
      </c>
      <c r="T598">
        <v>2.1951336103534835E-2</v>
      </c>
    </row>
    <row r="599" spans="2:20" x14ac:dyDescent="0.25">
      <c r="B599">
        <f t="shared" si="87"/>
        <v>598</v>
      </c>
      <c r="C599">
        <v>6.1565762925299694E-2</v>
      </c>
      <c r="D599">
        <f t="shared" si="81"/>
        <v>40.146144161648024</v>
      </c>
      <c r="E599">
        <f t="shared" si="88"/>
        <v>40.146144161648024</v>
      </c>
      <c r="F599">
        <f t="shared" si="89"/>
        <v>7.691831684457498E-2</v>
      </c>
      <c r="G599">
        <f t="shared" si="82"/>
        <v>39.838470894269726</v>
      </c>
      <c r="H599">
        <f t="shared" si="83"/>
        <v>-1.5352553919275286E-2</v>
      </c>
      <c r="I599">
        <f t="shared" si="84"/>
        <v>40.069225844803448</v>
      </c>
      <c r="P599" s="2">
        <v>39845</v>
      </c>
      <c r="Q599">
        <v>6.1565762925299694E-2</v>
      </c>
      <c r="R599">
        <f t="shared" si="85"/>
        <v>7.691831684457498E-2</v>
      </c>
      <c r="S599">
        <f t="shared" si="86"/>
        <v>-1.5352553919275286E-2</v>
      </c>
      <c r="T599">
        <v>2.0645087329157263E-2</v>
      </c>
    </row>
    <row r="600" spans="2:20" x14ac:dyDescent="0.25">
      <c r="B600">
        <f t="shared" si="87"/>
        <v>599</v>
      </c>
      <c r="C600">
        <v>5.8745682783092334E-2</v>
      </c>
      <c r="D600">
        <f t="shared" si="81"/>
        <v>40.204889844431115</v>
      </c>
      <c r="E600">
        <f t="shared" si="88"/>
        <v>40.204889844431115</v>
      </c>
      <c r="F600">
        <f t="shared" si="89"/>
        <v>7.3283790032277807E-2</v>
      </c>
      <c r="G600">
        <f t="shared" si="82"/>
        <v>39.911754684302004</v>
      </c>
      <c r="H600">
        <f t="shared" si="83"/>
        <v>-1.4538107249185472E-2</v>
      </c>
      <c r="I600">
        <f t="shared" si="84"/>
        <v>40.131606054398837</v>
      </c>
      <c r="P600" s="2">
        <v>39873</v>
      </c>
      <c r="Q600">
        <v>5.8745682783092334E-2</v>
      </c>
      <c r="R600">
        <f t="shared" si="85"/>
        <v>7.3283790032277807E-2</v>
      </c>
      <c r="S600">
        <f t="shared" si="86"/>
        <v>-1.4538107249185472E-2</v>
      </c>
      <c r="T600">
        <v>1.8727139050697339E-2</v>
      </c>
    </row>
    <row r="601" spans="2:20" x14ac:dyDescent="0.25">
      <c r="B601">
        <f t="shared" si="87"/>
        <v>600</v>
      </c>
      <c r="C601">
        <v>3.6425189245687051E-2</v>
      </c>
      <c r="D601">
        <f t="shared" si="81"/>
        <v>40.241315033676798</v>
      </c>
      <c r="E601">
        <f t="shared" si="88"/>
        <v>40.241315033676798</v>
      </c>
      <c r="F601">
        <f t="shared" si="89"/>
        <v>6.5912069874958942E-2</v>
      </c>
      <c r="G601">
        <f t="shared" si="82"/>
        <v>39.977666754176965</v>
      </c>
      <c r="H601">
        <f t="shared" si="83"/>
        <v>-2.9486880629271892E-2</v>
      </c>
      <c r="I601">
        <f t="shared" si="84"/>
        <v>40.175402963801837</v>
      </c>
      <c r="P601" s="2">
        <v>39904</v>
      </c>
      <c r="Q601">
        <v>3.6425189245687051E-2</v>
      </c>
      <c r="R601">
        <f t="shared" si="85"/>
        <v>6.5912069874958942E-2</v>
      </c>
      <c r="S601">
        <f t="shared" si="86"/>
        <v>-2.9486880629271892E-2</v>
      </c>
      <c r="T601">
        <v>1.6828069280650837E-2</v>
      </c>
    </row>
    <row r="602" spans="2:20" x14ac:dyDescent="0.25">
      <c r="B602">
        <f t="shared" si="87"/>
        <v>601</v>
      </c>
      <c r="C602">
        <v>2.2042752882647676E-2</v>
      </c>
      <c r="D602">
        <f t="shared" si="81"/>
        <v>40.263357786559446</v>
      </c>
      <c r="E602">
        <f t="shared" si="88"/>
        <v>40.263357786559446</v>
      </c>
      <c r="F602">
        <f t="shared" si="89"/>
        <v>5.7138206476496124E-2</v>
      </c>
      <c r="G602">
        <f t="shared" si="82"/>
        <v>40.03480496065346</v>
      </c>
      <c r="H602">
        <f t="shared" si="83"/>
        <v>-3.5095453593848448E-2</v>
      </c>
      <c r="I602">
        <f t="shared" si="84"/>
        <v>40.206219580082951</v>
      </c>
      <c r="P602" s="2">
        <v>39934</v>
      </c>
      <c r="Q602">
        <v>2.2042752882647676E-2</v>
      </c>
      <c r="R602">
        <f t="shared" si="85"/>
        <v>5.7138206476496124E-2</v>
      </c>
      <c r="S602">
        <f t="shared" si="86"/>
        <v>-3.5095453593848448E-2</v>
      </c>
      <c r="T602">
        <v>1.6179568876268924E-2</v>
      </c>
    </row>
    <row r="603" spans="2:20" x14ac:dyDescent="0.25">
      <c r="B603">
        <f t="shared" si="87"/>
        <v>602</v>
      </c>
      <c r="C603">
        <v>2.4307433942485801E-2</v>
      </c>
      <c r="D603">
        <f t="shared" si="81"/>
        <v>40.287665220501935</v>
      </c>
      <c r="E603">
        <f t="shared" si="88"/>
        <v>40.287665220501935</v>
      </c>
      <c r="F603">
        <f t="shared" si="89"/>
        <v>5.0572051969695053E-2</v>
      </c>
      <c r="G603">
        <f t="shared" si="82"/>
        <v>40.085377012623155</v>
      </c>
      <c r="H603">
        <f t="shared" si="83"/>
        <v>-2.6264618027209252E-2</v>
      </c>
      <c r="I603">
        <f t="shared" si="84"/>
        <v>40.23709316853224</v>
      </c>
      <c r="P603" s="2">
        <v>39965</v>
      </c>
      <c r="Q603">
        <v>2.4307433942485801E-2</v>
      </c>
      <c r="R603">
        <f t="shared" si="85"/>
        <v>5.0572051969695053E-2</v>
      </c>
      <c r="S603">
        <f t="shared" si="86"/>
        <v>-2.6264618027209252E-2</v>
      </c>
      <c r="T603">
        <v>1.4299280011417004E-2</v>
      </c>
    </row>
    <row r="604" spans="2:20" x14ac:dyDescent="0.25">
      <c r="B604">
        <f t="shared" si="87"/>
        <v>603</v>
      </c>
      <c r="C604">
        <v>1.6025186187093254E-2</v>
      </c>
      <c r="D604">
        <f t="shared" si="81"/>
        <v>40.303690406689029</v>
      </c>
      <c r="E604">
        <f t="shared" si="88"/>
        <v>40.303690406689029</v>
      </c>
      <c r="F604">
        <f t="shared" si="89"/>
        <v>4.3662678813174698E-2</v>
      </c>
      <c r="G604">
        <f t="shared" si="82"/>
        <v>40.129039691436333</v>
      </c>
      <c r="H604">
        <f t="shared" si="83"/>
        <v>-2.7637492626081443E-2</v>
      </c>
      <c r="I604">
        <f t="shared" si="84"/>
        <v>40.260027727875851</v>
      </c>
      <c r="P604" s="2">
        <v>39995</v>
      </c>
      <c r="Q604">
        <v>1.6025186187093254E-2</v>
      </c>
      <c r="R604">
        <f t="shared" si="85"/>
        <v>4.3662678813174698E-2</v>
      </c>
      <c r="S604">
        <f t="shared" si="86"/>
        <v>-2.7637492626081443E-2</v>
      </c>
      <c r="T604">
        <v>1.3673301900209545E-2</v>
      </c>
    </row>
    <row r="605" spans="2:20" x14ac:dyDescent="0.25">
      <c r="B605">
        <f t="shared" si="87"/>
        <v>604</v>
      </c>
      <c r="C605">
        <v>1.9198488894742738E-2</v>
      </c>
      <c r="D605">
        <f t="shared" si="81"/>
        <v>40.322888895583773</v>
      </c>
      <c r="E605">
        <f t="shared" si="88"/>
        <v>40.322888895583773</v>
      </c>
      <c r="F605">
        <f t="shared" si="89"/>
        <v>3.8769840829488089E-2</v>
      </c>
      <c r="G605">
        <f t="shared" si="82"/>
        <v>40.167809532265821</v>
      </c>
      <c r="H605">
        <f t="shared" si="83"/>
        <v>-1.9571351934745351E-2</v>
      </c>
      <c r="I605">
        <f t="shared" si="84"/>
        <v>40.284119054754285</v>
      </c>
      <c r="P605" s="2">
        <v>40026</v>
      </c>
      <c r="Q605">
        <v>1.9198488894742738E-2</v>
      </c>
      <c r="R605">
        <f t="shared" si="85"/>
        <v>3.8769840829488089E-2</v>
      </c>
      <c r="S605">
        <f t="shared" si="86"/>
        <v>-1.9571351934745351E-2</v>
      </c>
      <c r="T605">
        <v>1.4281521841404299E-2</v>
      </c>
    </row>
    <row r="606" spans="2:20" x14ac:dyDescent="0.25">
      <c r="B606">
        <f t="shared" si="87"/>
        <v>605</v>
      </c>
      <c r="C606">
        <v>1.8707289145032391E-2</v>
      </c>
      <c r="D606">
        <f t="shared" si="81"/>
        <v>40.341596184728807</v>
      </c>
      <c r="E606">
        <f t="shared" si="88"/>
        <v>40.341596184728807</v>
      </c>
      <c r="F606">
        <f t="shared" si="89"/>
        <v>3.4757330492597306E-2</v>
      </c>
      <c r="G606">
        <f t="shared" si="82"/>
        <v>40.202566862758417</v>
      </c>
      <c r="H606">
        <f t="shared" si="83"/>
        <v>-1.6050041347564915E-2</v>
      </c>
      <c r="I606">
        <f t="shared" si="84"/>
        <v>40.306838854236211</v>
      </c>
      <c r="P606" s="2">
        <v>40057</v>
      </c>
      <c r="Q606">
        <v>1.8707289145032391E-2</v>
      </c>
      <c r="R606">
        <f t="shared" si="85"/>
        <v>3.4757330492597306E-2</v>
      </c>
      <c r="S606">
        <f t="shared" si="86"/>
        <v>-1.6050041347564915E-2</v>
      </c>
      <c r="T606">
        <v>1.6744577273802186E-2</v>
      </c>
    </row>
    <row r="607" spans="2:20" x14ac:dyDescent="0.25">
      <c r="B607">
        <f t="shared" si="87"/>
        <v>606</v>
      </c>
      <c r="C607">
        <v>1.9766619116511563E-2</v>
      </c>
      <c r="D607">
        <f t="shared" si="81"/>
        <v>40.361362803845317</v>
      </c>
      <c r="E607">
        <f t="shared" si="88"/>
        <v>40.361362803845317</v>
      </c>
      <c r="F607">
        <f t="shared" si="89"/>
        <v>3.1759188217380087E-2</v>
      </c>
      <c r="G607">
        <f t="shared" si="82"/>
        <v>40.234326050975795</v>
      </c>
      <c r="H607">
        <f t="shared" si="83"/>
        <v>-1.1992569100868523E-2</v>
      </c>
      <c r="I607">
        <f t="shared" si="84"/>
        <v>40.329603615627938</v>
      </c>
      <c r="P607" s="2">
        <v>40087</v>
      </c>
      <c r="Q607">
        <v>1.9766619116511563E-2</v>
      </c>
      <c r="R607">
        <f t="shared" si="85"/>
        <v>3.1759188217380087E-2</v>
      </c>
      <c r="S607">
        <f t="shared" si="86"/>
        <v>-1.1992569100868523E-2</v>
      </c>
      <c r="T607">
        <v>1.6099418934181209E-2</v>
      </c>
    </row>
    <row r="608" spans="2:20" x14ac:dyDescent="0.25">
      <c r="B608">
        <f t="shared" si="87"/>
        <v>607</v>
      </c>
      <c r="C608">
        <v>2.0359472332057038E-2</v>
      </c>
      <c r="D608">
        <f t="shared" si="81"/>
        <v>40.381722276177371</v>
      </c>
      <c r="E608">
        <f t="shared" si="88"/>
        <v>40.381722276177371</v>
      </c>
      <c r="F608">
        <f t="shared" si="89"/>
        <v>2.9479245040315051E-2</v>
      </c>
      <c r="G608">
        <f t="shared" si="82"/>
        <v>40.263805296016109</v>
      </c>
      <c r="H608">
        <f t="shared" si="83"/>
        <v>-9.1197727082580129E-3</v>
      </c>
      <c r="I608">
        <f t="shared" si="84"/>
        <v>40.352243031137057</v>
      </c>
      <c r="P608" s="2">
        <v>40118</v>
      </c>
      <c r="Q608">
        <v>2.0359472332057038E-2</v>
      </c>
      <c r="R608">
        <f t="shared" si="85"/>
        <v>2.9479245040315051E-2</v>
      </c>
      <c r="S608">
        <f t="shared" si="86"/>
        <v>-9.1197727082580129E-3</v>
      </c>
      <c r="T608">
        <v>1.7305747097592139E-2</v>
      </c>
    </row>
    <row r="609" spans="2:20" x14ac:dyDescent="0.25">
      <c r="B609">
        <f t="shared" si="87"/>
        <v>608</v>
      </c>
      <c r="C609">
        <v>2.6190428916073927E-2</v>
      </c>
      <c r="D609">
        <f t="shared" si="81"/>
        <v>40.407912705093445</v>
      </c>
      <c r="E609">
        <f t="shared" si="88"/>
        <v>40.407912705093445</v>
      </c>
      <c r="F609">
        <f t="shared" si="89"/>
        <v>2.882148181546711E-2</v>
      </c>
      <c r="G609">
        <f t="shared" si="82"/>
        <v>40.292626777831579</v>
      </c>
      <c r="H609">
        <f t="shared" si="83"/>
        <v>-2.6310528993931832E-3</v>
      </c>
      <c r="I609">
        <f t="shared" si="84"/>
        <v>40.379091223277975</v>
      </c>
      <c r="P609" s="2">
        <v>40148</v>
      </c>
      <c r="Q609">
        <v>2.6190428916073927E-2</v>
      </c>
      <c r="R609">
        <f t="shared" si="85"/>
        <v>2.882148181546711E-2</v>
      </c>
      <c r="S609">
        <f t="shared" si="86"/>
        <v>-2.6310528993931832E-3</v>
      </c>
      <c r="T609">
        <v>1.6039825681036568E-2</v>
      </c>
    </row>
    <row r="610" spans="2:20" x14ac:dyDescent="0.25">
      <c r="B610">
        <f t="shared" si="87"/>
        <v>609</v>
      </c>
      <c r="C610">
        <v>2.9854704684645128E-2</v>
      </c>
      <c r="D610">
        <f t="shared" si="81"/>
        <v>40.43776740977809</v>
      </c>
      <c r="E610">
        <f t="shared" si="88"/>
        <v>40.43776740977809</v>
      </c>
      <c r="F610">
        <f t="shared" si="89"/>
        <v>2.9028126389302147E-2</v>
      </c>
      <c r="G610">
        <f t="shared" si="82"/>
        <v>40.321654904220878</v>
      </c>
      <c r="H610">
        <f t="shared" si="83"/>
        <v>8.2657829534298066E-4</v>
      </c>
      <c r="I610">
        <f t="shared" si="84"/>
        <v>40.40873928338879</v>
      </c>
      <c r="P610" s="2">
        <v>40179</v>
      </c>
      <c r="Q610">
        <v>2.9854704684645128E-2</v>
      </c>
      <c r="R610">
        <f t="shared" si="85"/>
        <v>2.9028126389302147E-2</v>
      </c>
      <c r="S610">
        <f t="shared" si="86"/>
        <v>8.2657829534298066E-4</v>
      </c>
      <c r="T610">
        <v>1.4167160264780598E-2</v>
      </c>
    </row>
    <row r="611" spans="2:20" x14ac:dyDescent="0.25">
      <c r="B611">
        <f t="shared" si="87"/>
        <v>610</v>
      </c>
      <c r="C611">
        <v>3.2324756228385709E-2</v>
      </c>
      <c r="D611">
        <f t="shared" si="81"/>
        <v>40.470092166006474</v>
      </c>
      <c r="E611">
        <f t="shared" si="88"/>
        <v>40.470092166006474</v>
      </c>
      <c r="F611">
        <f t="shared" si="89"/>
        <v>2.9687452357119073E-2</v>
      </c>
      <c r="G611">
        <f t="shared" si="82"/>
        <v>40.351342356577995</v>
      </c>
      <c r="H611">
        <f t="shared" si="83"/>
        <v>2.6373038712666358E-3</v>
      </c>
      <c r="I611">
        <f t="shared" si="84"/>
        <v>40.440404713649357</v>
      </c>
      <c r="P611" s="2">
        <v>40210</v>
      </c>
      <c r="Q611">
        <v>3.2324756228385709E-2</v>
      </c>
      <c r="R611">
        <f t="shared" si="85"/>
        <v>2.9687452357119073E-2</v>
      </c>
      <c r="S611">
        <f t="shared" si="86"/>
        <v>2.6373038712666358E-3</v>
      </c>
      <c r="T611">
        <v>1.4751343087072932E-2</v>
      </c>
    </row>
    <row r="612" spans="2:20" x14ac:dyDescent="0.25">
      <c r="B612">
        <f t="shared" si="87"/>
        <v>611</v>
      </c>
      <c r="C612">
        <v>3.1176529669549424E-2</v>
      </c>
      <c r="D612">
        <f t="shared" si="81"/>
        <v>40.501268695676025</v>
      </c>
      <c r="E612">
        <f t="shared" si="88"/>
        <v>40.501268695676025</v>
      </c>
      <c r="F612">
        <f t="shared" si="89"/>
        <v>2.9985267819606067E-2</v>
      </c>
      <c r="G612">
        <f t="shared" si="82"/>
        <v>40.381327624397599</v>
      </c>
      <c r="H612">
        <f t="shared" si="83"/>
        <v>1.1912618499433578E-3</v>
      </c>
      <c r="I612">
        <f t="shared" si="84"/>
        <v>40.47128342785642</v>
      </c>
      <c r="P612" s="2">
        <v>40238</v>
      </c>
      <c r="Q612">
        <v>3.1176529669549424E-2</v>
      </c>
      <c r="R612">
        <f t="shared" si="85"/>
        <v>2.9985267819606067E-2</v>
      </c>
      <c r="S612">
        <f t="shared" si="86"/>
        <v>1.1912618499433578E-3</v>
      </c>
      <c r="T612">
        <v>1.4733231512984446E-2</v>
      </c>
    </row>
    <row r="613" spans="2:20" x14ac:dyDescent="0.25">
      <c r="B613">
        <f t="shared" si="87"/>
        <v>612</v>
      </c>
      <c r="C613">
        <v>3.5360781522554063E-2</v>
      </c>
      <c r="D613">
        <f t="shared" si="81"/>
        <v>40.536629477198581</v>
      </c>
      <c r="E613">
        <f t="shared" si="88"/>
        <v>40.536629477198581</v>
      </c>
      <c r="F613">
        <f t="shared" si="89"/>
        <v>3.1060370560196306E-2</v>
      </c>
      <c r="G613">
        <f t="shared" si="82"/>
        <v>40.412387994957797</v>
      </c>
      <c r="H613">
        <f t="shared" si="83"/>
        <v>4.300410962357757E-3</v>
      </c>
      <c r="I613">
        <f t="shared" si="84"/>
        <v>40.505569106638383</v>
      </c>
      <c r="P613" s="2">
        <v>40269</v>
      </c>
      <c r="Q613">
        <v>3.5360781522554063E-2</v>
      </c>
      <c r="R613">
        <f t="shared" si="85"/>
        <v>3.1060370560196306E-2</v>
      </c>
      <c r="S613">
        <f t="shared" si="86"/>
        <v>4.300410962357757E-3</v>
      </c>
      <c r="T613">
        <v>1.5941477997688303E-2</v>
      </c>
    </row>
    <row r="614" spans="2:20" x14ac:dyDescent="0.25">
      <c r="B614">
        <f t="shared" si="87"/>
        <v>613</v>
      </c>
      <c r="C614">
        <v>4.224872008267333E-2</v>
      </c>
      <c r="D614">
        <f t="shared" si="81"/>
        <v>40.578878197281256</v>
      </c>
      <c r="E614">
        <f t="shared" si="88"/>
        <v>40.578878197281256</v>
      </c>
      <c r="F614">
        <f t="shared" si="89"/>
        <v>3.3298040464691779E-2</v>
      </c>
      <c r="G614">
        <f t="shared" si="82"/>
        <v>40.44568603542249</v>
      </c>
      <c r="H614">
        <f t="shared" si="83"/>
        <v>8.9506796179815509E-3</v>
      </c>
      <c r="I614">
        <f t="shared" si="84"/>
        <v>40.545580156816563</v>
      </c>
      <c r="P614" s="2">
        <v>40299</v>
      </c>
      <c r="Q614">
        <v>4.224872008267333E-2</v>
      </c>
      <c r="R614">
        <f t="shared" si="85"/>
        <v>3.3298040464691779E-2</v>
      </c>
      <c r="S614">
        <f t="shared" si="86"/>
        <v>8.9506796179815509E-3</v>
      </c>
      <c r="T614">
        <v>1.652930195121094E-2</v>
      </c>
    </row>
    <row r="615" spans="2:20" x14ac:dyDescent="0.25">
      <c r="B615">
        <f t="shared" si="87"/>
        <v>614</v>
      </c>
      <c r="C615">
        <v>4.3641909312466254E-2</v>
      </c>
      <c r="D615">
        <f t="shared" si="81"/>
        <v>40.622520106593726</v>
      </c>
      <c r="E615">
        <f t="shared" si="88"/>
        <v>40.622520106593726</v>
      </c>
      <c r="F615">
        <f t="shared" si="89"/>
        <v>3.5366814234247104E-2</v>
      </c>
      <c r="G615">
        <f t="shared" si="82"/>
        <v>40.481052849656734</v>
      </c>
      <c r="H615">
        <f t="shared" si="83"/>
        <v>8.2750950782191496E-3</v>
      </c>
      <c r="I615">
        <f t="shared" si="84"/>
        <v>40.587153292359481</v>
      </c>
      <c r="P615" s="2">
        <v>40330</v>
      </c>
      <c r="Q615">
        <v>4.3641909312466254E-2</v>
      </c>
      <c r="R615">
        <f t="shared" si="85"/>
        <v>3.5366814234247104E-2</v>
      </c>
      <c r="S615">
        <f t="shared" si="86"/>
        <v>8.2750950782191496E-3</v>
      </c>
      <c r="T615">
        <v>1.652930195121094E-2</v>
      </c>
    </row>
    <row r="616" spans="2:20" x14ac:dyDescent="0.25">
      <c r="B616">
        <f t="shared" si="87"/>
        <v>615</v>
      </c>
      <c r="C616">
        <v>5.0331576279154078E-2</v>
      </c>
      <c r="D616">
        <f t="shared" si="81"/>
        <v>40.672851682872881</v>
      </c>
      <c r="E616">
        <f t="shared" si="88"/>
        <v>40.672851682872881</v>
      </c>
      <c r="F616">
        <f t="shared" si="89"/>
        <v>3.8359766643229425E-2</v>
      </c>
      <c r="G616">
        <f t="shared" si="82"/>
        <v>40.519412616299967</v>
      </c>
      <c r="H616">
        <f t="shared" si="83"/>
        <v>1.1971809635924653E-2</v>
      </c>
      <c r="I616">
        <f t="shared" si="84"/>
        <v>40.634491916229649</v>
      </c>
      <c r="P616" s="2">
        <v>40360</v>
      </c>
      <c r="Q616">
        <v>5.0331576279154078E-2</v>
      </c>
      <c r="R616">
        <f t="shared" si="85"/>
        <v>3.8359766643229425E-2</v>
      </c>
      <c r="S616">
        <f t="shared" si="86"/>
        <v>1.1971809635924653E-2</v>
      </c>
      <c r="T616">
        <v>1.713628224298791E-2</v>
      </c>
    </row>
    <row r="617" spans="2:20" x14ac:dyDescent="0.25">
      <c r="B617">
        <f t="shared" si="87"/>
        <v>616</v>
      </c>
      <c r="C617">
        <v>5.3570084729447132E-2</v>
      </c>
      <c r="D617">
        <f t="shared" si="81"/>
        <v>40.726421767602332</v>
      </c>
      <c r="E617">
        <f t="shared" si="88"/>
        <v>40.726421767602332</v>
      </c>
      <c r="F617">
        <f t="shared" si="89"/>
        <v>4.1401830260473109E-2</v>
      </c>
      <c r="G617">
        <f t="shared" si="82"/>
        <v>40.560814446560443</v>
      </c>
      <c r="H617">
        <f t="shared" si="83"/>
        <v>1.2168254468974023E-2</v>
      </c>
      <c r="I617">
        <f t="shared" si="84"/>
        <v>40.685019937341856</v>
      </c>
      <c r="P617" s="2">
        <v>40391</v>
      </c>
      <c r="Q617">
        <v>5.3570084729447132E-2</v>
      </c>
      <c r="R617">
        <f t="shared" si="85"/>
        <v>4.1401830260473109E-2</v>
      </c>
      <c r="S617">
        <f t="shared" si="86"/>
        <v>1.2168254468974023E-2</v>
      </c>
      <c r="T617">
        <v>2.2555055515086408E-2</v>
      </c>
    </row>
    <row r="618" spans="2:20" x14ac:dyDescent="0.25">
      <c r="B618">
        <f t="shared" si="87"/>
        <v>617</v>
      </c>
      <c r="C618">
        <v>5.4991380567033232E-2</v>
      </c>
      <c r="D618">
        <f t="shared" si="81"/>
        <v>40.781413148169364</v>
      </c>
      <c r="E618">
        <f t="shared" si="88"/>
        <v>40.781413148169364</v>
      </c>
      <c r="F618">
        <f t="shared" si="89"/>
        <v>4.4119740321784208E-2</v>
      </c>
      <c r="G618">
        <f t="shared" si="82"/>
        <v>40.604934186882225</v>
      </c>
      <c r="H618">
        <f t="shared" si="83"/>
        <v>1.0871640245249024E-2</v>
      </c>
      <c r="I618">
        <f t="shared" si="84"/>
        <v>40.737293407847581</v>
      </c>
      <c r="P618" s="2">
        <v>40422</v>
      </c>
      <c r="Q618">
        <v>5.4991380567033232E-2</v>
      </c>
      <c r="R618">
        <f t="shared" si="85"/>
        <v>4.4119740321784208E-2</v>
      </c>
      <c r="S618">
        <f t="shared" si="86"/>
        <v>1.0871640245249024E-2</v>
      </c>
      <c r="T618">
        <v>2.0694591242833127E-2</v>
      </c>
    </row>
    <row r="619" spans="2:20" x14ac:dyDescent="0.25">
      <c r="B619">
        <f t="shared" si="87"/>
        <v>618</v>
      </c>
      <c r="C619">
        <v>6.1054995257423528E-2</v>
      </c>
      <c r="D619">
        <f t="shared" si="81"/>
        <v>40.842468143426785</v>
      </c>
      <c r="E619">
        <f t="shared" si="88"/>
        <v>40.842468143426785</v>
      </c>
      <c r="F619">
        <f t="shared" si="89"/>
        <v>4.7506791308912E-2</v>
      </c>
      <c r="G619">
        <f t="shared" si="82"/>
        <v>40.652440978191137</v>
      </c>
      <c r="H619">
        <f t="shared" si="83"/>
        <v>1.3548203948511528E-2</v>
      </c>
      <c r="I619">
        <f t="shared" si="84"/>
        <v>40.794961352117873</v>
      </c>
      <c r="P619" s="2">
        <v>40452</v>
      </c>
      <c r="Q619">
        <v>6.1054995257423528E-2</v>
      </c>
      <c r="R619">
        <f t="shared" si="85"/>
        <v>4.7506791308912E-2</v>
      </c>
      <c r="S619">
        <f t="shared" si="86"/>
        <v>1.3548203948511528E-2</v>
      </c>
      <c r="T619">
        <v>1.9465334788103306E-2</v>
      </c>
    </row>
    <row r="620" spans="2:20" x14ac:dyDescent="0.25">
      <c r="B620">
        <f t="shared" si="87"/>
        <v>619</v>
      </c>
      <c r="C620">
        <v>7.7851891424392861E-2</v>
      </c>
      <c r="D620">
        <f t="shared" si="81"/>
        <v>40.92032003485118</v>
      </c>
      <c r="E620">
        <f t="shared" si="88"/>
        <v>40.92032003485118</v>
      </c>
      <c r="F620">
        <f t="shared" si="89"/>
        <v>5.3575811332008533E-2</v>
      </c>
      <c r="G620">
        <f t="shared" si="82"/>
        <v>40.706016789523147</v>
      </c>
      <c r="H620">
        <f t="shared" si="83"/>
        <v>2.4276080092384328E-2</v>
      </c>
      <c r="I620">
        <f t="shared" si="84"/>
        <v>40.86674422351917</v>
      </c>
      <c r="P620" s="2">
        <v>40483</v>
      </c>
      <c r="Q620">
        <v>7.7851891424392861E-2</v>
      </c>
      <c r="R620">
        <f t="shared" si="85"/>
        <v>5.3575811332008533E-2</v>
      </c>
      <c r="S620">
        <f t="shared" si="86"/>
        <v>2.4276080092384328E-2</v>
      </c>
      <c r="T620">
        <v>2.1219347226741903E-2</v>
      </c>
    </row>
    <row r="621" spans="2:20" x14ac:dyDescent="0.25">
      <c r="B621">
        <f t="shared" si="87"/>
        <v>620</v>
      </c>
      <c r="C621">
        <v>9.2326499601220746E-2</v>
      </c>
      <c r="D621">
        <f t="shared" si="81"/>
        <v>41.012646534452401</v>
      </c>
      <c r="E621">
        <f t="shared" si="88"/>
        <v>41.012646534452401</v>
      </c>
      <c r="F621">
        <f t="shared" si="89"/>
        <v>6.1325948985850691E-2</v>
      </c>
      <c r="G621">
        <f t="shared" si="82"/>
        <v>40.767342738509001</v>
      </c>
      <c r="H621">
        <f t="shared" si="83"/>
        <v>3.1000550615370055E-2</v>
      </c>
      <c r="I621">
        <f t="shared" si="84"/>
        <v>40.951320585466547</v>
      </c>
      <c r="P621" s="2">
        <v>40513</v>
      </c>
      <c r="Q621">
        <v>9.2326499601220746E-2</v>
      </c>
      <c r="R621">
        <f t="shared" si="85"/>
        <v>6.1325948985850691E-2</v>
      </c>
      <c r="S621">
        <f t="shared" si="86"/>
        <v>3.1000550615370055E-2</v>
      </c>
      <c r="T621">
        <v>2.2391253175445769E-2</v>
      </c>
    </row>
    <row r="622" spans="2:20" x14ac:dyDescent="0.25">
      <c r="B622">
        <f t="shared" si="87"/>
        <v>621</v>
      </c>
      <c r="C622">
        <v>9.0931797856063312E-2</v>
      </c>
      <c r="D622">
        <f t="shared" si="81"/>
        <v>41.103578332308466</v>
      </c>
      <c r="E622">
        <f t="shared" si="88"/>
        <v>41.103578332308466</v>
      </c>
      <c r="F622">
        <f t="shared" si="89"/>
        <v>6.7247118759893004E-2</v>
      </c>
      <c r="G622">
        <f t="shared" si="82"/>
        <v>40.834589857268895</v>
      </c>
      <c r="H622">
        <f t="shared" si="83"/>
        <v>2.3684679096170308E-2</v>
      </c>
      <c r="I622">
        <f t="shared" si="84"/>
        <v>41.036331213548571</v>
      </c>
      <c r="P622" s="2">
        <v>40544</v>
      </c>
      <c r="Q622">
        <v>9.0931797856063312E-2</v>
      </c>
      <c r="R622">
        <f t="shared" si="85"/>
        <v>6.7247118759893004E-2</v>
      </c>
      <c r="S622">
        <f t="shared" si="86"/>
        <v>2.3684679096170308E-2</v>
      </c>
      <c r="T622">
        <v>2.59598036957982E-2</v>
      </c>
    </row>
    <row r="623" spans="2:20" x14ac:dyDescent="0.25">
      <c r="B623">
        <f t="shared" si="87"/>
        <v>622</v>
      </c>
      <c r="C623">
        <v>8.8822241622569464E-2</v>
      </c>
      <c r="D623">
        <f t="shared" si="81"/>
        <v>41.192400573931039</v>
      </c>
      <c r="E623">
        <f t="shared" si="88"/>
        <v>41.192400573931039</v>
      </c>
      <c r="F623">
        <f t="shared" si="89"/>
        <v>7.1562143332428718E-2</v>
      </c>
      <c r="G623">
        <f t="shared" si="82"/>
        <v>40.906152000601324</v>
      </c>
      <c r="H623">
        <f t="shared" si="83"/>
        <v>1.7260098290140746E-2</v>
      </c>
      <c r="I623">
        <f t="shared" si="84"/>
        <v>41.12083843059861</v>
      </c>
      <c r="P623" s="2">
        <v>40575</v>
      </c>
      <c r="Q623">
        <v>8.8822241622569464E-2</v>
      </c>
      <c r="R623">
        <f t="shared" si="85"/>
        <v>7.1562143332428718E-2</v>
      </c>
      <c r="S623">
        <f t="shared" si="86"/>
        <v>1.7260098290140746E-2</v>
      </c>
      <c r="T623">
        <v>2.5302554664786037E-2</v>
      </c>
    </row>
    <row r="624" spans="2:20" x14ac:dyDescent="0.25">
      <c r="B624">
        <f t="shared" si="87"/>
        <v>623</v>
      </c>
      <c r="C624">
        <v>9.1737931514494164E-2</v>
      </c>
      <c r="D624">
        <f t="shared" si="81"/>
        <v>41.284138505445533</v>
      </c>
      <c r="E624">
        <f t="shared" si="88"/>
        <v>41.284138505445533</v>
      </c>
      <c r="F624">
        <f t="shared" si="89"/>
        <v>7.5597300968841818E-2</v>
      </c>
      <c r="G624">
        <f t="shared" si="82"/>
        <v>40.981749301570169</v>
      </c>
      <c r="H624">
        <f t="shared" si="83"/>
        <v>1.6140630545652346E-2</v>
      </c>
      <c r="I624">
        <f t="shared" si="84"/>
        <v>41.208541204476688</v>
      </c>
      <c r="P624" s="2">
        <v>40603</v>
      </c>
      <c r="Q624">
        <v>9.1737931514494164E-2</v>
      </c>
      <c r="R624">
        <f t="shared" si="85"/>
        <v>7.5597300968841818E-2</v>
      </c>
      <c r="S624">
        <f t="shared" si="86"/>
        <v>1.6140630545652346E-2</v>
      </c>
      <c r="T624">
        <v>2.5866103712180788E-2</v>
      </c>
    </row>
    <row r="625" spans="2:20" x14ac:dyDescent="0.25">
      <c r="B625">
        <f t="shared" si="87"/>
        <v>624</v>
      </c>
      <c r="C625">
        <v>9.3047754115580972E-2</v>
      </c>
      <c r="D625">
        <f t="shared" si="81"/>
        <v>41.377186259561114</v>
      </c>
      <c r="E625">
        <f t="shared" si="88"/>
        <v>41.377186259561114</v>
      </c>
      <c r="F625">
        <f t="shared" si="89"/>
        <v>7.9087391598189075E-2</v>
      </c>
      <c r="G625">
        <f t="shared" si="82"/>
        <v>41.060836693168355</v>
      </c>
      <c r="H625">
        <f t="shared" si="83"/>
        <v>1.3960362517391897E-2</v>
      </c>
      <c r="I625">
        <f t="shared" si="84"/>
        <v>41.298098867962928</v>
      </c>
      <c r="P625" s="2">
        <v>40634</v>
      </c>
      <c r="Q625">
        <v>9.3047754115580972E-2</v>
      </c>
      <c r="R625">
        <f t="shared" si="85"/>
        <v>7.9087391598189075E-2</v>
      </c>
      <c r="S625">
        <f t="shared" si="86"/>
        <v>1.3960362517391897E-2</v>
      </c>
      <c r="T625">
        <v>2.6412099539776968E-2</v>
      </c>
    </row>
    <row r="626" spans="2:20" x14ac:dyDescent="0.25">
      <c r="B626">
        <f t="shared" si="87"/>
        <v>625</v>
      </c>
      <c r="C626">
        <v>9.8179713753616227E-2</v>
      </c>
      <c r="D626">
        <f t="shared" si="81"/>
        <v>41.47536597331473</v>
      </c>
      <c r="E626">
        <f t="shared" si="88"/>
        <v>41.47536597331473</v>
      </c>
      <c r="F626">
        <f t="shared" si="89"/>
        <v>8.2905856029275082E-2</v>
      </c>
      <c r="G626">
        <f t="shared" si="82"/>
        <v>41.143742549197633</v>
      </c>
      <c r="H626">
        <f t="shared" si="83"/>
        <v>1.5273857724341144E-2</v>
      </c>
      <c r="I626">
        <f t="shared" si="84"/>
        <v>41.392460117285452</v>
      </c>
      <c r="P626" s="2">
        <v>40664</v>
      </c>
      <c r="Q626">
        <v>9.8179713753616227E-2</v>
      </c>
      <c r="R626">
        <f t="shared" si="85"/>
        <v>8.2905856029275082E-2</v>
      </c>
      <c r="S626">
        <f t="shared" si="86"/>
        <v>1.5273857724341144E-2</v>
      </c>
      <c r="T626">
        <v>2.7546651955494994E-2</v>
      </c>
    </row>
    <row r="627" spans="2:20" x14ac:dyDescent="0.25">
      <c r="B627">
        <f t="shared" si="87"/>
        <v>626</v>
      </c>
      <c r="C627">
        <v>9.6343854055890077E-2</v>
      </c>
      <c r="D627">
        <f t="shared" si="81"/>
        <v>41.571709827370618</v>
      </c>
      <c r="E627">
        <f t="shared" si="88"/>
        <v>41.571709827370618</v>
      </c>
      <c r="F627">
        <f t="shared" si="89"/>
        <v>8.5593455634597151E-2</v>
      </c>
      <c r="G627">
        <f t="shared" si="82"/>
        <v>41.229336004832227</v>
      </c>
      <c r="H627">
        <f t="shared" si="83"/>
        <v>1.0750398421292925E-2</v>
      </c>
      <c r="I627">
        <f t="shared" si="84"/>
        <v>41.486116371736024</v>
      </c>
      <c r="P627" s="2">
        <v>40695</v>
      </c>
      <c r="Q627">
        <v>9.6343854055890077E-2</v>
      </c>
      <c r="R627">
        <f t="shared" si="85"/>
        <v>8.5593455634597151E-2</v>
      </c>
      <c r="S627">
        <f t="shared" si="86"/>
        <v>1.0750398421292925E-2</v>
      </c>
      <c r="T627">
        <v>3.1672799866667489E-2</v>
      </c>
    </row>
    <row r="628" spans="2:20" x14ac:dyDescent="0.25">
      <c r="B628">
        <f t="shared" si="87"/>
        <v>627</v>
      </c>
      <c r="C628">
        <v>9.4572958485068526E-2</v>
      </c>
      <c r="D628">
        <f t="shared" ref="D628:D691" si="90">D627 +C628</f>
        <v>41.666282785855685</v>
      </c>
      <c r="E628">
        <f t="shared" si="88"/>
        <v>41.666282785855685</v>
      </c>
      <c r="F628">
        <f t="shared" si="89"/>
        <v>8.738935620469164E-2</v>
      </c>
      <c r="G628">
        <f t="shared" ref="G628:G691" si="91">G627 + F628</f>
        <v>41.316725361036916</v>
      </c>
      <c r="H628">
        <f t="shared" ref="H628:H691" si="92">C628-F628</f>
        <v>7.1836022803768856E-3</v>
      </c>
      <c r="I628">
        <f t="shared" ref="I628:I691" si="93">E628-F628</f>
        <v>41.578893429650996</v>
      </c>
      <c r="P628" s="2">
        <v>40725</v>
      </c>
      <c r="Q628">
        <v>9.4572958485068526E-2</v>
      </c>
      <c r="R628">
        <f t="shared" ref="R628:R691" si="94">F628</f>
        <v>8.738935620469164E-2</v>
      </c>
      <c r="S628">
        <f t="shared" ref="S628:S691" si="95">H628</f>
        <v>7.1836022803768856E-3</v>
      </c>
      <c r="T628">
        <v>3.6930939027288723E-2</v>
      </c>
    </row>
    <row r="629" spans="2:20" x14ac:dyDescent="0.25">
      <c r="B629">
        <f t="shared" si="87"/>
        <v>628</v>
      </c>
      <c r="C629">
        <v>9.3209116827733141E-2</v>
      </c>
      <c r="D629">
        <f t="shared" si="90"/>
        <v>41.759491902683422</v>
      </c>
      <c r="E629">
        <f t="shared" si="88"/>
        <v>41.759491902683422</v>
      </c>
      <c r="F629">
        <f t="shared" si="89"/>
        <v>8.8553308329301222E-2</v>
      </c>
      <c r="G629">
        <f t="shared" si="91"/>
        <v>41.405278669366218</v>
      </c>
      <c r="H629">
        <f t="shared" si="92"/>
        <v>4.6558084984319181E-3</v>
      </c>
      <c r="I629">
        <f t="shared" si="93"/>
        <v>41.670938594354119</v>
      </c>
      <c r="P629" s="2">
        <v>40756</v>
      </c>
      <c r="Q629">
        <v>9.3209116827733141E-2</v>
      </c>
      <c r="R629">
        <f t="shared" si="94"/>
        <v>8.8553308329301222E-2</v>
      </c>
      <c r="S629">
        <f t="shared" si="95"/>
        <v>4.6558084984319181E-3</v>
      </c>
      <c r="T629">
        <v>2.9693392925146611E-2</v>
      </c>
    </row>
    <row r="630" spans="2:20" x14ac:dyDescent="0.25">
      <c r="B630">
        <f t="shared" si="87"/>
        <v>629</v>
      </c>
      <c r="C630">
        <v>8.9820862127425016E-2</v>
      </c>
      <c r="D630">
        <f t="shared" si="90"/>
        <v>41.849312764810847</v>
      </c>
      <c r="E630">
        <f t="shared" si="88"/>
        <v>41.849312764810847</v>
      </c>
      <c r="F630">
        <f t="shared" si="89"/>
        <v>8.8806819088925695E-2</v>
      </c>
      <c r="G630">
        <f t="shared" si="91"/>
        <v>41.494085488455141</v>
      </c>
      <c r="H630">
        <f t="shared" si="92"/>
        <v>1.014043038499321E-3</v>
      </c>
      <c r="I630">
        <f t="shared" si="93"/>
        <v>41.760505945721924</v>
      </c>
      <c r="P630" s="2">
        <v>40787</v>
      </c>
      <c r="Q630">
        <v>8.9820862127425016E-2</v>
      </c>
      <c r="R630">
        <f t="shared" si="94"/>
        <v>8.8806819088925695E-2</v>
      </c>
      <c r="S630">
        <f t="shared" si="95"/>
        <v>1.014043038499321E-3</v>
      </c>
      <c r="T630">
        <v>3.0844675351097806E-2</v>
      </c>
    </row>
    <row r="631" spans="2:20" x14ac:dyDescent="0.25">
      <c r="B631">
        <f t="shared" si="87"/>
        <v>630</v>
      </c>
      <c r="C631">
        <v>8.8651927610689185E-2</v>
      </c>
      <c r="D631">
        <f t="shared" si="90"/>
        <v>41.937964692421538</v>
      </c>
      <c r="E631">
        <f t="shared" si="88"/>
        <v>41.937964692421538</v>
      </c>
      <c r="F631">
        <f t="shared" si="89"/>
        <v>8.8775840793279326E-2</v>
      </c>
      <c r="G631">
        <f t="shared" si="91"/>
        <v>41.582861329248423</v>
      </c>
      <c r="H631">
        <f t="shared" si="92"/>
        <v>-1.2391318259014072E-4</v>
      </c>
      <c r="I631">
        <f t="shared" si="93"/>
        <v>41.849188851628256</v>
      </c>
      <c r="P631" s="2">
        <v>40817</v>
      </c>
      <c r="Q631">
        <v>8.8651927610689185E-2</v>
      </c>
      <c r="R631">
        <f t="shared" si="94"/>
        <v>8.8775840793279326E-2</v>
      </c>
      <c r="S631">
        <f t="shared" si="95"/>
        <v>-1.2391318259014072E-4</v>
      </c>
      <c r="T631">
        <v>3.6668803637086356E-2</v>
      </c>
    </row>
    <row r="632" spans="2:20" x14ac:dyDescent="0.25">
      <c r="B632">
        <f t="shared" si="87"/>
        <v>631</v>
      </c>
      <c r="C632">
        <v>7.5953967673070721E-2</v>
      </c>
      <c r="D632">
        <f t="shared" si="90"/>
        <v>42.01391866009461</v>
      </c>
      <c r="E632">
        <f t="shared" si="88"/>
        <v>42.01391866009461</v>
      </c>
      <c r="F632">
        <f t="shared" si="89"/>
        <v>8.6211466169237388E-2</v>
      </c>
      <c r="G632">
        <f t="shared" si="91"/>
        <v>41.669072795417662</v>
      </c>
      <c r="H632">
        <f t="shared" si="92"/>
        <v>-1.0257498496166667E-2</v>
      </c>
      <c r="I632">
        <f t="shared" si="93"/>
        <v>41.927707193925372</v>
      </c>
      <c r="P632" s="2">
        <v>40848</v>
      </c>
      <c r="Q632">
        <v>7.5953967673070721E-2</v>
      </c>
      <c r="R632">
        <f t="shared" si="94"/>
        <v>8.6211466169237388E-2</v>
      </c>
      <c r="S632">
        <f t="shared" si="95"/>
        <v>-1.0257498496166667E-2</v>
      </c>
      <c r="T632">
        <v>3.5360195395884197E-2</v>
      </c>
    </row>
    <row r="633" spans="2:20" x14ac:dyDescent="0.25">
      <c r="B633">
        <f t="shared" si="87"/>
        <v>632</v>
      </c>
      <c r="C633">
        <v>6.2550635330197224E-2</v>
      </c>
      <c r="D633">
        <f t="shared" si="90"/>
        <v>42.076469295424808</v>
      </c>
      <c r="E633">
        <f t="shared" si="88"/>
        <v>42.076469295424808</v>
      </c>
      <c r="F633">
        <f t="shared" si="89"/>
        <v>8.147930000142907E-2</v>
      </c>
      <c r="G633">
        <f t="shared" si="91"/>
        <v>41.750552095419089</v>
      </c>
      <c r="H633">
        <f t="shared" si="92"/>
        <v>-1.8928664671231846E-2</v>
      </c>
      <c r="I633">
        <f t="shared" si="93"/>
        <v>41.994989995423381</v>
      </c>
      <c r="P633" s="2">
        <v>40878</v>
      </c>
      <c r="Q633">
        <v>6.2550635330197224E-2</v>
      </c>
      <c r="R633">
        <f t="shared" si="94"/>
        <v>8.147930000142907E-2</v>
      </c>
      <c r="S633">
        <f t="shared" si="95"/>
        <v>-1.8928664671231846E-2</v>
      </c>
      <c r="T633">
        <v>3.296354955128411E-2</v>
      </c>
    </row>
    <row r="634" spans="2:20" x14ac:dyDescent="0.25">
      <c r="B634">
        <f t="shared" si="87"/>
        <v>633</v>
      </c>
      <c r="C634">
        <v>6.8199830883777679E-2</v>
      </c>
      <c r="D634">
        <f t="shared" si="90"/>
        <v>42.144669126308585</v>
      </c>
      <c r="E634">
        <f t="shared" si="88"/>
        <v>42.144669126308585</v>
      </c>
      <c r="F634">
        <f t="shared" si="89"/>
        <v>7.8823406177899361E-2</v>
      </c>
      <c r="G634">
        <f t="shared" si="91"/>
        <v>41.829375501596985</v>
      </c>
      <c r="H634">
        <f t="shared" si="92"/>
        <v>-1.0623575294121682E-2</v>
      </c>
      <c r="I634">
        <f t="shared" si="93"/>
        <v>42.065845720130689</v>
      </c>
      <c r="P634" s="2">
        <v>40909</v>
      </c>
      <c r="Q634">
        <v>6.8199830883777679E-2</v>
      </c>
      <c r="R634">
        <f t="shared" si="94"/>
        <v>7.8823406177899361E-2</v>
      </c>
      <c r="S634">
        <f t="shared" si="95"/>
        <v>-1.0623575294121682E-2</v>
      </c>
      <c r="T634">
        <v>3.3981008193143758E-2</v>
      </c>
    </row>
    <row r="635" spans="2:20" x14ac:dyDescent="0.25">
      <c r="B635">
        <f t="shared" si="87"/>
        <v>634</v>
      </c>
      <c r="C635">
        <v>7.1156719508067567E-2</v>
      </c>
      <c r="D635">
        <f t="shared" si="90"/>
        <v>42.215825845816653</v>
      </c>
      <c r="E635">
        <f t="shared" si="88"/>
        <v>42.215825845816653</v>
      </c>
      <c r="F635">
        <f t="shared" si="89"/>
        <v>7.7290068843933579E-2</v>
      </c>
      <c r="G635">
        <f t="shared" si="91"/>
        <v>41.906665570440921</v>
      </c>
      <c r="H635">
        <f t="shared" si="92"/>
        <v>-6.1333493358660118E-3</v>
      </c>
      <c r="I635">
        <f t="shared" si="93"/>
        <v>42.138535776972716</v>
      </c>
      <c r="P635" s="2">
        <v>40940</v>
      </c>
      <c r="Q635">
        <v>7.1156719508067567E-2</v>
      </c>
      <c r="R635">
        <f t="shared" si="94"/>
        <v>7.7290068843933579E-2</v>
      </c>
      <c r="S635">
        <f t="shared" si="95"/>
        <v>-6.1333493358660118E-3</v>
      </c>
      <c r="T635">
        <v>3.3921380945667323E-2</v>
      </c>
    </row>
    <row r="636" spans="2:20" x14ac:dyDescent="0.25">
      <c r="B636">
        <f t="shared" si="87"/>
        <v>635</v>
      </c>
      <c r="C636">
        <v>7.2712995923177814E-2</v>
      </c>
      <c r="D636">
        <f t="shared" si="90"/>
        <v>42.288538841739829</v>
      </c>
      <c r="E636">
        <f t="shared" si="88"/>
        <v>42.288538841739829</v>
      </c>
      <c r="F636">
        <f t="shared" si="89"/>
        <v>7.6374654259781502E-2</v>
      </c>
      <c r="G636">
        <f t="shared" si="91"/>
        <v>41.983040224700702</v>
      </c>
      <c r="H636">
        <f t="shared" si="92"/>
        <v>-3.6616583366036876E-3</v>
      </c>
      <c r="I636">
        <f t="shared" si="93"/>
        <v>42.212164187480049</v>
      </c>
      <c r="P636" s="2">
        <v>40969</v>
      </c>
      <c r="Q636">
        <v>7.2712995923177814E-2</v>
      </c>
      <c r="R636">
        <f t="shared" si="94"/>
        <v>7.6374654259781502E-2</v>
      </c>
      <c r="S636">
        <f t="shared" si="95"/>
        <v>-3.6616583366036876E-3</v>
      </c>
      <c r="T636">
        <v>3.3861962610176377E-2</v>
      </c>
    </row>
    <row r="637" spans="2:20" x14ac:dyDescent="0.25">
      <c r="B637">
        <f t="shared" si="87"/>
        <v>636</v>
      </c>
      <c r="C637">
        <v>7.9525777399423347E-2</v>
      </c>
      <c r="D637">
        <f t="shared" si="90"/>
        <v>42.368064619139254</v>
      </c>
      <c r="E637">
        <f t="shared" si="88"/>
        <v>42.368064619139254</v>
      </c>
      <c r="F637">
        <f t="shared" si="89"/>
        <v>7.7004878887710515E-2</v>
      </c>
      <c r="G637">
        <f t="shared" si="91"/>
        <v>42.060045103588415</v>
      </c>
      <c r="H637">
        <f t="shared" si="92"/>
        <v>2.5208985117128324E-3</v>
      </c>
      <c r="I637">
        <f t="shared" si="93"/>
        <v>42.291059740251541</v>
      </c>
      <c r="P637" s="2">
        <v>41000</v>
      </c>
      <c r="Q637">
        <v>7.9525777399423347E-2</v>
      </c>
      <c r="R637">
        <f t="shared" si="94"/>
        <v>7.7004878887710515E-2</v>
      </c>
      <c r="S637">
        <f t="shared" si="95"/>
        <v>2.5208985117128324E-3</v>
      </c>
      <c r="T637">
        <v>3.3783061243644497E-2</v>
      </c>
    </row>
    <row r="638" spans="2:20" x14ac:dyDescent="0.25">
      <c r="B638">
        <f t="shared" si="87"/>
        <v>637</v>
      </c>
      <c r="C638">
        <v>7.4192362228178155E-2</v>
      </c>
      <c r="D638">
        <f t="shared" si="90"/>
        <v>42.442256981367436</v>
      </c>
      <c r="E638">
        <f t="shared" si="88"/>
        <v>42.442256981367436</v>
      </c>
      <c r="F638">
        <f t="shared" si="89"/>
        <v>7.6442375555804187E-2</v>
      </c>
      <c r="G638">
        <f t="shared" si="91"/>
        <v>42.136487479144222</v>
      </c>
      <c r="H638">
        <f t="shared" si="92"/>
        <v>-2.2500133276260326E-3</v>
      </c>
      <c r="I638">
        <f t="shared" si="93"/>
        <v>42.365814605811629</v>
      </c>
      <c r="P638" s="2">
        <v>41030</v>
      </c>
      <c r="Q638">
        <v>7.4192362228178155E-2</v>
      </c>
      <c r="R638">
        <f t="shared" si="94"/>
        <v>7.6442375555804187E-2</v>
      </c>
      <c r="S638">
        <f t="shared" si="95"/>
        <v>-2.2500133276260326E-3</v>
      </c>
      <c r="T638">
        <v>3.6536392061926826E-2</v>
      </c>
    </row>
    <row r="639" spans="2:20" x14ac:dyDescent="0.25">
      <c r="B639">
        <f t="shared" si="87"/>
        <v>638</v>
      </c>
      <c r="C639">
        <v>7.0576922665734898E-2</v>
      </c>
      <c r="D639">
        <f t="shared" si="90"/>
        <v>42.512833904033172</v>
      </c>
      <c r="E639">
        <f t="shared" si="88"/>
        <v>42.512833904033172</v>
      </c>
      <c r="F639">
        <f t="shared" si="89"/>
        <v>7.5269284977790119E-2</v>
      </c>
      <c r="G639">
        <f t="shared" si="91"/>
        <v>42.211756764122015</v>
      </c>
      <c r="H639">
        <f t="shared" si="92"/>
        <v>-4.6923623120552205E-3</v>
      </c>
      <c r="I639">
        <f t="shared" si="93"/>
        <v>42.437564619055379</v>
      </c>
      <c r="P639" s="2">
        <v>41061</v>
      </c>
      <c r="Q639">
        <v>7.0576922665734898E-2</v>
      </c>
      <c r="R639">
        <f t="shared" si="94"/>
        <v>7.5269284977790119E-2</v>
      </c>
      <c r="S639">
        <f t="shared" si="95"/>
        <v>-4.6923623120552205E-3</v>
      </c>
      <c r="T639">
        <v>3.4685557987889304E-2</v>
      </c>
    </row>
    <row r="640" spans="2:20" x14ac:dyDescent="0.25">
      <c r="B640">
        <f t="shared" si="87"/>
        <v>639</v>
      </c>
      <c r="C640">
        <v>7.1412310533947476E-2</v>
      </c>
      <c r="D640">
        <f t="shared" si="90"/>
        <v>42.584246214567116</v>
      </c>
      <c r="E640">
        <f t="shared" si="88"/>
        <v>42.584246214567116</v>
      </c>
      <c r="F640">
        <f t="shared" si="89"/>
        <v>7.4497890089020302E-2</v>
      </c>
      <c r="G640">
        <f t="shared" si="91"/>
        <v>42.286254654211035</v>
      </c>
      <c r="H640">
        <f t="shared" si="92"/>
        <v>-3.085579555072826E-3</v>
      </c>
      <c r="I640">
        <f t="shared" si="93"/>
        <v>42.509748324478096</v>
      </c>
      <c r="P640" s="2">
        <v>41091</v>
      </c>
      <c r="Q640">
        <v>7.1412310533947476E-2</v>
      </c>
      <c r="R640">
        <f t="shared" si="94"/>
        <v>7.4497890089020302E-2</v>
      </c>
      <c r="S640">
        <f t="shared" si="95"/>
        <v>-3.085579555072826E-3</v>
      </c>
      <c r="T640">
        <v>2.9388458999499711E-2</v>
      </c>
    </row>
    <row r="641" spans="2:20" x14ac:dyDescent="0.25">
      <c r="B641">
        <f t="shared" si="87"/>
        <v>640</v>
      </c>
      <c r="C641">
        <v>6.8582721898028609E-2</v>
      </c>
      <c r="D641">
        <f t="shared" si="90"/>
        <v>42.652828936465141</v>
      </c>
      <c r="E641">
        <f t="shared" si="88"/>
        <v>42.652828936465141</v>
      </c>
      <c r="F641">
        <f t="shared" si="89"/>
        <v>7.3314856450821253E-2</v>
      </c>
      <c r="G641">
        <f t="shared" si="91"/>
        <v>42.359569510661856</v>
      </c>
      <c r="H641">
        <f t="shared" si="92"/>
        <v>-4.7321345527926439E-3</v>
      </c>
      <c r="I641">
        <f t="shared" si="93"/>
        <v>42.57951408001432</v>
      </c>
      <c r="P641" s="2">
        <v>41122</v>
      </c>
      <c r="Q641">
        <v>6.8582721898028609E-2</v>
      </c>
      <c r="R641">
        <f t="shared" si="94"/>
        <v>7.3314856450821253E-2</v>
      </c>
      <c r="S641">
        <f t="shared" si="95"/>
        <v>-4.7321345527926439E-3</v>
      </c>
      <c r="T641">
        <v>3.1675553451145255E-2</v>
      </c>
    </row>
    <row r="642" spans="2:20" x14ac:dyDescent="0.25">
      <c r="B642">
        <f t="shared" si="87"/>
        <v>641</v>
      </c>
      <c r="C642">
        <v>6.7433836160082805E-2</v>
      </c>
      <c r="D642">
        <f t="shared" si="90"/>
        <v>42.720262772625226</v>
      </c>
      <c r="E642">
        <f t="shared" si="88"/>
        <v>42.720262772625226</v>
      </c>
      <c r="F642">
        <f t="shared" si="89"/>
        <v>7.2138652392673919E-2</v>
      </c>
      <c r="G642">
        <f t="shared" si="91"/>
        <v>42.43170816305453</v>
      </c>
      <c r="H642">
        <f t="shared" si="92"/>
        <v>-4.7048162325911136E-3</v>
      </c>
      <c r="I642">
        <f t="shared" si="93"/>
        <v>42.648124120232552</v>
      </c>
      <c r="P642" s="2">
        <v>41153</v>
      </c>
      <c r="Q642">
        <v>6.7433836160082805E-2</v>
      </c>
      <c r="R642">
        <f t="shared" si="94"/>
        <v>7.2138652392673919E-2</v>
      </c>
      <c r="S642">
        <f t="shared" si="95"/>
        <v>-4.7048162325911136E-3</v>
      </c>
      <c r="T642">
        <v>3.5010749372521133E-2</v>
      </c>
    </row>
    <row r="643" spans="2:20" x14ac:dyDescent="0.25">
      <c r="B643">
        <f t="shared" si="87"/>
        <v>642</v>
      </c>
      <c r="C643">
        <v>6.5736012732848792E-2</v>
      </c>
      <c r="D643">
        <f t="shared" si="90"/>
        <v>42.785998785358075</v>
      </c>
      <c r="E643">
        <f t="shared" si="88"/>
        <v>42.785998785358075</v>
      </c>
      <c r="F643">
        <f t="shared" si="89"/>
        <v>7.0858124460708896E-2</v>
      </c>
      <c r="G643">
        <f t="shared" si="91"/>
        <v>42.502566287515236</v>
      </c>
      <c r="H643">
        <f t="shared" si="92"/>
        <v>-5.1221117278601042E-3</v>
      </c>
      <c r="I643">
        <f t="shared" si="93"/>
        <v>42.715140660897369</v>
      </c>
      <c r="P643" s="2">
        <v>41183</v>
      </c>
      <c r="Q643">
        <v>6.5736012732848792E-2</v>
      </c>
      <c r="R643">
        <f t="shared" si="94"/>
        <v>7.0858124460708896E-2</v>
      </c>
      <c r="S643">
        <f t="shared" si="95"/>
        <v>-5.1221117278601042E-3</v>
      </c>
      <c r="T643">
        <v>3.1440143166975965E-2</v>
      </c>
    </row>
    <row r="644" spans="2:20" x14ac:dyDescent="0.25">
      <c r="B644">
        <f t="shared" ref="B644:B707" si="96">B643+1</f>
        <v>643</v>
      </c>
      <c r="C644">
        <v>6.4210167826461273E-2</v>
      </c>
      <c r="D644">
        <f t="shared" si="90"/>
        <v>42.850208953184534</v>
      </c>
      <c r="E644">
        <f t="shared" ref="E644:E707" si="97">D644</f>
        <v>42.850208953184534</v>
      </c>
      <c r="F644">
        <f t="shared" ref="F644:F707" si="98">$K$1*(E644-G643)</f>
        <v>6.952853313385958E-2</v>
      </c>
      <c r="G644">
        <f t="shared" si="91"/>
        <v>42.572094820649099</v>
      </c>
      <c r="H644">
        <f t="shared" si="92"/>
        <v>-5.3183653073983067E-3</v>
      </c>
      <c r="I644">
        <f t="shared" si="93"/>
        <v>42.780680420050672</v>
      </c>
      <c r="P644" s="2">
        <v>41214</v>
      </c>
      <c r="Q644">
        <v>6.4210167826461273E-2</v>
      </c>
      <c r="R644">
        <f t="shared" si="94"/>
        <v>6.952853313385958E-2</v>
      </c>
      <c r="S644">
        <f t="shared" si="95"/>
        <v>-5.3183653073983067E-3</v>
      </c>
      <c r="T644">
        <v>2.6851084722846252E-2</v>
      </c>
    </row>
    <row r="645" spans="2:20" x14ac:dyDescent="0.25">
      <c r="B645">
        <f t="shared" si="96"/>
        <v>644</v>
      </c>
      <c r="C645">
        <v>6.2735002738078194E-2</v>
      </c>
      <c r="D645">
        <f t="shared" si="90"/>
        <v>42.912943955922614</v>
      </c>
      <c r="E645">
        <f t="shared" si="97"/>
        <v>42.912943955922614</v>
      </c>
      <c r="F645">
        <f t="shared" si="98"/>
        <v>6.8169827054703092E-2</v>
      </c>
      <c r="G645">
        <f t="shared" si="91"/>
        <v>42.640264647703802</v>
      </c>
      <c r="H645">
        <f t="shared" si="92"/>
        <v>-5.4348243166248977E-3</v>
      </c>
      <c r="I645">
        <f t="shared" si="93"/>
        <v>42.844774128867911</v>
      </c>
      <c r="P645" s="2">
        <v>41244</v>
      </c>
      <c r="Q645">
        <v>6.2735002738078194E-2</v>
      </c>
      <c r="R645">
        <f t="shared" si="94"/>
        <v>6.8169827054703092E-2</v>
      </c>
      <c r="S645">
        <f t="shared" si="95"/>
        <v>-5.4348243166248977E-3</v>
      </c>
      <c r="T645">
        <v>2.6851084722846252E-2</v>
      </c>
    </row>
    <row r="646" spans="2:20" x14ac:dyDescent="0.25">
      <c r="B646">
        <f t="shared" si="96"/>
        <v>645</v>
      </c>
      <c r="C646">
        <v>6.0518511475422088E-2</v>
      </c>
      <c r="D646">
        <f t="shared" si="90"/>
        <v>42.973462467398036</v>
      </c>
      <c r="E646">
        <f t="shared" si="97"/>
        <v>42.973462467398036</v>
      </c>
      <c r="F646">
        <f t="shared" si="98"/>
        <v>6.6639563938846888E-2</v>
      </c>
      <c r="G646">
        <f t="shared" si="91"/>
        <v>42.706904211642652</v>
      </c>
      <c r="H646">
        <f t="shared" si="92"/>
        <v>-6.1210524634248004E-3</v>
      </c>
      <c r="I646">
        <f t="shared" si="93"/>
        <v>42.906822903459187</v>
      </c>
      <c r="P646" s="2">
        <v>41275</v>
      </c>
      <c r="Q646">
        <v>6.0518511475422088E-2</v>
      </c>
      <c r="R646">
        <f t="shared" si="94"/>
        <v>6.6639563938846888E-2</v>
      </c>
      <c r="S646">
        <f t="shared" si="95"/>
        <v>-6.1210524634248004E-3</v>
      </c>
      <c r="T646">
        <v>2.5591388069366339E-2</v>
      </c>
    </row>
    <row r="647" spans="2:20" x14ac:dyDescent="0.25">
      <c r="B647">
        <f t="shared" si="96"/>
        <v>646</v>
      </c>
      <c r="C647">
        <v>6.5434168546037341E-2</v>
      </c>
      <c r="D647">
        <f t="shared" si="90"/>
        <v>43.03889663594407</v>
      </c>
      <c r="E647">
        <f t="shared" si="97"/>
        <v>43.03889663594407</v>
      </c>
      <c r="F647">
        <f t="shared" si="98"/>
        <v>6.6398484860283699E-2</v>
      </c>
      <c r="G647">
        <f t="shared" si="91"/>
        <v>42.773302696502938</v>
      </c>
      <c r="H647">
        <f t="shared" si="92"/>
        <v>-9.6431631424635789E-4</v>
      </c>
      <c r="I647">
        <f t="shared" si="93"/>
        <v>42.972498151083784</v>
      </c>
      <c r="P647" s="2">
        <v>41306</v>
      </c>
      <c r="Q647">
        <v>6.5434168546037341E-2</v>
      </c>
      <c r="R647">
        <f t="shared" si="94"/>
        <v>6.6398484860283699E-2</v>
      </c>
      <c r="S647">
        <f t="shared" si="95"/>
        <v>-9.6431631424635789E-4</v>
      </c>
      <c r="T647">
        <v>2.1053409197832273E-2</v>
      </c>
    </row>
    <row r="648" spans="2:20" x14ac:dyDescent="0.25">
      <c r="B648">
        <f t="shared" si="96"/>
        <v>647</v>
      </c>
      <c r="C648">
        <v>5.9349192780583593E-2</v>
      </c>
      <c r="D648">
        <f t="shared" si="90"/>
        <v>43.098245828724657</v>
      </c>
      <c r="E648">
        <f t="shared" si="97"/>
        <v>43.098245828724657</v>
      </c>
      <c r="F648">
        <f t="shared" si="98"/>
        <v>6.4988626444343819E-2</v>
      </c>
      <c r="G648">
        <f t="shared" si="91"/>
        <v>42.838291322947285</v>
      </c>
      <c r="H648">
        <f t="shared" si="92"/>
        <v>-5.6394336637602266E-3</v>
      </c>
      <c r="I648">
        <f t="shared" si="93"/>
        <v>43.033257202280311</v>
      </c>
      <c r="P648" s="2">
        <v>41334</v>
      </c>
      <c r="Q648">
        <v>5.9349192780583593E-2</v>
      </c>
      <c r="R648">
        <f t="shared" si="94"/>
        <v>6.4988626444343819E-2</v>
      </c>
      <c r="S648">
        <f t="shared" si="95"/>
        <v>-5.6394336637602266E-3</v>
      </c>
      <c r="T648">
        <v>1.8766544497068161E-2</v>
      </c>
    </row>
    <row r="649" spans="2:20" x14ac:dyDescent="0.25">
      <c r="B649">
        <f t="shared" si="96"/>
        <v>648</v>
      </c>
      <c r="C649">
        <v>5.3542262171557553E-2</v>
      </c>
      <c r="D649">
        <f t="shared" si="90"/>
        <v>43.151788090896218</v>
      </c>
      <c r="E649">
        <f t="shared" si="97"/>
        <v>43.151788090896218</v>
      </c>
      <c r="F649">
        <f t="shared" si="98"/>
        <v>6.2699353589786719E-2</v>
      </c>
      <c r="G649">
        <f t="shared" si="91"/>
        <v>42.90099067653707</v>
      </c>
      <c r="H649">
        <f t="shared" si="92"/>
        <v>-9.1570914182291657E-3</v>
      </c>
      <c r="I649">
        <f t="shared" si="93"/>
        <v>43.089088737306433</v>
      </c>
      <c r="P649" s="2">
        <v>41365</v>
      </c>
      <c r="Q649">
        <v>5.3542262171557553E-2</v>
      </c>
      <c r="R649">
        <f t="shared" si="94"/>
        <v>6.2699353589786719E-2</v>
      </c>
      <c r="S649">
        <f t="shared" si="95"/>
        <v>-9.1570914182291657E-3</v>
      </c>
      <c r="T649">
        <v>1.5909426469977284E-2</v>
      </c>
    </row>
    <row r="650" spans="2:20" x14ac:dyDescent="0.25">
      <c r="B650">
        <f t="shared" si="96"/>
        <v>649</v>
      </c>
      <c r="C650">
        <v>5.7713131857951794E-2</v>
      </c>
      <c r="D650">
        <f t="shared" si="90"/>
        <v>43.20950122275417</v>
      </c>
      <c r="E650">
        <f t="shared" si="97"/>
        <v>43.20950122275417</v>
      </c>
      <c r="F650">
        <f t="shared" si="98"/>
        <v>6.1702109243420011E-2</v>
      </c>
      <c r="G650">
        <f t="shared" si="91"/>
        <v>42.96269278578049</v>
      </c>
      <c r="H650">
        <f t="shared" si="92"/>
        <v>-3.9889773854682176E-3</v>
      </c>
      <c r="I650">
        <f t="shared" si="93"/>
        <v>43.14779911351075</v>
      </c>
      <c r="P650" s="2">
        <v>41395</v>
      </c>
      <c r="Q650">
        <v>5.7713131857951794E-2</v>
      </c>
      <c r="R650">
        <f t="shared" si="94"/>
        <v>6.1702109243420011E-2</v>
      </c>
      <c r="S650">
        <f t="shared" si="95"/>
        <v>-3.9889773854682176E-3</v>
      </c>
      <c r="T650">
        <v>1.1888053959589584E-2</v>
      </c>
    </row>
    <row r="651" spans="2:20" x14ac:dyDescent="0.25">
      <c r="B651">
        <f t="shared" si="96"/>
        <v>650</v>
      </c>
      <c r="C651">
        <v>6.1839978905059212E-2</v>
      </c>
      <c r="D651">
        <f t="shared" si="90"/>
        <v>43.271341201659226</v>
      </c>
      <c r="E651">
        <f t="shared" si="97"/>
        <v>43.271341201659226</v>
      </c>
      <c r="F651">
        <f t="shared" si="98"/>
        <v>6.1729683175747146E-2</v>
      </c>
      <c r="G651">
        <f t="shared" si="91"/>
        <v>43.024422468956239</v>
      </c>
      <c r="H651">
        <f t="shared" si="92"/>
        <v>1.1029572931206544E-4</v>
      </c>
      <c r="I651">
        <f t="shared" si="93"/>
        <v>43.209611518483477</v>
      </c>
      <c r="P651" s="2">
        <v>41426</v>
      </c>
      <c r="Q651">
        <v>6.1839978905059212E-2</v>
      </c>
      <c r="R651">
        <f t="shared" si="94"/>
        <v>6.1729683175747146E-2</v>
      </c>
      <c r="S651">
        <f t="shared" si="95"/>
        <v>1.1029572931206544E-4</v>
      </c>
      <c r="T651">
        <v>1.1299555253933669E-2</v>
      </c>
    </row>
    <row r="652" spans="2:20" x14ac:dyDescent="0.25">
      <c r="B652">
        <f t="shared" si="96"/>
        <v>651</v>
      </c>
      <c r="C652">
        <v>5.9724450723154021E-2</v>
      </c>
      <c r="D652">
        <f t="shared" si="90"/>
        <v>43.331065652382378</v>
      </c>
      <c r="E652">
        <f t="shared" si="97"/>
        <v>43.331065652382378</v>
      </c>
      <c r="F652">
        <f t="shared" si="98"/>
        <v>6.132863668522788E-2</v>
      </c>
      <c r="G652">
        <f t="shared" si="91"/>
        <v>43.085751105641464</v>
      </c>
      <c r="H652">
        <f t="shared" si="92"/>
        <v>-1.6041859620738591E-3</v>
      </c>
      <c r="I652">
        <f t="shared" si="93"/>
        <v>43.269737015697153</v>
      </c>
      <c r="P652" s="2">
        <v>41456</v>
      </c>
      <c r="Q652">
        <v>5.9724450723154021E-2</v>
      </c>
      <c r="R652">
        <f t="shared" si="94"/>
        <v>6.132863668522788E-2</v>
      </c>
      <c r="S652">
        <f t="shared" si="95"/>
        <v>-1.6041859620738591E-3</v>
      </c>
      <c r="T652">
        <v>1.3536585717533356E-2</v>
      </c>
    </row>
    <row r="653" spans="2:20" x14ac:dyDescent="0.25">
      <c r="B653">
        <f t="shared" si="96"/>
        <v>652</v>
      </c>
      <c r="C653">
        <v>6.1082933897202096E-2</v>
      </c>
      <c r="D653">
        <f t="shared" si="90"/>
        <v>43.392148586279582</v>
      </c>
      <c r="E653">
        <f t="shared" si="97"/>
        <v>43.392148586279582</v>
      </c>
      <c r="F653">
        <f t="shared" si="98"/>
        <v>6.1279496127623651E-2</v>
      </c>
      <c r="G653">
        <f t="shared" si="91"/>
        <v>43.147030601769089</v>
      </c>
      <c r="H653">
        <f t="shared" si="92"/>
        <v>-1.9656223042155418E-4</v>
      </c>
      <c r="I653">
        <f t="shared" si="93"/>
        <v>43.330869090151957</v>
      </c>
      <c r="P653" s="2">
        <v>41487</v>
      </c>
      <c r="Q653">
        <v>6.1082933897202096E-2</v>
      </c>
      <c r="R653">
        <f t="shared" si="94"/>
        <v>6.1279496127623651E-2</v>
      </c>
      <c r="S653">
        <f t="shared" si="95"/>
        <v>-1.9656223042155418E-4</v>
      </c>
      <c r="T653">
        <v>1.6306237038396176E-2</v>
      </c>
    </row>
    <row r="654" spans="2:20" x14ac:dyDescent="0.25">
      <c r="B654">
        <f t="shared" si="96"/>
        <v>653</v>
      </c>
      <c r="C654">
        <v>6.3552369858594915E-2</v>
      </c>
      <c r="D654">
        <f t="shared" si="90"/>
        <v>43.455700956138173</v>
      </c>
      <c r="E654">
        <f t="shared" si="97"/>
        <v>43.455700956138173</v>
      </c>
      <c r="F654">
        <f t="shared" si="98"/>
        <v>6.173407087381691E-2</v>
      </c>
      <c r="G654">
        <f t="shared" si="91"/>
        <v>43.208764672642907</v>
      </c>
      <c r="H654">
        <f t="shared" si="92"/>
        <v>1.8182989847780051E-3</v>
      </c>
      <c r="I654">
        <f t="shared" si="93"/>
        <v>43.393966885264355</v>
      </c>
      <c r="P654" s="2">
        <v>41518</v>
      </c>
      <c r="Q654">
        <v>6.3552369858594915E-2</v>
      </c>
      <c r="R654">
        <f t="shared" si="94"/>
        <v>6.173407087381691E-2</v>
      </c>
      <c r="S654">
        <f t="shared" si="95"/>
        <v>1.8182989847780051E-3</v>
      </c>
      <c r="T654">
        <v>1.2331994848170602E-2</v>
      </c>
    </row>
    <row r="655" spans="2:20" x14ac:dyDescent="0.25">
      <c r="B655">
        <f t="shared" si="96"/>
        <v>654</v>
      </c>
      <c r="C655">
        <v>6.3034984732999177E-2</v>
      </c>
      <c r="D655">
        <f t="shared" si="90"/>
        <v>43.518735940871174</v>
      </c>
      <c r="E655">
        <f t="shared" si="97"/>
        <v>43.518735940871174</v>
      </c>
      <c r="F655">
        <f t="shared" si="98"/>
        <v>6.1994253645653433E-2</v>
      </c>
      <c r="G655">
        <f t="shared" si="91"/>
        <v>43.270758926288558</v>
      </c>
      <c r="H655">
        <f t="shared" si="92"/>
        <v>1.0407310873457448E-3</v>
      </c>
      <c r="I655">
        <f t="shared" si="93"/>
        <v>43.456741687225524</v>
      </c>
      <c r="P655" s="2">
        <v>41548</v>
      </c>
      <c r="Q655">
        <v>6.3034984732999177E-2</v>
      </c>
      <c r="R655">
        <f t="shared" si="94"/>
        <v>6.1994253645653433E-2</v>
      </c>
      <c r="S655">
        <f t="shared" si="95"/>
        <v>1.0407310873457448E-3</v>
      </c>
      <c r="T655">
        <v>1.0635420707493459E-2</v>
      </c>
    </row>
    <row r="656" spans="2:20" x14ac:dyDescent="0.25">
      <c r="B656">
        <f t="shared" si="96"/>
        <v>655</v>
      </c>
      <c r="C656">
        <v>6.4052089593218398E-2</v>
      </c>
      <c r="D656">
        <f t="shared" si="90"/>
        <v>43.582788030464393</v>
      </c>
      <c r="E656">
        <f t="shared" si="97"/>
        <v>43.582788030464393</v>
      </c>
      <c r="F656">
        <f t="shared" si="98"/>
        <v>6.2405820835166992E-2</v>
      </c>
      <c r="G656">
        <f t="shared" si="91"/>
        <v>43.333164747123725</v>
      </c>
      <c r="H656">
        <f t="shared" si="92"/>
        <v>1.6462687580514057E-3</v>
      </c>
      <c r="I656">
        <f t="shared" si="93"/>
        <v>43.520382209629226</v>
      </c>
      <c r="P656" s="2">
        <v>41579</v>
      </c>
      <c r="Q656">
        <v>6.4052089593218398E-2</v>
      </c>
      <c r="R656">
        <f t="shared" si="94"/>
        <v>6.2405820835166992E-2</v>
      </c>
      <c r="S656">
        <f t="shared" si="95"/>
        <v>1.6462687580514057E-3</v>
      </c>
      <c r="T656">
        <v>1.45497810147317E-2</v>
      </c>
    </row>
    <row r="657" spans="2:20" x14ac:dyDescent="0.25">
      <c r="B657">
        <f t="shared" si="96"/>
        <v>656</v>
      </c>
      <c r="C657">
        <v>6.0778538253213554E-2</v>
      </c>
      <c r="D657">
        <f t="shared" si="90"/>
        <v>43.643566568717603</v>
      </c>
      <c r="E657">
        <f t="shared" si="97"/>
        <v>43.643566568717603</v>
      </c>
      <c r="F657">
        <f t="shared" si="98"/>
        <v>6.2080364318775595E-2</v>
      </c>
      <c r="G657">
        <f t="shared" si="91"/>
        <v>43.395245111442499</v>
      </c>
      <c r="H657">
        <f t="shared" si="92"/>
        <v>-1.3018260655620409E-3</v>
      </c>
      <c r="I657">
        <f t="shared" si="93"/>
        <v>43.581486204398828</v>
      </c>
      <c r="P657" s="2">
        <v>41609</v>
      </c>
      <c r="Q657">
        <v>6.0778538253213554E-2</v>
      </c>
      <c r="R657">
        <f t="shared" si="94"/>
        <v>6.2080364318775595E-2</v>
      </c>
      <c r="S657">
        <f t="shared" si="95"/>
        <v>-1.3018260655620409E-3</v>
      </c>
      <c r="T657">
        <v>1.7323707897457297E-2</v>
      </c>
    </row>
    <row r="658" spans="2:20" x14ac:dyDescent="0.25">
      <c r="B658">
        <f t="shared" si="96"/>
        <v>657</v>
      </c>
      <c r="C658">
        <v>5.8814399108095827E-2</v>
      </c>
      <c r="D658">
        <f t="shared" si="90"/>
        <v>43.702380967825697</v>
      </c>
      <c r="E658">
        <f t="shared" si="97"/>
        <v>43.702380967825697</v>
      </c>
      <c r="F658">
        <f t="shared" si="98"/>
        <v>6.1427171276639575E-2</v>
      </c>
      <c r="G658">
        <f t="shared" si="91"/>
        <v>43.45667228271914</v>
      </c>
      <c r="H658">
        <f t="shared" si="92"/>
        <v>-2.6127721685437477E-3</v>
      </c>
      <c r="I658">
        <f t="shared" si="93"/>
        <v>43.640953796549056</v>
      </c>
      <c r="P658" s="2">
        <v>41640</v>
      </c>
      <c r="Q658">
        <v>5.8814399108095827E-2</v>
      </c>
      <c r="R658">
        <f t="shared" si="94"/>
        <v>6.1427171276639575E-2</v>
      </c>
      <c r="S658">
        <f t="shared" si="95"/>
        <v>-2.6127721685437477E-3</v>
      </c>
      <c r="T658">
        <v>1.504625766246015E-2</v>
      </c>
    </row>
    <row r="659" spans="2:20" x14ac:dyDescent="0.25">
      <c r="B659">
        <f t="shared" si="96"/>
        <v>658</v>
      </c>
      <c r="C659">
        <v>5.3853053649199012E-2</v>
      </c>
      <c r="D659">
        <f t="shared" si="90"/>
        <v>43.756234021474896</v>
      </c>
      <c r="E659">
        <f t="shared" si="97"/>
        <v>43.756234021474896</v>
      </c>
      <c r="F659">
        <f t="shared" si="98"/>
        <v>5.9912347751151174E-2</v>
      </c>
      <c r="G659">
        <f t="shared" si="91"/>
        <v>43.516584630470291</v>
      </c>
      <c r="H659">
        <f t="shared" si="92"/>
        <v>-6.0592941019521618E-3</v>
      </c>
      <c r="I659">
        <f t="shared" si="93"/>
        <v>43.696321673723745</v>
      </c>
      <c r="P659" s="2">
        <v>41671</v>
      </c>
      <c r="Q659">
        <v>5.3853053649199012E-2</v>
      </c>
      <c r="R659">
        <f t="shared" si="94"/>
        <v>5.9912347751151174E-2</v>
      </c>
      <c r="S659">
        <f t="shared" si="95"/>
        <v>-6.0592941019521618E-3</v>
      </c>
      <c r="T659">
        <v>2.0067563050809589E-2</v>
      </c>
    </row>
    <row r="660" spans="2:20" x14ac:dyDescent="0.25">
      <c r="B660">
        <f t="shared" si="96"/>
        <v>659</v>
      </c>
      <c r="C660">
        <v>5.6626504592397708E-2</v>
      </c>
      <c r="D660">
        <f t="shared" si="90"/>
        <v>43.812860526067297</v>
      </c>
      <c r="E660">
        <f t="shared" si="97"/>
        <v>43.812860526067297</v>
      </c>
      <c r="F660">
        <f t="shared" si="98"/>
        <v>5.9255179119401195E-2</v>
      </c>
      <c r="G660">
        <f t="shared" si="91"/>
        <v>43.575839809589695</v>
      </c>
      <c r="H660">
        <f t="shared" si="92"/>
        <v>-2.628674527003487E-3</v>
      </c>
      <c r="I660">
        <f t="shared" si="93"/>
        <v>43.753605346947893</v>
      </c>
      <c r="P660" s="2">
        <v>41699</v>
      </c>
      <c r="Q660">
        <v>5.6626504592397708E-2</v>
      </c>
      <c r="R660">
        <f t="shared" si="94"/>
        <v>5.9255179119401195E-2</v>
      </c>
      <c r="S660">
        <f t="shared" si="95"/>
        <v>-2.628674527003487E-3</v>
      </c>
      <c r="T660">
        <v>2.2285044789434494E-2</v>
      </c>
    </row>
    <row r="661" spans="2:20" x14ac:dyDescent="0.25">
      <c r="B661">
        <f t="shared" si="96"/>
        <v>660</v>
      </c>
      <c r="C661">
        <v>5.7832807540300735E-2</v>
      </c>
      <c r="D661">
        <f t="shared" si="90"/>
        <v>43.870693333607598</v>
      </c>
      <c r="E661">
        <f t="shared" si="97"/>
        <v>43.870693333607598</v>
      </c>
      <c r="F661">
        <f t="shared" si="98"/>
        <v>5.8970704803580534E-2</v>
      </c>
      <c r="G661">
        <f t="shared" si="91"/>
        <v>43.634810514393273</v>
      </c>
      <c r="H661">
        <f t="shared" si="92"/>
        <v>-1.1378972632797996E-3</v>
      </c>
      <c r="I661">
        <f t="shared" si="93"/>
        <v>43.81172262880402</v>
      </c>
      <c r="P661" s="2">
        <v>41730</v>
      </c>
      <c r="Q661">
        <v>5.7832807540300735E-2</v>
      </c>
      <c r="R661">
        <f t="shared" si="94"/>
        <v>5.8970704803580534E-2</v>
      </c>
      <c r="S661">
        <f t="shared" si="95"/>
        <v>-1.1378972632797996E-3</v>
      </c>
      <c r="T661">
        <v>2.4500111867899577E-2</v>
      </c>
    </row>
    <row r="662" spans="2:20" x14ac:dyDescent="0.25">
      <c r="B662">
        <f t="shared" si="96"/>
        <v>661</v>
      </c>
      <c r="C662">
        <v>5.7636532422462139E-2</v>
      </c>
      <c r="D662">
        <f t="shared" si="90"/>
        <v>43.928329866030062</v>
      </c>
      <c r="E662">
        <f t="shared" si="97"/>
        <v>43.928329866030062</v>
      </c>
      <c r="F662">
        <f t="shared" si="98"/>
        <v>5.8703870327357778E-2</v>
      </c>
      <c r="G662">
        <f t="shared" si="91"/>
        <v>43.693514384720629</v>
      </c>
      <c r="H662">
        <f t="shared" si="92"/>
        <v>-1.0673379048956391E-3</v>
      </c>
      <c r="I662">
        <f t="shared" si="93"/>
        <v>43.869625995702705</v>
      </c>
      <c r="P662" s="2">
        <v>41760</v>
      </c>
      <c r="Q662">
        <v>5.7636532422462139E-2</v>
      </c>
      <c r="R662">
        <f t="shared" si="94"/>
        <v>5.8703870327357778E-2</v>
      </c>
      <c r="S662">
        <f t="shared" si="95"/>
        <v>-1.0673379048956391E-3</v>
      </c>
      <c r="T662">
        <v>2.7201233000262448E-2</v>
      </c>
    </row>
    <row r="663" spans="2:20" x14ac:dyDescent="0.25">
      <c r="B663">
        <f t="shared" si="96"/>
        <v>662</v>
      </c>
      <c r="C663">
        <v>6.0742565220586187E-2</v>
      </c>
      <c r="D663">
        <f t="shared" si="90"/>
        <v>43.989072431250648</v>
      </c>
      <c r="E663">
        <f t="shared" si="97"/>
        <v>43.989072431250648</v>
      </c>
      <c r="F663">
        <f t="shared" si="98"/>
        <v>5.9111609306003746E-2</v>
      </c>
      <c r="G663">
        <f t="shared" si="91"/>
        <v>43.75262599402663</v>
      </c>
      <c r="H663">
        <f t="shared" si="92"/>
        <v>1.6309559145824409E-3</v>
      </c>
      <c r="I663">
        <f t="shared" si="93"/>
        <v>43.929960821944647</v>
      </c>
      <c r="P663" s="2">
        <v>41791</v>
      </c>
      <c r="Q663">
        <v>6.0742565220586187E-2</v>
      </c>
      <c r="R663">
        <f t="shared" si="94"/>
        <v>5.9111609306003746E-2</v>
      </c>
      <c r="S663">
        <f t="shared" si="95"/>
        <v>1.6309559145824409E-3</v>
      </c>
      <c r="T663">
        <v>3.0975927894305144E-2</v>
      </c>
    </row>
    <row r="664" spans="2:20" x14ac:dyDescent="0.25">
      <c r="B664">
        <f t="shared" si="96"/>
        <v>663</v>
      </c>
      <c r="C664">
        <v>5.852256713978754E-2</v>
      </c>
      <c r="D664">
        <f t="shared" si="90"/>
        <v>44.047594998390437</v>
      </c>
      <c r="E664">
        <f t="shared" si="97"/>
        <v>44.047594998390437</v>
      </c>
      <c r="F664">
        <f t="shared" si="98"/>
        <v>5.8993800872761432E-2</v>
      </c>
      <c r="G664">
        <f t="shared" si="91"/>
        <v>43.811619794899393</v>
      </c>
      <c r="H664">
        <f t="shared" si="92"/>
        <v>-4.7123373297389137E-4</v>
      </c>
      <c r="I664">
        <f t="shared" si="93"/>
        <v>43.988601197517674</v>
      </c>
      <c r="P664" s="2">
        <v>41821</v>
      </c>
      <c r="Q664">
        <v>5.852256713978754E-2</v>
      </c>
      <c r="R664">
        <f t="shared" si="94"/>
        <v>5.8993800872761432E-2</v>
      </c>
      <c r="S664">
        <f t="shared" si="95"/>
        <v>-4.7123373297389137E-4</v>
      </c>
      <c r="T664">
        <v>2.9803530390582367E-2</v>
      </c>
    </row>
    <row r="665" spans="2:20" x14ac:dyDescent="0.25">
      <c r="B665">
        <f t="shared" si="96"/>
        <v>664</v>
      </c>
      <c r="C665">
        <v>5.7842435737553544E-2</v>
      </c>
      <c r="D665">
        <f t="shared" si="90"/>
        <v>44.105437434127992</v>
      </c>
      <c r="E665">
        <f t="shared" si="97"/>
        <v>44.105437434127992</v>
      </c>
      <c r="F665">
        <f t="shared" si="98"/>
        <v>5.8763527845719921E-2</v>
      </c>
      <c r="G665">
        <f t="shared" si="91"/>
        <v>43.870383322745113</v>
      </c>
      <c r="H665">
        <f t="shared" si="92"/>
        <v>-9.2109210816637699E-4</v>
      </c>
      <c r="I665">
        <f t="shared" si="93"/>
        <v>44.046673906282273</v>
      </c>
      <c r="P665" s="2">
        <v>41852</v>
      </c>
      <c r="Q665">
        <v>5.7842435737553544E-2</v>
      </c>
      <c r="R665">
        <f t="shared" si="94"/>
        <v>5.8763527845719921E-2</v>
      </c>
      <c r="S665">
        <f t="shared" si="95"/>
        <v>-9.2109210816637699E-4</v>
      </c>
      <c r="T665">
        <v>2.1518071628943147E-2</v>
      </c>
    </row>
    <row r="666" spans="2:20" x14ac:dyDescent="0.25">
      <c r="B666">
        <f t="shared" si="96"/>
        <v>665</v>
      </c>
      <c r="C666">
        <v>5.4713868247048936E-2</v>
      </c>
      <c r="D666">
        <f t="shared" si="90"/>
        <v>44.160151302375041</v>
      </c>
      <c r="E666">
        <f t="shared" si="97"/>
        <v>44.160151302375041</v>
      </c>
      <c r="F666">
        <f t="shared" si="98"/>
        <v>5.7953595925985729E-2</v>
      </c>
      <c r="G666">
        <f t="shared" si="91"/>
        <v>43.9283369186711</v>
      </c>
      <c r="H666">
        <f t="shared" si="92"/>
        <v>-3.2397276789367935E-3</v>
      </c>
      <c r="I666">
        <f t="shared" si="93"/>
        <v>44.102197706449054</v>
      </c>
      <c r="P666" s="2">
        <v>41883</v>
      </c>
      <c r="Q666">
        <v>5.4713868247048936E-2</v>
      </c>
      <c r="R666">
        <f t="shared" si="94"/>
        <v>5.7953595925985729E-2</v>
      </c>
      <c r="S666">
        <f t="shared" si="95"/>
        <v>-3.2397276789367935E-3</v>
      </c>
      <c r="T666">
        <v>1.8764347468486875E-2</v>
      </c>
    </row>
    <row r="667" spans="2:20" x14ac:dyDescent="0.25">
      <c r="B667">
        <f t="shared" si="96"/>
        <v>666</v>
      </c>
      <c r="C667">
        <v>5.3662227576856125E-2</v>
      </c>
      <c r="D667">
        <f t="shared" si="90"/>
        <v>44.213813529951899</v>
      </c>
      <c r="E667">
        <f t="shared" si="97"/>
        <v>44.213813529951899</v>
      </c>
      <c r="F667">
        <f t="shared" si="98"/>
        <v>5.7095322256159875E-2</v>
      </c>
      <c r="G667">
        <f t="shared" si="91"/>
        <v>43.98543224092726</v>
      </c>
      <c r="H667">
        <f t="shared" si="92"/>
        <v>-3.4330946793037498E-3</v>
      </c>
      <c r="I667">
        <f t="shared" si="93"/>
        <v>44.156718207695739</v>
      </c>
      <c r="P667" s="2">
        <v>41913</v>
      </c>
      <c r="Q667">
        <v>5.3662227576856125E-2</v>
      </c>
      <c r="R667">
        <f t="shared" si="94"/>
        <v>5.7095322256159875E-2</v>
      </c>
      <c r="S667">
        <f t="shared" si="95"/>
        <v>-3.4330946793037498E-3</v>
      </c>
      <c r="T667">
        <v>1.9300295812365142E-2</v>
      </c>
    </row>
    <row r="668" spans="2:20" x14ac:dyDescent="0.25">
      <c r="B668">
        <f t="shared" si="96"/>
        <v>667</v>
      </c>
      <c r="C668">
        <v>5.3042380781958443E-2</v>
      </c>
      <c r="D668">
        <f t="shared" si="90"/>
        <v>44.26685591073386</v>
      </c>
      <c r="E668">
        <f t="shared" si="97"/>
        <v>44.26685591073386</v>
      </c>
      <c r="F668">
        <f t="shared" si="98"/>
        <v>5.6284733961319944E-2</v>
      </c>
      <c r="G668">
        <f t="shared" si="91"/>
        <v>44.04171697488858</v>
      </c>
      <c r="H668">
        <f t="shared" si="92"/>
        <v>-3.2423531793615012E-3</v>
      </c>
      <c r="I668">
        <f t="shared" si="93"/>
        <v>44.21057117677254</v>
      </c>
      <c r="P668" s="2">
        <v>41944</v>
      </c>
      <c r="Q668">
        <v>5.3042380781958443E-2</v>
      </c>
      <c r="R668">
        <f t="shared" si="94"/>
        <v>5.6284733961319944E-2</v>
      </c>
      <c r="S668">
        <f t="shared" si="95"/>
        <v>-3.2423531793615012E-3</v>
      </c>
      <c r="T668">
        <v>2.0347141330869789E-2</v>
      </c>
    </row>
    <row r="669" spans="2:20" x14ac:dyDescent="0.25">
      <c r="B669">
        <f t="shared" si="96"/>
        <v>668</v>
      </c>
      <c r="C669">
        <v>5.5066326293166767E-2</v>
      </c>
      <c r="D669">
        <f t="shared" si="90"/>
        <v>44.321922237027024</v>
      </c>
      <c r="E669">
        <f t="shared" si="97"/>
        <v>44.321922237027024</v>
      </c>
      <c r="F669">
        <f t="shared" si="98"/>
        <v>5.6041052427688955E-2</v>
      </c>
      <c r="G669">
        <f t="shared" si="91"/>
        <v>44.097758027316267</v>
      </c>
      <c r="H669">
        <f t="shared" si="92"/>
        <v>-9.747261345221872E-4</v>
      </c>
      <c r="I669">
        <f t="shared" si="93"/>
        <v>44.265881184599337</v>
      </c>
      <c r="P669" s="2">
        <v>41974</v>
      </c>
      <c r="Q669">
        <v>5.5066326293166767E-2</v>
      </c>
      <c r="R669">
        <f t="shared" si="94"/>
        <v>5.6041052427688955E-2</v>
      </c>
      <c r="S669">
        <f t="shared" si="95"/>
        <v>-9.747261345221872E-4</v>
      </c>
      <c r="T669">
        <v>2.1918685707645658E-2</v>
      </c>
    </row>
    <row r="670" spans="2:20" x14ac:dyDescent="0.25">
      <c r="B670">
        <f t="shared" si="96"/>
        <v>669</v>
      </c>
      <c r="C670">
        <v>5.6410381499935269E-2</v>
      </c>
      <c r="D670">
        <f t="shared" si="90"/>
        <v>44.378332618526962</v>
      </c>
      <c r="E670">
        <f t="shared" si="97"/>
        <v>44.378332618526962</v>
      </c>
      <c r="F670">
        <f t="shared" si="98"/>
        <v>5.6114918242138857E-2</v>
      </c>
      <c r="G670">
        <f t="shared" si="91"/>
        <v>44.153872945558405</v>
      </c>
      <c r="H670">
        <f t="shared" si="92"/>
        <v>2.9546325779641197E-4</v>
      </c>
      <c r="I670">
        <f t="shared" si="93"/>
        <v>44.322217700284824</v>
      </c>
      <c r="P670" s="2">
        <v>42005</v>
      </c>
      <c r="Q670">
        <v>5.6410381499935269E-2</v>
      </c>
      <c r="R670">
        <f t="shared" si="94"/>
        <v>5.6114918242138857E-2</v>
      </c>
      <c r="S670">
        <f t="shared" si="95"/>
        <v>2.9546325779641197E-4</v>
      </c>
      <c r="T670">
        <v>2.3504771621375653E-2</v>
      </c>
    </row>
    <row r="671" spans="2:20" x14ac:dyDescent="0.25">
      <c r="B671">
        <f t="shared" si="96"/>
        <v>670</v>
      </c>
      <c r="C671">
        <v>5.325021344413905E-2</v>
      </c>
      <c r="D671">
        <f t="shared" si="90"/>
        <v>44.431582831971099</v>
      </c>
      <c r="E671">
        <f t="shared" si="97"/>
        <v>44.431582831971099</v>
      </c>
      <c r="F671">
        <f t="shared" si="98"/>
        <v>5.5541977282538825E-2</v>
      </c>
      <c r="G671">
        <f t="shared" si="91"/>
        <v>44.209414922840942</v>
      </c>
      <c r="H671">
        <f t="shared" si="92"/>
        <v>-2.2917638383997754E-3</v>
      </c>
      <c r="I671">
        <f t="shared" si="93"/>
        <v>44.376040854688561</v>
      </c>
      <c r="P671" s="2">
        <v>42036</v>
      </c>
      <c r="Q671">
        <v>5.325021344413905E-2</v>
      </c>
      <c r="R671">
        <f t="shared" si="94"/>
        <v>5.5541977282538825E-2</v>
      </c>
      <c r="S671">
        <f t="shared" si="95"/>
        <v>-2.2917638383997754E-3</v>
      </c>
      <c r="T671">
        <v>2.0213744784199683E-2</v>
      </c>
    </row>
    <row r="672" spans="2:20" x14ac:dyDescent="0.25">
      <c r="B672">
        <f t="shared" si="96"/>
        <v>671</v>
      </c>
      <c r="C672">
        <v>5.7006218857782898E-2</v>
      </c>
      <c r="D672">
        <f t="shared" si="90"/>
        <v>44.488589050828878</v>
      </c>
      <c r="E672">
        <f t="shared" si="97"/>
        <v>44.488589050828878</v>
      </c>
      <c r="F672">
        <f t="shared" si="98"/>
        <v>5.5834825597587213E-2</v>
      </c>
      <c r="G672">
        <f t="shared" si="91"/>
        <v>44.265249748438528</v>
      </c>
      <c r="H672">
        <f t="shared" si="92"/>
        <v>1.1713932601956842E-3</v>
      </c>
      <c r="I672">
        <f t="shared" si="93"/>
        <v>44.432754225231292</v>
      </c>
      <c r="P672" s="2">
        <v>42064</v>
      </c>
      <c r="Q672">
        <v>5.7006218857782898E-2</v>
      </c>
      <c r="R672">
        <f t="shared" si="94"/>
        <v>5.5834825597587213E-2</v>
      </c>
      <c r="S672">
        <f t="shared" si="95"/>
        <v>1.1713932601956842E-3</v>
      </c>
      <c r="T672">
        <v>1.910017137341935E-2</v>
      </c>
    </row>
    <row r="673" spans="2:20" x14ac:dyDescent="0.25">
      <c r="B673">
        <f t="shared" si="96"/>
        <v>672</v>
      </c>
      <c r="C673">
        <v>5.4799797640821879E-2</v>
      </c>
      <c r="D673">
        <f t="shared" si="90"/>
        <v>44.543388848469704</v>
      </c>
      <c r="E673">
        <f t="shared" si="97"/>
        <v>44.543388848469704</v>
      </c>
      <c r="F673">
        <f t="shared" si="98"/>
        <v>5.5627820006235146E-2</v>
      </c>
      <c r="G673">
        <f t="shared" si="91"/>
        <v>44.320877568444764</v>
      </c>
      <c r="H673">
        <f t="shared" si="92"/>
        <v>-8.2802236541326679E-4</v>
      </c>
      <c r="I673">
        <f t="shared" si="93"/>
        <v>44.487761028463467</v>
      </c>
      <c r="P673" s="2">
        <v>42095</v>
      </c>
      <c r="Q673">
        <v>5.4799797640821879E-2</v>
      </c>
      <c r="R673">
        <f t="shared" si="94"/>
        <v>5.5627820006235146E-2</v>
      </c>
      <c r="S673">
        <f t="shared" si="95"/>
        <v>-8.2802236541326679E-4</v>
      </c>
      <c r="T673">
        <v>2.0147700304111282E-2</v>
      </c>
    </row>
    <row r="674" spans="2:20" x14ac:dyDescent="0.25">
      <c r="B674">
        <f t="shared" si="96"/>
        <v>673</v>
      </c>
      <c r="C674">
        <v>5.9032340489961754E-2</v>
      </c>
      <c r="D674">
        <f t="shared" si="90"/>
        <v>44.602421188959667</v>
      </c>
      <c r="E674">
        <f t="shared" si="97"/>
        <v>44.602421188959667</v>
      </c>
      <c r="F674">
        <f t="shared" si="98"/>
        <v>5.6308724102980538E-2</v>
      </c>
      <c r="G674">
        <f t="shared" si="91"/>
        <v>44.377186292547748</v>
      </c>
      <c r="H674">
        <f t="shared" si="92"/>
        <v>2.7236163869812161E-3</v>
      </c>
      <c r="I674">
        <f t="shared" si="93"/>
        <v>44.546112464856684</v>
      </c>
      <c r="P674" s="2">
        <v>42125</v>
      </c>
      <c r="Q674">
        <v>5.9032340489961754E-2</v>
      </c>
      <c r="R674">
        <f t="shared" si="94"/>
        <v>5.6308724102980538E-2</v>
      </c>
      <c r="S674">
        <f t="shared" si="95"/>
        <v>2.7236163869812161E-3</v>
      </c>
      <c r="T674">
        <v>2.0060309446674474E-2</v>
      </c>
    </row>
    <row r="675" spans="2:20" x14ac:dyDescent="0.25">
      <c r="B675">
        <f t="shared" si="96"/>
        <v>674</v>
      </c>
      <c r="C675">
        <v>5.5376079644513965E-2</v>
      </c>
      <c r="D675">
        <f t="shared" si="90"/>
        <v>44.657797268604185</v>
      </c>
      <c r="E675">
        <f t="shared" si="97"/>
        <v>44.657797268604185</v>
      </c>
      <c r="F675">
        <f t="shared" si="98"/>
        <v>5.6122195211287362E-2</v>
      </c>
      <c r="G675">
        <f t="shared" si="91"/>
        <v>44.433308487759035</v>
      </c>
      <c r="H675">
        <f t="shared" si="92"/>
        <v>-7.4611556677339763E-4</v>
      </c>
      <c r="I675">
        <f t="shared" si="93"/>
        <v>44.601675073392897</v>
      </c>
      <c r="P675" s="2">
        <v>42156</v>
      </c>
      <c r="Q675">
        <v>5.5376079644513965E-2</v>
      </c>
      <c r="R675">
        <f t="shared" si="94"/>
        <v>5.6122195211287362E-2</v>
      </c>
      <c r="S675">
        <f t="shared" si="95"/>
        <v>-7.4611556677339763E-4</v>
      </c>
      <c r="T675">
        <v>1.6743572361286319E-2</v>
      </c>
    </row>
    <row r="676" spans="2:20" x14ac:dyDescent="0.25">
      <c r="B676">
        <f t="shared" si="96"/>
        <v>675</v>
      </c>
      <c r="C676">
        <v>5.9275338604075856E-2</v>
      </c>
      <c r="D676">
        <f t="shared" si="90"/>
        <v>44.717072607208259</v>
      </c>
      <c r="E676">
        <f t="shared" si="97"/>
        <v>44.717072607208259</v>
      </c>
      <c r="F676">
        <f t="shared" si="98"/>
        <v>5.6752823889844706E-2</v>
      </c>
      <c r="G676">
        <f t="shared" si="91"/>
        <v>44.49006131164888</v>
      </c>
      <c r="H676">
        <f t="shared" si="92"/>
        <v>2.5225147142311499E-3</v>
      </c>
      <c r="I676">
        <f t="shared" si="93"/>
        <v>44.660319783318414</v>
      </c>
      <c r="P676" s="2">
        <v>42186</v>
      </c>
      <c r="Q676">
        <v>5.9275338604075856E-2</v>
      </c>
      <c r="R676">
        <f t="shared" si="94"/>
        <v>5.6752823889844706E-2</v>
      </c>
      <c r="S676">
        <f t="shared" si="95"/>
        <v>2.5225147142311499E-3</v>
      </c>
      <c r="T676">
        <v>1.7251101669768509E-2</v>
      </c>
    </row>
    <row r="677" spans="2:20" x14ac:dyDescent="0.25">
      <c r="B677">
        <f t="shared" si="96"/>
        <v>676</v>
      </c>
      <c r="C677">
        <v>6.2548821580522329E-2</v>
      </c>
      <c r="D677">
        <f t="shared" si="90"/>
        <v>44.779621428788779</v>
      </c>
      <c r="E677">
        <f t="shared" si="97"/>
        <v>44.779621428788779</v>
      </c>
      <c r="F677">
        <f t="shared" si="98"/>
        <v>5.7912023427979881E-2</v>
      </c>
      <c r="G677">
        <f t="shared" si="91"/>
        <v>44.547973335076861</v>
      </c>
      <c r="H677">
        <f t="shared" si="92"/>
        <v>4.6367981525424484E-3</v>
      </c>
      <c r="I677">
        <f t="shared" si="93"/>
        <v>44.721709405360798</v>
      </c>
      <c r="P677" s="2">
        <v>42217</v>
      </c>
      <c r="Q677">
        <v>6.2548821580522329E-2</v>
      </c>
      <c r="R677">
        <f t="shared" si="94"/>
        <v>5.7912023427979881E-2</v>
      </c>
      <c r="S677">
        <f t="shared" si="95"/>
        <v>4.6367981525424484E-3</v>
      </c>
      <c r="T677">
        <v>2.2666917564291289E-2</v>
      </c>
    </row>
    <row r="678" spans="2:20" x14ac:dyDescent="0.25">
      <c r="B678">
        <f t="shared" si="96"/>
        <v>677</v>
      </c>
      <c r="C678">
        <v>6.5474453724686299E-2</v>
      </c>
      <c r="D678">
        <f t="shared" si="90"/>
        <v>44.845095882513462</v>
      </c>
      <c r="E678">
        <f t="shared" si="97"/>
        <v>44.845095882513462</v>
      </c>
      <c r="F678">
        <f t="shared" si="98"/>
        <v>5.9424509487320171E-2</v>
      </c>
      <c r="G678">
        <f t="shared" si="91"/>
        <v>44.607397844564183</v>
      </c>
      <c r="H678">
        <f t="shared" si="92"/>
        <v>6.0499442373661283E-3</v>
      </c>
      <c r="I678">
        <f t="shared" si="93"/>
        <v>44.78567137302614</v>
      </c>
      <c r="P678" s="2">
        <v>42248</v>
      </c>
      <c r="Q678">
        <v>6.5474453724686299E-2</v>
      </c>
      <c r="R678">
        <f t="shared" si="94"/>
        <v>5.9424509487320171E-2</v>
      </c>
      <c r="S678">
        <f t="shared" si="95"/>
        <v>6.0499442373661283E-3</v>
      </c>
      <c r="T678">
        <v>2.8565671754459565E-2</v>
      </c>
    </row>
    <row r="679" spans="2:20" x14ac:dyDescent="0.25">
      <c r="B679">
        <f t="shared" si="96"/>
        <v>678</v>
      </c>
      <c r="C679">
        <v>6.6736532887697209E-2</v>
      </c>
      <c r="D679">
        <f t="shared" si="90"/>
        <v>44.911832415401157</v>
      </c>
      <c r="E679">
        <f t="shared" si="97"/>
        <v>44.911832415401157</v>
      </c>
      <c r="F679">
        <f t="shared" si="98"/>
        <v>6.0886914167394939E-2</v>
      </c>
      <c r="G679">
        <f t="shared" si="91"/>
        <v>44.668284758731581</v>
      </c>
      <c r="H679">
        <f t="shared" si="92"/>
        <v>5.8496187203022701E-3</v>
      </c>
      <c r="I679">
        <f t="shared" si="93"/>
        <v>44.85094550123376</v>
      </c>
      <c r="P679" s="2">
        <v>42278</v>
      </c>
      <c r="Q679">
        <v>6.6736532887697209E-2</v>
      </c>
      <c r="R679">
        <f t="shared" si="94"/>
        <v>6.0886914167394939E-2</v>
      </c>
      <c r="S679">
        <f t="shared" si="95"/>
        <v>5.8496187203022701E-3</v>
      </c>
      <c r="T679">
        <v>3.1185322826999595E-2</v>
      </c>
    </row>
    <row r="680" spans="2:20" x14ac:dyDescent="0.25">
      <c r="B680">
        <f t="shared" si="96"/>
        <v>679</v>
      </c>
      <c r="C680">
        <v>6.7364423514954197E-2</v>
      </c>
      <c r="D680">
        <f t="shared" si="90"/>
        <v>44.97919683891611</v>
      </c>
      <c r="E680">
        <f t="shared" si="97"/>
        <v>44.97919683891611</v>
      </c>
      <c r="F680">
        <f t="shared" si="98"/>
        <v>6.2182416036905865E-2</v>
      </c>
      <c r="G680">
        <f t="shared" si="91"/>
        <v>44.730467174768485</v>
      </c>
      <c r="H680">
        <f t="shared" si="92"/>
        <v>5.1820074780483324E-3</v>
      </c>
      <c r="I680">
        <f t="shared" si="93"/>
        <v>44.917014422879205</v>
      </c>
      <c r="P680" s="2">
        <v>42309</v>
      </c>
      <c r="Q680">
        <v>6.7364423514954197E-2</v>
      </c>
      <c r="R680">
        <f t="shared" si="94"/>
        <v>6.2182416036905865E-2</v>
      </c>
      <c r="S680">
        <f t="shared" si="95"/>
        <v>5.1820074780483324E-3</v>
      </c>
      <c r="T680">
        <v>2.8971983443331517E-2</v>
      </c>
    </row>
    <row r="681" spans="2:20" x14ac:dyDescent="0.25">
      <c r="B681">
        <f t="shared" si="96"/>
        <v>680</v>
      </c>
      <c r="C681">
        <v>6.9894928932846767E-2</v>
      </c>
      <c r="D681">
        <f t="shared" si="90"/>
        <v>45.049091767848957</v>
      </c>
      <c r="E681">
        <f t="shared" si="97"/>
        <v>45.049091767848957</v>
      </c>
      <c r="F681">
        <f t="shared" si="98"/>
        <v>6.3724918616094334E-2</v>
      </c>
      <c r="G681">
        <f t="shared" si="91"/>
        <v>44.794192093384581</v>
      </c>
      <c r="H681">
        <f t="shared" si="92"/>
        <v>6.1700103167524334E-3</v>
      </c>
      <c r="I681">
        <f t="shared" si="93"/>
        <v>44.985366849232861</v>
      </c>
      <c r="P681" s="2">
        <v>42339</v>
      </c>
      <c r="Q681">
        <v>6.9894928932846767E-2</v>
      </c>
      <c r="R681">
        <f t="shared" si="94"/>
        <v>6.3724918616094334E-2</v>
      </c>
      <c r="S681">
        <f t="shared" si="95"/>
        <v>6.1700103167524334E-3</v>
      </c>
      <c r="T681">
        <v>2.515519313719583E-2</v>
      </c>
    </row>
    <row r="682" spans="2:20" x14ac:dyDescent="0.25">
      <c r="B682">
        <f t="shared" si="96"/>
        <v>681</v>
      </c>
      <c r="C682">
        <v>6.9743095041072678E-2</v>
      </c>
      <c r="D682">
        <f t="shared" si="90"/>
        <v>45.118834862890026</v>
      </c>
      <c r="E682">
        <f t="shared" si="97"/>
        <v>45.118834862890026</v>
      </c>
      <c r="F682">
        <f t="shared" si="98"/>
        <v>6.4928553901089009E-2</v>
      </c>
      <c r="G682">
        <f t="shared" si="91"/>
        <v>44.859120647285671</v>
      </c>
      <c r="H682">
        <f t="shared" si="92"/>
        <v>4.8145411399836691E-3</v>
      </c>
      <c r="I682">
        <f t="shared" si="93"/>
        <v>45.053906308988935</v>
      </c>
      <c r="P682" s="2">
        <v>42370</v>
      </c>
      <c r="Q682">
        <v>6.9743095041072678E-2</v>
      </c>
      <c r="R682">
        <f t="shared" si="94"/>
        <v>6.4928553901089009E-2</v>
      </c>
      <c r="S682">
        <f t="shared" si="95"/>
        <v>4.8145411399836691E-3</v>
      </c>
      <c r="T682">
        <v>2.5074666596375472E-2</v>
      </c>
    </row>
    <row r="683" spans="2:20" x14ac:dyDescent="0.25">
      <c r="B683">
        <f t="shared" si="96"/>
        <v>682</v>
      </c>
      <c r="C683">
        <v>7.1812750433327466E-2</v>
      </c>
      <c r="D683">
        <f t="shared" si="90"/>
        <v>45.19064761332335</v>
      </c>
      <c r="E683">
        <f t="shared" si="97"/>
        <v>45.19064761332335</v>
      </c>
      <c r="F683">
        <f t="shared" si="98"/>
        <v>6.6305393207535701E-2</v>
      </c>
      <c r="G683">
        <f t="shared" si="91"/>
        <v>44.925426040493207</v>
      </c>
      <c r="H683">
        <f t="shared" si="92"/>
        <v>5.5073572257917647E-3</v>
      </c>
      <c r="I683">
        <f t="shared" si="93"/>
        <v>45.124342220115814</v>
      </c>
      <c r="P683" s="2">
        <v>42401</v>
      </c>
      <c r="Q683">
        <v>7.1812750433327466E-2</v>
      </c>
      <c r="R683">
        <f t="shared" si="94"/>
        <v>6.6305393207535701E-2</v>
      </c>
      <c r="S683">
        <f t="shared" si="95"/>
        <v>5.5073572257917647E-3</v>
      </c>
      <c r="T683">
        <v>3.1410620621107554E-2</v>
      </c>
    </row>
    <row r="684" spans="2:20" x14ac:dyDescent="0.25">
      <c r="B684">
        <f t="shared" si="96"/>
        <v>683</v>
      </c>
      <c r="C684">
        <v>6.9908117002537296E-2</v>
      </c>
      <c r="D684">
        <f t="shared" si="90"/>
        <v>45.260555730325891</v>
      </c>
      <c r="E684">
        <f t="shared" si="97"/>
        <v>45.260555730325891</v>
      </c>
      <c r="F684">
        <f t="shared" si="98"/>
        <v>6.7025937966536733E-2</v>
      </c>
      <c r="G684">
        <f t="shared" si="91"/>
        <v>44.992451978459741</v>
      </c>
      <c r="H684">
        <f t="shared" si="92"/>
        <v>2.8821790360005622E-3</v>
      </c>
      <c r="I684">
        <f t="shared" si="93"/>
        <v>45.193529792359357</v>
      </c>
      <c r="P684" s="2">
        <v>42430</v>
      </c>
      <c r="Q684">
        <v>6.9908117002537296E-2</v>
      </c>
      <c r="R684">
        <f t="shared" si="94"/>
        <v>6.7025937966536733E-2</v>
      </c>
      <c r="S684">
        <f t="shared" si="95"/>
        <v>2.8821790360005622E-3</v>
      </c>
      <c r="T684">
        <v>3.5575824973274273E-2</v>
      </c>
    </row>
    <row r="685" spans="2:20" x14ac:dyDescent="0.25">
      <c r="B685">
        <f t="shared" si="96"/>
        <v>684</v>
      </c>
      <c r="C685">
        <v>6.74587063065335E-2</v>
      </c>
      <c r="D685">
        <f t="shared" si="90"/>
        <v>45.328014436632422</v>
      </c>
      <c r="E685">
        <f t="shared" si="97"/>
        <v>45.328014436632422</v>
      </c>
      <c r="F685">
        <f t="shared" si="98"/>
        <v>6.7112491634536295E-2</v>
      </c>
      <c r="G685">
        <f t="shared" si="91"/>
        <v>45.05956447009428</v>
      </c>
      <c r="H685">
        <f t="shared" si="92"/>
        <v>3.4621467199720535E-4</v>
      </c>
      <c r="I685">
        <f t="shared" si="93"/>
        <v>45.260901944997883</v>
      </c>
      <c r="P685" s="2">
        <v>42461</v>
      </c>
      <c r="Q685">
        <v>6.74587063065335E-2</v>
      </c>
      <c r="R685">
        <f t="shared" si="94"/>
        <v>6.7112491634536295E-2</v>
      </c>
      <c r="S685">
        <f t="shared" si="95"/>
        <v>3.4621467199720535E-4</v>
      </c>
      <c r="T685">
        <v>3.2876768004109103E-2</v>
      </c>
    </row>
    <row r="686" spans="2:20" x14ac:dyDescent="0.25">
      <c r="B686">
        <f t="shared" si="96"/>
        <v>685</v>
      </c>
      <c r="C686">
        <v>6.2395300599561665E-2</v>
      </c>
      <c r="D686">
        <f t="shared" si="90"/>
        <v>45.390409737231984</v>
      </c>
      <c r="E686">
        <f t="shared" si="97"/>
        <v>45.390409737231984</v>
      </c>
      <c r="F686">
        <f t="shared" si="98"/>
        <v>6.61690534275408E-2</v>
      </c>
      <c r="G686">
        <f t="shared" si="91"/>
        <v>45.125733523521824</v>
      </c>
      <c r="H686">
        <f t="shared" si="92"/>
        <v>-3.7737528279791349E-3</v>
      </c>
      <c r="I686">
        <f t="shared" si="93"/>
        <v>45.32424068380444</v>
      </c>
      <c r="P686" s="2">
        <v>42491</v>
      </c>
      <c r="Q686">
        <v>6.2395300599561665E-2</v>
      </c>
      <c r="R686">
        <f t="shared" si="94"/>
        <v>6.61690534275408E-2</v>
      </c>
      <c r="S686">
        <f t="shared" si="95"/>
        <v>-3.7737528279791349E-3</v>
      </c>
      <c r="T686">
        <v>2.8051587929216915E-2</v>
      </c>
    </row>
    <row r="687" spans="2:20" x14ac:dyDescent="0.25">
      <c r="B687">
        <f t="shared" si="96"/>
        <v>686</v>
      </c>
      <c r="C687">
        <v>6.1916369826450435E-2</v>
      </c>
      <c r="D687">
        <f t="shared" si="90"/>
        <v>45.452326107058433</v>
      </c>
      <c r="E687">
        <f t="shared" si="97"/>
        <v>45.452326107058433</v>
      </c>
      <c r="F687">
        <f t="shared" si="98"/>
        <v>6.5318516707321805E-2</v>
      </c>
      <c r="G687">
        <f t="shared" si="91"/>
        <v>45.191052040229145</v>
      </c>
      <c r="H687">
        <f t="shared" si="92"/>
        <v>-3.4021468808713706E-3</v>
      </c>
      <c r="I687">
        <f t="shared" si="93"/>
        <v>45.387007590351111</v>
      </c>
      <c r="P687" s="2">
        <v>42522</v>
      </c>
      <c r="Q687">
        <v>6.1916369826450435E-2</v>
      </c>
      <c r="R687">
        <f t="shared" si="94"/>
        <v>6.5318516707321805E-2</v>
      </c>
      <c r="S687">
        <f t="shared" si="95"/>
        <v>-3.4021468808713706E-3</v>
      </c>
      <c r="T687">
        <v>3.0073487683929478E-2</v>
      </c>
    </row>
    <row r="688" spans="2:20" x14ac:dyDescent="0.25">
      <c r="B688">
        <f t="shared" si="96"/>
        <v>687</v>
      </c>
      <c r="C688">
        <v>6.206556272822894E-2</v>
      </c>
      <c r="D688">
        <f t="shared" si="90"/>
        <v>45.514391669786662</v>
      </c>
      <c r="E688">
        <f t="shared" si="97"/>
        <v>45.514391669786662</v>
      </c>
      <c r="F688">
        <f t="shared" si="98"/>
        <v>6.4667925911503235E-2</v>
      </c>
      <c r="G688">
        <f t="shared" si="91"/>
        <v>45.255719966140646</v>
      </c>
      <c r="H688">
        <f t="shared" si="92"/>
        <v>-2.6023631832742949E-3</v>
      </c>
      <c r="I688">
        <f t="shared" si="93"/>
        <v>45.449723743875161</v>
      </c>
      <c r="P688" s="2">
        <v>42552</v>
      </c>
      <c r="Q688">
        <v>6.206556272822894E-2</v>
      </c>
      <c r="R688">
        <f t="shared" si="94"/>
        <v>6.4667925911503235E-2</v>
      </c>
      <c r="S688">
        <f t="shared" si="95"/>
        <v>-2.6023631832742949E-3</v>
      </c>
      <c r="T688">
        <v>3.1564956154424451E-2</v>
      </c>
    </row>
    <row r="689" spans="2:20" x14ac:dyDescent="0.25">
      <c r="B689">
        <f t="shared" si="96"/>
        <v>688</v>
      </c>
      <c r="C689">
        <v>5.9979304976861769E-2</v>
      </c>
      <c r="D689">
        <f t="shared" si="90"/>
        <v>45.574370974763525</v>
      </c>
      <c r="E689">
        <f t="shared" si="97"/>
        <v>45.574370974763525</v>
      </c>
      <c r="F689">
        <f t="shared" si="98"/>
        <v>6.3730201724575872E-2</v>
      </c>
      <c r="G689">
        <f t="shared" si="91"/>
        <v>45.31945016786522</v>
      </c>
      <c r="H689">
        <f t="shared" si="92"/>
        <v>-3.7508967477141025E-3</v>
      </c>
      <c r="I689">
        <f t="shared" si="93"/>
        <v>45.510640773038951</v>
      </c>
      <c r="P689" s="2">
        <v>42583</v>
      </c>
      <c r="Q689">
        <v>5.9979304976861769E-2</v>
      </c>
      <c r="R689">
        <f t="shared" si="94"/>
        <v>6.3730201724575872E-2</v>
      </c>
      <c r="S689">
        <f t="shared" si="95"/>
        <v>-3.7508967477141025E-3</v>
      </c>
      <c r="T689">
        <v>3.3065200608628942E-2</v>
      </c>
    </row>
    <row r="690" spans="2:20" x14ac:dyDescent="0.25">
      <c r="B690">
        <f t="shared" si="96"/>
        <v>689</v>
      </c>
      <c r="C690">
        <v>5.875677432796067E-2</v>
      </c>
      <c r="D690">
        <f t="shared" si="90"/>
        <v>45.633127749091486</v>
      </c>
      <c r="E690">
        <f t="shared" si="97"/>
        <v>45.633127749091486</v>
      </c>
      <c r="F690">
        <f t="shared" si="98"/>
        <v>6.2735516245253115E-2</v>
      </c>
      <c r="G690">
        <f t="shared" si="91"/>
        <v>45.382185684110475</v>
      </c>
      <c r="H690">
        <f t="shared" si="92"/>
        <v>-3.9787419172924443E-3</v>
      </c>
      <c r="I690">
        <f t="shared" si="93"/>
        <v>45.570392232846231</v>
      </c>
      <c r="P690" s="2">
        <v>42614</v>
      </c>
      <c r="Q690">
        <v>5.875677432796067E-2</v>
      </c>
      <c r="R690">
        <f t="shared" si="94"/>
        <v>6.2735516245253115E-2</v>
      </c>
      <c r="S690">
        <f t="shared" si="95"/>
        <v>-3.9787419172924443E-3</v>
      </c>
      <c r="T690">
        <v>2.8288947691197386E-2</v>
      </c>
    </row>
    <row r="691" spans="2:20" x14ac:dyDescent="0.25">
      <c r="B691">
        <f t="shared" si="96"/>
        <v>690</v>
      </c>
      <c r="C691">
        <v>5.5402560201743611E-2</v>
      </c>
      <c r="D691">
        <f t="shared" si="90"/>
        <v>45.688530309293228</v>
      </c>
      <c r="E691">
        <f t="shared" si="97"/>
        <v>45.688530309293228</v>
      </c>
      <c r="F691">
        <f t="shared" si="98"/>
        <v>6.126892503655057E-2</v>
      </c>
      <c r="G691">
        <f t="shared" si="91"/>
        <v>45.443454609147025</v>
      </c>
      <c r="H691">
        <f t="shared" si="92"/>
        <v>-5.8663648348069586E-3</v>
      </c>
      <c r="I691">
        <f t="shared" si="93"/>
        <v>45.627261384256677</v>
      </c>
      <c r="P691" s="2">
        <v>42644</v>
      </c>
      <c r="Q691">
        <v>5.5402560201743611E-2</v>
      </c>
      <c r="R691">
        <f t="shared" si="94"/>
        <v>6.126892503655057E-2</v>
      </c>
      <c r="S691">
        <f t="shared" si="95"/>
        <v>-5.8663648348069586E-3</v>
      </c>
      <c r="T691">
        <v>2.5092795905486298E-2</v>
      </c>
    </row>
    <row r="692" spans="2:20" x14ac:dyDescent="0.25">
      <c r="B692">
        <f t="shared" si="96"/>
        <v>691</v>
      </c>
      <c r="C692">
        <v>5.5375458083650742E-2</v>
      </c>
      <c r="D692">
        <f t="shared" ref="D692:D755" si="99">D691 +C692</f>
        <v>45.74390576737688</v>
      </c>
      <c r="E692">
        <f t="shared" si="97"/>
        <v>45.74390576737688</v>
      </c>
      <c r="F692">
        <f t="shared" si="98"/>
        <v>6.0090231645970965E-2</v>
      </c>
      <c r="G692">
        <f t="shared" ref="G692:G755" si="100">G691 + F692</f>
        <v>45.503544840792998</v>
      </c>
      <c r="H692">
        <f t="shared" ref="H692:H755" si="101">C692-F692</f>
        <v>-4.7147735623202236E-3</v>
      </c>
      <c r="I692">
        <f t="shared" ref="I692:I755" si="102">E692-F692</f>
        <v>45.683815535730908</v>
      </c>
      <c r="P692" s="2">
        <v>42675</v>
      </c>
      <c r="Q692">
        <v>5.5375458083650742E-2</v>
      </c>
      <c r="R692">
        <f t="shared" ref="R692:R755" si="103">F692</f>
        <v>6.0090231645970965E-2</v>
      </c>
      <c r="S692">
        <f t="shared" ref="S692:S755" si="104">H692</f>
        <v>-4.7147735623202236E-3</v>
      </c>
      <c r="T692">
        <v>3.0210630849103026E-2</v>
      </c>
    </row>
    <row r="693" spans="2:20" x14ac:dyDescent="0.25">
      <c r="B693">
        <f t="shared" si="96"/>
        <v>692</v>
      </c>
      <c r="C693">
        <v>5.296419001424546E-2</v>
      </c>
      <c r="D693">
        <f t="shared" si="99"/>
        <v>45.796869957391124</v>
      </c>
      <c r="E693">
        <f t="shared" si="97"/>
        <v>45.796869957391124</v>
      </c>
      <c r="F693">
        <f t="shared" si="98"/>
        <v>5.8665023319625226E-2</v>
      </c>
      <c r="G693">
        <f t="shared" si="100"/>
        <v>45.562209864112624</v>
      </c>
      <c r="H693">
        <f t="shared" si="101"/>
        <v>-5.7008333053797655E-3</v>
      </c>
      <c r="I693">
        <f t="shared" si="102"/>
        <v>45.738204934071497</v>
      </c>
      <c r="P693" s="2">
        <v>42705</v>
      </c>
      <c r="Q693">
        <v>5.296419001424546E-2</v>
      </c>
      <c r="R693">
        <f t="shared" si="103"/>
        <v>5.8665023319625226E-2</v>
      </c>
      <c r="S693">
        <f t="shared" si="104"/>
        <v>-5.7008333053797655E-3</v>
      </c>
      <c r="T693">
        <v>3.5820076584522909E-2</v>
      </c>
    </row>
    <row r="694" spans="2:20" x14ac:dyDescent="0.25">
      <c r="B694">
        <f t="shared" si="96"/>
        <v>693</v>
      </c>
      <c r="C694">
        <v>5.1441299785032868E-2</v>
      </c>
      <c r="D694">
        <f t="shared" si="99"/>
        <v>45.848311257176157</v>
      </c>
      <c r="E694">
        <f t="shared" si="97"/>
        <v>45.848311257176157</v>
      </c>
      <c r="F694">
        <f t="shared" si="98"/>
        <v>5.7220278612706468E-2</v>
      </c>
      <c r="G694">
        <f t="shared" si="100"/>
        <v>45.619430142725328</v>
      </c>
      <c r="H694">
        <f t="shared" si="101"/>
        <v>-5.7789788276736004E-3</v>
      </c>
      <c r="I694">
        <f t="shared" si="102"/>
        <v>45.791090978563453</v>
      </c>
      <c r="P694" s="2">
        <v>42736</v>
      </c>
      <c r="Q694">
        <v>5.1441299785032868E-2</v>
      </c>
      <c r="R694">
        <f t="shared" si="103"/>
        <v>5.7220278612706468E-2</v>
      </c>
      <c r="S694">
        <f t="shared" si="104"/>
        <v>-5.7789788276736004E-3</v>
      </c>
      <c r="T694">
        <v>4.6328408046646175E-2</v>
      </c>
    </row>
    <row r="695" spans="2:20" x14ac:dyDescent="0.25">
      <c r="B695">
        <f t="shared" si="96"/>
        <v>694</v>
      </c>
      <c r="C695">
        <v>5.0020095356858363E-2</v>
      </c>
      <c r="D695">
        <f t="shared" si="99"/>
        <v>45.898331352533013</v>
      </c>
      <c r="E695">
        <f t="shared" si="97"/>
        <v>45.898331352533013</v>
      </c>
      <c r="F695">
        <f t="shared" si="98"/>
        <v>5.578024196153706E-2</v>
      </c>
      <c r="G695">
        <f t="shared" si="100"/>
        <v>45.675210384686864</v>
      </c>
      <c r="H695">
        <f t="shared" si="101"/>
        <v>-5.7601466046786967E-3</v>
      </c>
      <c r="I695">
        <f t="shared" si="102"/>
        <v>45.842551110571478</v>
      </c>
      <c r="P695" s="2">
        <v>42767</v>
      </c>
      <c r="Q695">
        <v>5.0020095356858363E-2</v>
      </c>
      <c r="R695">
        <f t="shared" si="103"/>
        <v>5.578024196153706E-2</v>
      </c>
      <c r="S695">
        <f t="shared" si="104"/>
        <v>-5.7601466046786967E-3</v>
      </c>
      <c r="T695">
        <v>4.2581452055964419E-2</v>
      </c>
    </row>
    <row r="696" spans="2:20" x14ac:dyDescent="0.25">
      <c r="B696">
        <f t="shared" si="96"/>
        <v>695</v>
      </c>
      <c r="C696">
        <v>4.6541398152616154E-2</v>
      </c>
      <c r="D696">
        <f t="shared" si="99"/>
        <v>45.944872750685633</v>
      </c>
      <c r="E696">
        <f t="shared" si="97"/>
        <v>45.944872750685633</v>
      </c>
      <c r="F696">
        <f t="shared" si="98"/>
        <v>5.3932473199753875E-2</v>
      </c>
      <c r="G696">
        <f t="shared" si="100"/>
        <v>45.729142857886615</v>
      </c>
      <c r="H696">
        <f t="shared" si="101"/>
        <v>-7.3910750471377212E-3</v>
      </c>
      <c r="I696">
        <f t="shared" si="102"/>
        <v>45.890940277485882</v>
      </c>
      <c r="P696" s="2">
        <v>42795</v>
      </c>
      <c r="Q696">
        <v>4.6541398152616154E-2</v>
      </c>
      <c r="R696">
        <f t="shared" si="103"/>
        <v>5.3932473199753875E-2</v>
      </c>
      <c r="S696">
        <f t="shared" si="104"/>
        <v>-7.3910750471377212E-3</v>
      </c>
      <c r="T696">
        <v>3.2840303652906577E-2</v>
      </c>
    </row>
    <row r="697" spans="2:20" x14ac:dyDescent="0.25">
      <c r="B697">
        <f t="shared" si="96"/>
        <v>696</v>
      </c>
      <c r="C697">
        <v>4.7338464479386388E-2</v>
      </c>
      <c r="D697">
        <f t="shared" si="99"/>
        <v>45.992211215165021</v>
      </c>
      <c r="E697">
        <f t="shared" si="97"/>
        <v>45.992211215165021</v>
      </c>
      <c r="F697">
        <f t="shared" si="98"/>
        <v>5.2613671455681299E-2</v>
      </c>
      <c r="G697">
        <f t="shared" si="100"/>
        <v>45.781756529342296</v>
      </c>
      <c r="H697">
        <f t="shared" si="101"/>
        <v>-5.2752069762949105E-3</v>
      </c>
      <c r="I697">
        <f t="shared" si="102"/>
        <v>45.93959754370934</v>
      </c>
      <c r="P697" s="2">
        <v>42826</v>
      </c>
      <c r="Q697">
        <v>4.7338464479386388E-2</v>
      </c>
      <c r="R697">
        <f t="shared" si="103"/>
        <v>5.2613671455681299E-2</v>
      </c>
      <c r="S697">
        <f t="shared" si="104"/>
        <v>-5.2752069762949105E-3</v>
      </c>
      <c r="T697">
        <v>3.2840303652906577E-2</v>
      </c>
    </row>
    <row r="698" spans="2:20" x14ac:dyDescent="0.25">
      <c r="B698">
        <f t="shared" si="96"/>
        <v>697</v>
      </c>
      <c r="C698">
        <v>4.2614191918387334E-2</v>
      </c>
      <c r="D698">
        <f t="shared" si="99"/>
        <v>46.03482540708341</v>
      </c>
      <c r="E698">
        <f t="shared" si="97"/>
        <v>46.03482540708341</v>
      </c>
      <c r="F698">
        <f t="shared" si="98"/>
        <v>5.0613775548222863E-2</v>
      </c>
      <c r="G698">
        <f t="shared" si="100"/>
        <v>45.832370304890517</v>
      </c>
      <c r="H698">
        <f t="shared" si="101"/>
        <v>-7.9995836298355286E-3</v>
      </c>
      <c r="I698">
        <f t="shared" si="102"/>
        <v>45.984211631535189</v>
      </c>
      <c r="P698" s="2">
        <v>42856</v>
      </c>
      <c r="Q698">
        <v>4.2614191918387334E-2</v>
      </c>
      <c r="R698">
        <f t="shared" si="103"/>
        <v>5.0613775548222863E-2</v>
      </c>
      <c r="S698">
        <f t="shared" si="104"/>
        <v>-7.9995836298355286E-3</v>
      </c>
      <c r="T698">
        <v>3.9401361681989044E-2</v>
      </c>
    </row>
    <row r="699" spans="2:20" x14ac:dyDescent="0.25">
      <c r="B699">
        <f t="shared" si="96"/>
        <v>698</v>
      </c>
      <c r="C699">
        <v>4.0471621117234235E-2</v>
      </c>
      <c r="D699">
        <f t="shared" si="99"/>
        <v>46.075297028200644</v>
      </c>
      <c r="E699">
        <f t="shared" si="97"/>
        <v>46.075297028200644</v>
      </c>
      <c r="F699">
        <f t="shared" si="98"/>
        <v>4.8585344662025423E-2</v>
      </c>
      <c r="G699">
        <f t="shared" si="100"/>
        <v>45.88095564955254</v>
      </c>
      <c r="H699">
        <f t="shared" si="101"/>
        <v>-8.1137235447911876E-3</v>
      </c>
      <c r="I699">
        <f t="shared" si="102"/>
        <v>46.026711683538622</v>
      </c>
      <c r="P699" s="2">
        <v>42887</v>
      </c>
      <c r="Q699">
        <v>4.0471621117234235E-2</v>
      </c>
      <c r="R699">
        <f t="shared" si="103"/>
        <v>4.8585344662025423E-2</v>
      </c>
      <c r="S699">
        <f t="shared" si="104"/>
        <v>-8.1137235447911876E-3</v>
      </c>
      <c r="T699">
        <v>3.5736319296131747E-2</v>
      </c>
    </row>
    <row r="700" spans="2:20" x14ac:dyDescent="0.25">
      <c r="B700">
        <f t="shared" si="96"/>
        <v>699</v>
      </c>
      <c r="C700">
        <v>3.9552620929534044E-2</v>
      </c>
      <c r="D700">
        <f t="shared" si="99"/>
        <v>46.114849649130178</v>
      </c>
      <c r="E700">
        <f t="shared" si="97"/>
        <v>46.114849649130178</v>
      </c>
      <c r="F700">
        <f t="shared" si="98"/>
        <v>4.6778799915527719E-2</v>
      </c>
      <c r="G700">
        <f t="shared" si="100"/>
        <v>45.927734449468069</v>
      </c>
      <c r="H700">
        <f t="shared" si="101"/>
        <v>-7.2261789859936754E-3</v>
      </c>
      <c r="I700">
        <f t="shared" si="102"/>
        <v>46.068070849214649</v>
      </c>
      <c r="P700" s="2">
        <v>42917</v>
      </c>
      <c r="Q700">
        <v>3.9552620929534044E-2</v>
      </c>
      <c r="R700">
        <f t="shared" si="103"/>
        <v>4.6778799915527719E-2</v>
      </c>
      <c r="S700">
        <f t="shared" si="104"/>
        <v>-7.2261789859936754E-3</v>
      </c>
      <c r="T700">
        <v>3.3608050987300686E-2</v>
      </c>
    </row>
    <row r="701" spans="2:20" x14ac:dyDescent="0.25">
      <c r="B701">
        <f t="shared" si="96"/>
        <v>700</v>
      </c>
      <c r="C701">
        <v>3.6663598540423337E-2</v>
      </c>
      <c r="D701">
        <f t="shared" si="99"/>
        <v>46.1515132476706</v>
      </c>
      <c r="E701">
        <f t="shared" si="97"/>
        <v>46.1515132476706</v>
      </c>
      <c r="F701">
        <f t="shared" si="98"/>
        <v>4.4755759640506203E-2</v>
      </c>
      <c r="G701">
        <f t="shared" si="100"/>
        <v>45.972490209108578</v>
      </c>
      <c r="H701">
        <f t="shared" si="101"/>
        <v>-8.0921611000828661E-3</v>
      </c>
      <c r="I701">
        <f t="shared" si="102"/>
        <v>46.106757488030091</v>
      </c>
      <c r="P701" s="2">
        <v>42948</v>
      </c>
      <c r="Q701">
        <v>3.6663598540423337E-2</v>
      </c>
      <c r="R701">
        <f t="shared" si="103"/>
        <v>4.4755759640506203E-2</v>
      </c>
      <c r="S701">
        <f t="shared" si="104"/>
        <v>-8.0921611000828661E-3</v>
      </c>
      <c r="T701">
        <v>3.5500685389341591E-2</v>
      </c>
    </row>
    <row r="702" spans="2:20" x14ac:dyDescent="0.25">
      <c r="B702">
        <f t="shared" si="96"/>
        <v>701</v>
      </c>
      <c r="C702">
        <v>3.7021257066994551E-2</v>
      </c>
      <c r="D702">
        <f t="shared" si="99"/>
        <v>46.188534504737596</v>
      </c>
      <c r="E702">
        <f t="shared" si="97"/>
        <v>46.188534504737596</v>
      </c>
      <c r="F702">
        <f t="shared" si="98"/>
        <v>4.3208859125803661E-2</v>
      </c>
      <c r="G702">
        <f t="shared" si="100"/>
        <v>46.015699068234383</v>
      </c>
      <c r="H702">
        <f t="shared" si="101"/>
        <v>-6.1876020588091107E-3</v>
      </c>
      <c r="I702">
        <f t="shared" si="102"/>
        <v>46.145325645611791</v>
      </c>
      <c r="P702" s="2">
        <v>42979</v>
      </c>
      <c r="Q702">
        <v>3.7021257066994551E-2</v>
      </c>
      <c r="R702">
        <f t="shared" si="103"/>
        <v>4.3208859125803661E-2</v>
      </c>
      <c r="S702">
        <f t="shared" si="104"/>
        <v>-6.1876020588091107E-3</v>
      </c>
      <c r="T702">
        <v>3.90021578032691E-2</v>
      </c>
    </row>
    <row r="703" spans="2:20" x14ac:dyDescent="0.25">
      <c r="B703">
        <f t="shared" si="96"/>
        <v>702</v>
      </c>
      <c r="C703">
        <v>3.959080807054427E-2</v>
      </c>
      <c r="D703">
        <f t="shared" si="99"/>
        <v>46.228125312808139</v>
      </c>
      <c r="E703">
        <f t="shared" si="97"/>
        <v>46.228125312808139</v>
      </c>
      <c r="F703">
        <f t="shared" si="98"/>
        <v>4.2485248914751139E-2</v>
      </c>
      <c r="G703">
        <f t="shared" si="100"/>
        <v>46.058184317149134</v>
      </c>
      <c r="H703">
        <f t="shared" si="101"/>
        <v>-2.8944408442068692E-3</v>
      </c>
      <c r="I703">
        <f t="shared" si="102"/>
        <v>46.185640063893388</v>
      </c>
      <c r="P703" s="2">
        <v>43009</v>
      </c>
      <c r="Q703">
        <v>3.959080807054427E-2</v>
      </c>
      <c r="R703">
        <f t="shared" si="103"/>
        <v>4.2485248914751139E-2</v>
      </c>
      <c r="S703">
        <f t="shared" si="104"/>
        <v>-2.8944408442068692E-3</v>
      </c>
      <c r="T703">
        <v>4.0966537506558431E-2</v>
      </c>
    </row>
    <row r="704" spans="2:20" x14ac:dyDescent="0.25">
      <c r="B704">
        <f t="shared" si="96"/>
        <v>703</v>
      </c>
      <c r="C704">
        <v>3.7586170690719456E-2</v>
      </c>
      <c r="D704">
        <f t="shared" si="99"/>
        <v>46.265711483498862</v>
      </c>
      <c r="E704">
        <f t="shared" si="97"/>
        <v>46.265711483498862</v>
      </c>
      <c r="F704">
        <f t="shared" si="98"/>
        <v>4.1505433269945519E-2</v>
      </c>
      <c r="G704">
        <f t="shared" si="100"/>
        <v>46.099689750419081</v>
      </c>
      <c r="H704">
        <f t="shared" si="101"/>
        <v>-3.9192625792260627E-3</v>
      </c>
      <c r="I704">
        <f t="shared" si="102"/>
        <v>46.224206050228915</v>
      </c>
      <c r="P704" s="2">
        <v>43040</v>
      </c>
      <c r="Q704">
        <v>3.7586170690719456E-2</v>
      </c>
      <c r="R704">
        <f t="shared" si="103"/>
        <v>4.1505433269945519E-2</v>
      </c>
      <c r="S704">
        <f t="shared" si="104"/>
        <v>-3.9192625792260627E-3</v>
      </c>
      <c r="T704">
        <v>4.022664031825407E-2</v>
      </c>
    </row>
    <row r="705" spans="2:20" x14ac:dyDescent="0.25">
      <c r="B705">
        <f t="shared" si="96"/>
        <v>704</v>
      </c>
      <c r="C705">
        <v>3.668187633256359E-2</v>
      </c>
      <c r="D705">
        <f t="shared" si="99"/>
        <v>46.302393359831427</v>
      </c>
      <c r="E705">
        <f t="shared" si="97"/>
        <v>46.302393359831427</v>
      </c>
      <c r="F705">
        <f t="shared" si="98"/>
        <v>4.0540721882469204E-2</v>
      </c>
      <c r="G705">
        <f t="shared" si="100"/>
        <v>46.140230472301553</v>
      </c>
      <c r="H705">
        <f t="shared" si="101"/>
        <v>-3.8588455499056137E-3</v>
      </c>
      <c r="I705">
        <f t="shared" si="102"/>
        <v>46.261852637948955</v>
      </c>
      <c r="P705" s="2">
        <v>43070</v>
      </c>
      <c r="Q705">
        <v>3.668187633256359E-2</v>
      </c>
      <c r="R705">
        <f t="shared" si="103"/>
        <v>4.0540721882469204E-2</v>
      </c>
      <c r="S705">
        <f t="shared" si="104"/>
        <v>-3.8588455499056137E-3</v>
      </c>
      <c r="T705">
        <v>3.8514387586324084E-2</v>
      </c>
    </row>
    <row r="706" spans="2:20" x14ac:dyDescent="0.25">
      <c r="B706">
        <f t="shared" si="96"/>
        <v>705</v>
      </c>
      <c r="C706">
        <v>3.5579024612372834E-2</v>
      </c>
      <c r="D706">
        <f t="shared" si="99"/>
        <v>46.337972384443802</v>
      </c>
      <c r="E706">
        <f t="shared" si="97"/>
        <v>46.337972384443802</v>
      </c>
      <c r="F706">
        <f t="shared" si="98"/>
        <v>3.9548382428449713E-2</v>
      </c>
      <c r="G706">
        <f t="shared" si="100"/>
        <v>46.179778854730003</v>
      </c>
      <c r="H706">
        <f t="shared" si="101"/>
        <v>-3.9693578160768794E-3</v>
      </c>
      <c r="I706">
        <f t="shared" si="102"/>
        <v>46.298424002015352</v>
      </c>
      <c r="P706" s="2">
        <v>43101</v>
      </c>
      <c r="Q706">
        <v>3.5579024612372834E-2</v>
      </c>
      <c r="R706">
        <f t="shared" si="103"/>
        <v>3.9548382428449713E-2</v>
      </c>
      <c r="S706">
        <f t="shared" si="104"/>
        <v>-3.9693578160768794E-3</v>
      </c>
      <c r="T706">
        <v>1.992097749455457E-2</v>
      </c>
    </row>
    <row r="707" spans="2:20" x14ac:dyDescent="0.25">
      <c r="B707">
        <f t="shared" si="96"/>
        <v>706</v>
      </c>
      <c r="C707">
        <v>3.2348276542306209E-2</v>
      </c>
      <c r="D707">
        <f t="shared" si="99"/>
        <v>46.37032066098611</v>
      </c>
      <c r="E707">
        <f t="shared" si="97"/>
        <v>46.37032066098611</v>
      </c>
      <c r="F707">
        <f t="shared" si="98"/>
        <v>3.810836125122137E-2</v>
      </c>
      <c r="G707">
        <f t="shared" si="100"/>
        <v>46.217887215981222</v>
      </c>
      <c r="H707">
        <f t="shared" si="101"/>
        <v>-5.7600847089151613E-3</v>
      </c>
      <c r="I707">
        <f t="shared" si="102"/>
        <v>46.332212299734891</v>
      </c>
      <c r="P707" s="2">
        <v>43132</v>
      </c>
      <c r="Q707">
        <v>3.2348276542306209E-2</v>
      </c>
      <c r="R707">
        <f t="shared" si="103"/>
        <v>3.810836125122137E-2</v>
      </c>
      <c r="S707">
        <f t="shared" si="104"/>
        <v>-5.7600847089151613E-3</v>
      </c>
      <c r="T707">
        <v>1.3965314248641114E-2</v>
      </c>
    </row>
    <row r="708" spans="2:20" x14ac:dyDescent="0.25">
      <c r="B708">
        <f t="shared" ref="B708:B771" si="105">B707+1</f>
        <v>707</v>
      </c>
      <c r="C708">
        <v>3.1186802742190878E-2</v>
      </c>
      <c r="D708">
        <f t="shared" si="99"/>
        <v>46.401507463728301</v>
      </c>
      <c r="E708">
        <f t="shared" ref="E708:E771" si="106">D708</f>
        <v>46.401507463728301</v>
      </c>
      <c r="F708">
        <f t="shared" ref="F708:F771" si="107">$K$1*(E708-G707)</f>
        <v>3.6724049549415841E-2</v>
      </c>
      <c r="G708">
        <f t="shared" si="100"/>
        <v>46.254611265530635</v>
      </c>
      <c r="H708">
        <f t="shared" si="101"/>
        <v>-5.5372468072249631E-3</v>
      </c>
      <c r="I708">
        <f t="shared" si="102"/>
        <v>46.364783414178888</v>
      </c>
      <c r="P708" s="2">
        <v>43160</v>
      </c>
      <c r="Q708">
        <v>3.1186802742190878E-2</v>
      </c>
      <c r="R708">
        <f t="shared" si="103"/>
        <v>3.6724049549415841E-2</v>
      </c>
      <c r="S708">
        <f t="shared" si="104"/>
        <v>-5.5372468072249631E-3</v>
      </c>
      <c r="T708">
        <v>1.9495743696699819E-2</v>
      </c>
    </row>
    <row r="709" spans="2:20" x14ac:dyDescent="0.25">
      <c r="B709">
        <f t="shared" si="105"/>
        <v>708</v>
      </c>
      <c r="C709">
        <v>3.5617396320500205E-2</v>
      </c>
      <c r="D709">
        <f t="shared" si="99"/>
        <v>46.437124860048797</v>
      </c>
      <c r="E709">
        <f t="shared" si="106"/>
        <v>46.437124860048797</v>
      </c>
      <c r="F709">
        <f t="shared" si="107"/>
        <v>3.6502718903632568E-2</v>
      </c>
      <c r="G709">
        <f t="shared" si="100"/>
        <v>46.291113984434269</v>
      </c>
      <c r="H709">
        <f t="shared" si="101"/>
        <v>-8.8532258313236273E-4</v>
      </c>
      <c r="I709">
        <f t="shared" si="102"/>
        <v>46.400622141145163</v>
      </c>
      <c r="P709" s="2">
        <v>43191</v>
      </c>
      <c r="Q709">
        <v>3.5617396320500205E-2</v>
      </c>
      <c r="R709">
        <f t="shared" si="103"/>
        <v>3.6502718903632568E-2</v>
      </c>
      <c r="S709">
        <f t="shared" si="104"/>
        <v>-8.8532258313236273E-4</v>
      </c>
      <c r="T709">
        <v>2.4926514881833839E-2</v>
      </c>
    </row>
    <row r="710" spans="2:20" x14ac:dyDescent="0.25">
      <c r="B710">
        <f t="shared" si="105"/>
        <v>709</v>
      </c>
      <c r="C710">
        <v>3.9278146602288899E-2</v>
      </c>
      <c r="D710">
        <f t="shared" si="99"/>
        <v>46.476403006651083</v>
      </c>
      <c r="E710">
        <f t="shared" si="106"/>
        <v>46.476403006651083</v>
      </c>
      <c r="F710">
        <f t="shared" si="107"/>
        <v>3.7057804443362839E-2</v>
      </c>
      <c r="G710">
        <f t="shared" si="100"/>
        <v>46.328171788877633</v>
      </c>
      <c r="H710">
        <f t="shared" si="101"/>
        <v>2.22034215892606E-3</v>
      </c>
      <c r="I710">
        <f t="shared" si="102"/>
        <v>46.439345202207718</v>
      </c>
      <c r="P710" s="2">
        <v>43221</v>
      </c>
      <c r="Q710">
        <v>3.9278146602288899E-2</v>
      </c>
      <c r="R710">
        <f t="shared" si="103"/>
        <v>3.7057804443362839E-2</v>
      </c>
      <c r="S710">
        <f t="shared" si="104"/>
        <v>2.22034215892606E-3</v>
      </c>
      <c r="T710">
        <v>2.0545147423822741E-2</v>
      </c>
    </row>
    <row r="711" spans="2:20" x14ac:dyDescent="0.25">
      <c r="B711">
        <f t="shared" si="105"/>
        <v>710</v>
      </c>
      <c r="C711">
        <v>3.9153192740783993E-2</v>
      </c>
      <c r="D711">
        <f t="shared" si="99"/>
        <v>46.515556199391867</v>
      </c>
      <c r="E711">
        <f t="shared" si="106"/>
        <v>46.515556199391867</v>
      </c>
      <c r="F711">
        <f t="shared" si="107"/>
        <v>3.747688210284679E-2</v>
      </c>
      <c r="G711">
        <f t="shared" si="100"/>
        <v>46.365648670980477</v>
      </c>
      <c r="H711">
        <f t="shared" si="101"/>
        <v>1.6763106379372034E-3</v>
      </c>
      <c r="I711">
        <f t="shared" si="102"/>
        <v>46.478079317289023</v>
      </c>
      <c r="P711" s="2">
        <v>43252</v>
      </c>
      <c r="Q711">
        <v>3.9153192740783993E-2</v>
      </c>
      <c r="R711">
        <f t="shared" si="103"/>
        <v>3.747688210284679E-2</v>
      </c>
      <c r="S711">
        <f t="shared" si="104"/>
        <v>1.6763106379372034E-3</v>
      </c>
      <c r="T711">
        <v>2.3914366248373398E-2</v>
      </c>
    </row>
    <row r="712" spans="2:20" x14ac:dyDescent="0.25">
      <c r="B712">
        <f t="shared" si="105"/>
        <v>711</v>
      </c>
      <c r="C712">
        <v>3.786821672300178E-2</v>
      </c>
      <c r="D712">
        <f t="shared" si="99"/>
        <v>46.553424416114865</v>
      </c>
      <c r="E712">
        <f t="shared" si="106"/>
        <v>46.553424416114865</v>
      </c>
      <c r="F712">
        <f t="shared" si="107"/>
        <v>3.7555149026877649E-2</v>
      </c>
      <c r="G712">
        <f t="shared" si="100"/>
        <v>46.403203820007356</v>
      </c>
      <c r="H712">
        <f t="shared" si="101"/>
        <v>3.1306769612413077E-4</v>
      </c>
      <c r="I712">
        <f t="shared" si="102"/>
        <v>46.515869267087986</v>
      </c>
      <c r="P712" s="2">
        <v>43282</v>
      </c>
      <c r="Q712">
        <v>3.786821672300178E-2</v>
      </c>
      <c r="R712">
        <f t="shared" si="103"/>
        <v>3.7555149026877649E-2</v>
      </c>
      <c r="S712">
        <f t="shared" si="104"/>
        <v>3.1306769612413077E-4</v>
      </c>
      <c r="T712">
        <v>2.759763084754141E-2</v>
      </c>
    </row>
    <row r="713" spans="2:20" x14ac:dyDescent="0.25">
      <c r="B713">
        <f t="shared" si="105"/>
        <v>712</v>
      </c>
      <c r="C713">
        <v>3.8606491255672282E-2</v>
      </c>
      <c r="D713">
        <f t="shared" si="99"/>
        <v>46.592030907370535</v>
      </c>
      <c r="E713">
        <f t="shared" si="106"/>
        <v>46.592030907370535</v>
      </c>
      <c r="F713">
        <f t="shared" si="107"/>
        <v>3.7765417472635933E-2</v>
      </c>
      <c r="G713">
        <f t="shared" si="100"/>
        <v>46.44096923747999</v>
      </c>
      <c r="H713">
        <f t="shared" si="101"/>
        <v>8.4107378303634878E-4</v>
      </c>
      <c r="I713">
        <f t="shared" si="102"/>
        <v>46.554265489897901</v>
      </c>
      <c r="P713" s="2">
        <v>43313</v>
      </c>
      <c r="Q713">
        <v>3.8606491255672282E-2</v>
      </c>
      <c r="R713">
        <f t="shared" si="103"/>
        <v>3.7765417472635933E-2</v>
      </c>
      <c r="S713">
        <f t="shared" si="104"/>
        <v>8.4107378303634878E-4</v>
      </c>
      <c r="T713">
        <v>2.559878494901735E-2</v>
      </c>
    </row>
    <row r="714" spans="2:20" x14ac:dyDescent="0.25">
      <c r="B714">
        <f t="shared" si="105"/>
        <v>713</v>
      </c>
      <c r="C714">
        <v>4.1637825441998899E-2</v>
      </c>
      <c r="D714">
        <f t="shared" si="99"/>
        <v>46.633668732812538</v>
      </c>
      <c r="E714">
        <f t="shared" si="106"/>
        <v>46.633668732812538</v>
      </c>
      <c r="F714">
        <f t="shared" si="107"/>
        <v>3.8539899066509523E-2</v>
      </c>
      <c r="G714">
        <f t="shared" si="100"/>
        <v>46.479509136546497</v>
      </c>
      <c r="H714">
        <f t="shared" si="101"/>
        <v>3.0979263754893765E-3</v>
      </c>
      <c r="I714">
        <f t="shared" si="102"/>
        <v>46.595128833746031</v>
      </c>
      <c r="P714" s="2">
        <v>43344</v>
      </c>
      <c r="Q714">
        <v>4.1637825441998899E-2</v>
      </c>
      <c r="R714">
        <f t="shared" si="103"/>
        <v>3.8539899066509523E-2</v>
      </c>
      <c r="S714">
        <f t="shared" si="104"/>
        <v>3.0979263754893765E-3</v>
      </c>
      <c r="T714">
        <v>2.6738184762487016E-2</v>
      </c>
    </row>
    <row r="715" spans="2:20" x14ac:dyDescent="0.25">
      <c r="B715">
        <f t="shared" si="105"/>
        <v>714</v>
      </c>
      <c r="C715">
        <v>4.560838917611143E-2</v>
      </c>
      <c r="D715">
        <f t="shared" si="99"/>
        <v>46.679277121988648</v>
      </c>
      <c r="E715">
        <f t="shared" si="106"/>
        <v>46.679277121988648</v>
      </c>
      <c r="F715">
        <f t="shared" si="107"/>
        <v>3.9953597088430118E-2</v>
      </c>
      <c r="G715">
        <f t="shared" si="100"/>
        <v>46.519462733634924</v>
      </c>
      <c r="H715">
        <f t="shared" si="101"/>
        <v>5.6547920876813124E-3</v>
      </c>
      <c r="I715">
        <f t="shared" si="102"/>
        <v>46.63932352490022</v>
      </c>
      <c r="P715" s="2">
        <v>43374</v>
      </c>
      <c r="Q715">
        <v>4.560838917611143E-2</v>
      </c>
      <c r="R715">
        <f t="shared" si="103"/>
        <v>3.9953597088430118E-2</v>
      </c>
      <c r="S715">
        <f t="shared" si="104"/>
        <v>5.6547920876813124E-3</v>
      </c>
      <c r="T715">
        <v>2.6571481668183239E-2</v>
      </c>
    </row>
    <row r="716" spans="2:20" x14ac:dyDescent="0.25">
      <c r="B716">
        <f t="shared" si="105"/>
        <v>715</v>
      </c>
      <c r="C716">
        <v>4.8428881845591576E-2</v>
      </c>
      <c r="D716">
        <f t="shared" si="99"/>
        <v>46.727706003834243</v>
      </c>
      <c r="E716">
        <f t="shared" si="106"/>
        <v>46.727706003834243</v>
      </c>
      <c r="F716">
        <f t="shared" si="107"/>
        <v>4.1648654039863689E-2</v>
      </c>
      <c r="G716">
        <f t="shared" si="100"/>
        <v>46.561111387674785</v>
      </c>
      <c r="H716">
        <f t="shared" si="101"/>
        <v>6.780227805727887E-3</v>
      </c>
      <c r="I716">
        <f t="shared" si="102"/>
        <v>46.686057349794382</v>
      </c>
      <c r="P716" s="2">
        <v>43405</v>
      </c>
      <c r="Q716">
        <v>4.8428881845591576E-2</v>
      </c>
      <c r="R716">
        <f t="shared" si="103"/>
        <v>4.1648654039863689E-2</v>
      </c>
      <c r="S716">
        <f t="shared" si="104"/>
        <v>6.780227805727887E-3</v>
      </c>
      <c r="T716">
        <v>2.2914355222604321E-2</v>
      </c>
    </row>
    <row r="717" spans="2:20" x14ac:dyDescent="0.25">
      <c r="B717">
        <f t="shared" si="105"/>
        <v>716</v>
      </c>
      <c r="C717">
        <v>5.0529256565754466E-2</v>
      </c>
      <c r="D717">
        <f t="shared" si="99"/>
        <v>46.778235260399995</v>
      </c>
      <c r="E717">
        <f t="shared" si="106"/>
        <v>46.778235260399995</v>
      </c>
      <c r="F717">
        <f t="shared" si="107"/>
        <v>4.3424774545042059E-2</v>
      </c>
      <c r="G717">
        <f t="shared" si="100"/>
        <v>46.60453616221983</v>
      </c>
      <c r="H717">
        <f t="shared" si="101"/>
        <v>7.1044820207124063E-3</v>
      </c>
      <c r="I717">
        <f t="shared" si="102"/>
        <v>46.73481048585495</v>
      </c>
      <c r="P717" s="2">
        <v>43435</v>
      </c>
      <c r="Q717">
        <v>5.0529256565754466E-2</v>
      </c>
      <c r="R717">
        <f t="shared" si="103"/>
        <v>4.3424774545042059E-2</v>
      </c>
      <c r="S717">
        <f t="shared" si="104"/>
        <v>7.1044820207124063E-3</v>
      </c>
      <c r="T717">
        <v>1.8796714465866948E-2</v>
      </c>
    </row>
    <row r="718" spans="2:20" x14ac:dyDescent="0.25">
      <c r="B718">
        <f t="shared" si="105"/>
        <v>717</v>
      </c>
      <c r="C718">
        <v>5.4403128415085433E-2</v>
      </c>
      <c r="D718">
        <f t="shared" si="99"/>
        <v>46.832638388815084</v>
      </c>
      <c r="E718">
        <f t="shared" si="106"/>
        <v>46.832638388815084</v>
      </c>
      <c r="F718">
        <f t="shared" si="107"/>
        <v>4.5620445319050879E-2</v>
      </c>
      <c r="G718">
        <f t="shared" si="100"/>
        <v>46.650156607538882</v>
      </c>
      <c r="H718">
        <f t="shared" si="101"/>
        <v>8.7826830960345548E-3</v>
      </c>
      <c r="I718">
        <f t="shared" si="102"/>
        <v>46.787017943496032</v>
      </c>
      <c r="P718" s="2">
        <v>43466</v>
      </c>
      <c r="Q718">
        <v>5.4403128415085433E-2</v>
      </c>
      <c r="R718">
        <f t="shared" si="103"/>
        <v>4.5620445319050879E-2</v>
      </c>
      <c r="S718">
        <f t="shared" si="104"/>
        <v>8.7826830960345548E-3</v>
      </c>
      <c r="T718">
        <v>2.7944163782901654E-2</v>
      </c>
    </row>
    <row r="719" spans="2:20" x14ac:dyDescent="0.25">
      <c r="B719">
        <f t="shared" si="105"/>
        <v>718</v>
      </c>
      <c r="C719">
        <v>6.2614871861430998E-2</v>
      </c>
      <c r="D719">
        <f t="shared" si="99"/>
        <v>46.895253260676512</v>
      </c>
      <c r="E719">
        <f t="shared" si="106"/>
        <v>46.895253260676512</v>
      </c>
      <c r="F719">
        <f t="shared" si="107"/>
        <v>4.9019330627525906E-2</v>
      </c>
      <c r="G719">
        <f t="shared" si="100"/>
        <v>46.699175938166405</v>
      </c>
      <c r="H719">
        <f t="shared" si="101"/>
        <v>1.3595541233905092E-2</v>
      </c>
      <c r="I719">
        <f t="shared" si="102"/>
        <v>46.846233930048989</v>
      </c>
      <c r="P719" s="2">
        <v>43497</v>
      </c>
      <c r="Q719">
        <v>6.2614871861430998E-2</v>
      </c>
      <c r="R719">
        <f t="shared" si="103"/>
        <v>4.9019330627525906E-2</v>
      </c>
      <c r="S719">
        <f t="shared" si="104"/>
        <v>1.3595541233905092E-2</v>
      </c>
      <c r="T719">
        <v>3.5470404582237158E-2</v>
      </c>
    </row>
    <row r="720" spans="2:20" x14ac:dyDescent="0.25">
      <c r="B720">
        <f t="shared" si="105"/>
        <v>719</v>
      </c>
      <c r="C720">
        <v>6.8344012374751628E-2</v>
      </c>
      <c r="D720">
        <f t="shared" si="99"/>
        <v>46.963597273051263</v>
      </c>
      <c r="E720">
        <f t="shared" si="106"/>
        <v>46.963597273051263</v>
      </c>
      <c r="F720">
        <f t="shared" si="107"/>
        <v>5.2884266976971621E-2</v>
      </c>
      <c r="G720">
        <f t="shared" si="100"/>
        <v>46.75206020514338</v>
      </c>
      <c r="H720">
        <f t="shared" si="101"/>
        <v>1.5459745397780007E-2</v>
      </c>
      <c r="I720">
        <f t="shared" si="102"/>
        <v>46.910713006074289</v>
      </c>
      <c r="P720" s="2">
        <v>43525</v>
      </c>
      <c r="Q720">
        <v>6.8344012374751628E-2</v>
      </c>
      <c r="R720">
        <f t="shared" si="103"/>
        <v>5.2884266976971621E-2</v>
      </c>
      <c r="S720">
        <f t="shared" si="104"/>
        <v>1.5459745397780007E-2</v>
      </c>
      <c r="T720">
        <v>4.2803396582697495E-2</v>
      </c>
    </row>
    <row r="721" spans="2:20" x14ac:dyDescent="0.25">
      <c r="B721">
        <f t="shared" si="105"/>
        <v>720</v>
      </c>
      <c r="C721">
        <v>6.4628640585082664E-2</v>
      </c>
      <c r="D721">
        <f t="shared" si="99"/>
        <v>47.028225913636348</v>
      </c>
      <c r="E721">
        <f t="shared" si="106"/>
        <v>47.028225913636348</v>
      </c>
      <c r="F721">
        <f t="shared" si="107"/>
        <v>5.5233141698593613E-2</v>
      </c>
      <c r="G721">
        <f t="shared" si="100"/>
        <v>46.807293346841973</v>
      </c>
      <c r="H721">
        <f t="shared" si="101"/>
        <v>9.395498886489051E-3</v>
      </c>
      <c r="I721">
        <f t="shared" si="102"/>
        <v>46.972992771937754</v>
      </c>
      <c r="P721" s="2">
        <v>43556</v>
      </c>
      <c r="Q721">
        <v>6.4628640585082664E-2</v>
      </c>
      <c r="R721">
        <f t="shared" si="103"/>
        <v>5.5233141698593613E-2</v>
      </c>
      <c r="S721">
        <f t="shared" si="104"/>
        <v>9.395498886489051E-3</v>
      </c>
      <c r="T721">
        <v>4.0266448800512222E-2</v>
      </c>
    </row>
    <row r="722" spans="2:20" x14ac:dyDescent="0.25">
      <c r="B722">
        <f t="shared" si="105"/>
        <v>721</v>
      </c>
      <c r="C722">
        <v>6.4691972958552668E-2</v>
      </c>
      <c r="D722">
        <f t="shared" si="99"/>
        <v>47.092917886594904</v>
      </c>
      <c r="E722">
        <f t="shared" si="106"/>
        <v>47.092917886594904</v>
      </c>
      <c r="F722">
        <f t="shared" si="107"/>
        <v>5.712490795058614E-2</v>
      </c>
      <c r="G722">
        <f t="shared" si="100"/>
        <v>46.864418254792561</v>
      </c>
      <c r="H722">
        <f t="shared" si="101"/>
        <v>7.567065007966528E-3</v>
      </c>
      <c r="I722">
        <f t="shared" si="102"/>
        <v>47.035792978644317</v>
      </c>
      <c r="P722" s="2">
        <v>43586</v>
      </c>
      <c r="Q722">
        <v>6.4691972958552668E-2</v>
      </c>
      <c r="R722">
        <f t="shared" si="103"/>
        <v>5.712490795058614E-2</v>
      </c>
      <c r="S722">
        <f t="shared" si="104"/>
        <v>7.567065007966528E-3</v>
      </c>
      <c r="T722">
        <v>4.2050318111453322E-2</v>
      </c>
    </row>
    <row r="723" spans="2:20" x14ac:dyDescent="0.25">
      <c r="B723">
        <f t="shared" si="105"/>
        <v>722</v>
      </c>
      <c r="C723">
        <v>6.5463849060739321E-2</v>
      </c>
      <c r="D723">
        <f t="shared" si="99"/>
        <v>47.158381735655645</v>
      </c>
      <c r="E723">
        <f t="shared" si="106"/>
        <v>47.158381735655645</v>
      </c>
      <c r="F723">
        <f t="shared" si="107"/>
        <v>5.8792696172616843E-2</v>
      </c>
      <c r="G723">
        <f t="shared" si="100"/>
        <v>46.923210950965178</v>
      </c>
      <c r="H723">
        <f t="shared" si="101"/>
        <v>6.671152888122478E-3</v>
      </c>
      <c r="I723">
        <f t="shared" si="102"/>
        <v>47.099589039483028</v>
      </c>
      <c r="P723" s="2">
        <v>43617</v>
      </c>
      <c r="Q723">
        <v>6.5463849060739321E-2</v>
      </c>
      <c r="R723">
        <f t="shared" si="103"/>
        <v>5.8792696172616843E-2</v>
      </c>
      <c r="S723">
        <f t="shared" si="104"/>
        <v>6.671152888122478E-3</v>
      </c>
      <c r="T723">
        <v>4.0594377615367883E-2</v>
      </c>
    </row>
    <row r="724" spans="2:20" x14ac:dyDescent="0.25">
      <c r="B724">
        <f t="shared" si="105"/>
        <v>723</v>
      </c>
      <c r="C724">
        <v>9.628986013585461E-2</v>
      </c>
      <c r="D724">
        <f t="shared" si="99"/>
        <v>47.2546715957915</v>
      </c>
      <c r="E724">
        <f t="shared" si="106"/>
        <v>47.2546715957915</v>
      </c>
      <c r="F724">
        <f t="shared" si="107"/>
        <v>6.6292128965264402E-2</v>
      </c>
      <c r="G724">
        <f t="shared" si="100"/>
        <v>46.989503079930444</v>
      </c>
      <c r="H724">
        <f t="shared" si="101"/>
        <v>2.9997731170590208E-2</v>
      </c>
      <c r="I724">
        <f t="shared" si="102"/>
        <v>47.188379466826234</v>
      </c>
      <c r="P724" s="2">
        <v>43647</v>
      </c>
      <c r="Q724">
        <v>9.628986013585461E-2</v>
      </c>
      <c r="R724">
        <f t="shared" si="103"/>
        <v>6.6292128965264402E-2</v>
      </c>
      <c r="S724">
        <f t="shared" si="104"/>
        <v>2.9997731170590208E-2</v>
      </c>
      <c r="T724">
        <v>3.8979372014913416E-2</v>
      </c>
    </row>
    <row r="725" spans="2:20" x14ac:dyDescent="0.25">
      <c r="B725">
        <f t="shared" si="105"/>
        <v>724</v>
      </c>
      <c r="C725">
        <v>0.15598153815057358</v>
      </c>
      <c r="D725">
        <f t="shared" si="99"/>
        <v>47.410653133942077</v>
      </c>
      <c r="E725">
        <f t="shared" si="106"/>
        <v>47.410653133942077</v>
      </c>
      <c r="F725">
        <f t="shared" si="107"/>
        <v>8.4230010802326671E-2</v>
      </c>
      <c r="G725">
        <f t="shared" si="100"/>
        <v>47.073733090732773</v>
      </c>
      <c r="H725">
        <f t="shared" si="101"/>
        <v>7.1751527348246913E-2</v>
      </c>
      <c r="I725">
        <f t="shared" si="102"/>
        <v>47.326423123139747</v>
      </c>
      <c r="P725" s="2">
        <v>43678</v>
      </c>
      <c r="Q725">
        <v>0.15598153815057358</v>
      </c>
      <c r="R725">
        <f t="shared" si="103"/>
        <v>8.4230010802326671E-2</v>
      </c>
      <c r="S725">
        <f t="shared" si="104"/>
        <v>7.1751527348246913E-2</v>
      </c>
      <c r="T725">
        <v>3.8294909498422847E-2</v>
      </c>
    </row>
    <row r="726" spans="2:20" x14ac:dyDescent="0.25">
      <c r="B726">
        <f t="shared" si="105"/>
        <v>725</v>
      </c>
      <c r="C726">
        <v>0.19806420511597445</v>
      </c>
      <c r="D726">
        <f t="shared" si="99"/>
        <v>47.608717339058053</v>
      </c>
      <c r="E726">
        <f t="shared" si="106"/>
        <v>47.608717339058053</v>
      </c>
      <c r="F726">
        <f t="shared" si="107"/>
        <v>0.10699684966505602</v>
      </c>
      <c r="G726">
        <f t="shared" si="100"/>
        <v>47.180729940397832</v>
      </c>
      <c r="H726">
        <f t="shared" si="101"/>
        <v>9.106735545091843E-2</v>
      </c>
      <c r="I726">
        <f t="shared" si="102"/>
        <v>47.501720489392994</v>
      </c>
      <c r="P726" s="2">
        <v>43709</v>
      </c>
      <c r="Q726">
        <v>0.19806420511597445</v>
      </c>
      <c r="R726">
        <f t="shared" si="103"/>
        <v>0.10699684966505602</v>
      </c>
      <c r="S726">
        <f t="shared" si="104"/>
        <v>9.106735545091843E-2</v>
      </c>
      <c r="T726">
        <v>4.0070484909622728E-2</v>
      </c>
    </row>
    <row r="727" spans="2:20" x14ac:dyDescent="0.25">
      <c r="B727">
        <f t="shared" si="105"/>
        <v>726</v>
      </c>
      <c r="C727">
        <v>0.20598718186928799</v>
      </c>
      <c r="D727">
        <f t="shared" si="99"/>
        <v>47.814704520927343</v>
      </c>
      <c r="E727">
        <f t="shared" si="106"/>
        <v>47.814704520927343</v>
      </c>
      <c r="F727">
        <f t="shared" si="107"/>
        <v>0.12679491610590218</v>
      </c>
      <c r="G727">
        <f t="shared" si="100"/>
        <v>47.307524856503733</v>
      </c>
      <c r="H727">
        <f t="shared" si="101"/>
        <v>7.9192265763385811E-2</v>
      </c>
      <c r="I727">
        <f t="shared" si="102"/>
        <v>47.687909604821442</v>
      </c>
      <c r="P727" s="2">
        <v>43739</v>
      </c>
      <c r="Q727">
        <v>0.20598718186928799</v>
      </c>
      <c r="R727">
        <f t="shared" si="103"/>
        <v>0.12679491610590218</v>
      </c>
      <c r="S727">
        <f t="shared" si="104"/>
        <v>7.9192265763385811E-2</v>
      </c>
      <c r="T727">
        <v>4.8180131527329806E-2</v>
      </c>
    </row>
    <row r="728" spans="2:20" x14ac:dyDescent="0.25">
      <c r="B728">
        <f t="shared" si="105"/>
        <v>727</v>
      </c>
      <c r="C728">
        <v>0.2087235773084668</v>
      </c>
      <c r="D728">
        <f t="shared" si="99"/>
        <v>48.023428098235811</v>
      </c>
      <c r="E728">
        <f t="shared" si="106"/>
        <v>48.023428098235811</v>
      </c>
      <c r="F728">
        <f t="shared" si="107"/>
        <v>0.14318064834641575</v>
      </c>
      <c r="G728">
        <f t="shared" si="100"/>
        <v>47.450705504850148</v>
      </c>
      <c r="H728">
        <f t="shared" si="101"/>
        <v>6.554292896205105E-2</v>
      </c>
      <c r="I728">
        <f t="shared" si="102"/>
        <v>47.880247449889396</v>
      </c>
      <c r="P728" s="2">
        <v>43770</v>
      </c>
      <c r="Q728">
        <v>0.2087235773084668</v>
      </c>
      <c r="R728">
        <f t="shared" si="103"/>
        <v>0.14318064834641575</v>
      </c>
      <c r="S728">
        <f t="shared" si="104"/>
        <v>6.554292896205105E-2</v>
      </c>
      <c r="T728">
        <v>5.3517184454153544E-2</v>
      </c>
    </row>
    <row r="729" spans="2:20" x14ac:dyDescent="0.25">
      <c r="B729">
        <f t="shared" si="105"/>
        <v>728</v>
      </c>
      <c r="C729">
        <v>0.20716533625563116</v>
      </c>
      <c r="D729">
        <f t="shared" si="99"/>
        <v>48.230593434491439</v>
      </c>
      <c r="E729">
        <f t="shared" si="106"/>
        <v>48.230593434491439</v>
      </c>
      <c r="F729">
        <f t="shared" si="107"/>
        <v>0.15597758592825814</v>
      </c>
      <c r="G729">
        <f t="shared" si="100"/>
        <v>47.606683090778404</v>
      </c>
      <c r="H729">
        <f t="shared" si="101"/>
        <v>5.1187750327373022E-2</v>
      </c>
      <c r="I729">
        <f t="shared" si="102"/>
        <v>48.074615848563184</v>
      </c>
      <c r="P729" s="2">
        <v>43800</v>
      </c>
      <c r="Q729">
        <v>0.20716533625563116</v>
      </c>
      <c r="R729">
        <f t="shared" si="103"/>
        <v>0.15597758592825814</v>
      </c>
      <c r="S729">
        <f t="shared" si="104"/>
        <v>5.1187750327373022E-2</v>
      </c>
      <c r="T729">
        <v>5.1719366645739839E-2</v>
      </c>
    </row>
    <row r="730" spans="2:20" x14ac:dyDescent="0.25">
      <c r="B730">
        <f t="shared" si="105"/>
        <v>729</v>
      </c>
      <c r="C730">
        <v>0.21332311967961637</v>
      </c>
      <c r="D730">
        <f t="shared" si="99"/>
        <v>48.443916554171054</v>
      </c>
      <c r="E730">
        <f t="shared" si="106"/>
        <v>48.443916554171054</v>
      </c>
      <c r="F730">
        <f t="shared" si="107"/>
        <v>0.16744669267852999</v>
      </c>
      <c r="G730">
        <f t="shared" si="100"/>
        <v>47.774129783456935</v>
      </c>
      <c r="H730">
        <f t="shared" si="101"/>
        <v>4.5876427001086378E-2</v>
      </c>
      <c r="I730">
        <f t="shared" si="102"/>
        <v>48.276469861492522</v>
      </c>
      <c r="P730" s="2">
        <v>43831</v>
      </c>
      <c r="Q730">
        <v>0.21332311967961637</v>
      </c>
      <c r="R730">
        <f t="shared" si="103"/>
        <v>0.16744669267852999</v>
      </c>
      <c r="S730">
        <f t="shared" si="104"/>
        <v>4.5876427001086378E-2</v>
      </c>
      <c r="T730">
        <v>4.8345492699974457E-2</v>
      </c>
    </row>
    <row r="731" spans="2:20" x14ac:dyDescent="0.25">
      <c r="B731">
        <f t="shared" si="105"/>
        <v>730</v>
      </c>
      <c r="C731">
        <v>0.21254950809321471</v>
      </c>
      <c r="D731">
        <f t="shared" si="99"/>
        <v>48.656466062264272</v>
      </c>
      <c r="E731">
        <f t="shared" si="106"/>
        <v>48.656466062264272</v>
      </c>
      <c r="F731">
        <f t="shared" si="107"/>
        <v>0.17646725576146738</v>
      </c>
      <c r="G731">
        <f t="shared" si="100"/>
        <v>47.950597039218401</v>
      </c>
      <c r="H731">
        <f t="shared" si="101"/>
        <v>3.6082252331747333E-2</v>
      </c>
      <c r="I731">
        <f t="shared" si="102"/>
        <v>48.479998806502806</v>
      </c>
      <c r="P731" s="2">
        <v>43862</v>
      </c>
      <c r="Q731">
        <v>0.21254950809321471</v>
      </c>
      <c r="R731">
        <f t="shared" si="103"/>
        <v>0.17646725576146738</v>
      </c>
      <c r="S731">
        <f t="shared" si="104"/>
        <v>3.6082252331747333E-2</v>
      </c>
      <c r="T731">
        <v>3.6631381899317361E-2</v>
      </c>
    </row>
    <row r="732" spans="2:20" x14ac:dyDescent="0.25">
      <c r="B732">
        <f t="shared" si="105"/>
        <v>731</v>
      </c>
      <c r="C732">
        <v>0.21754459598947484</v>
      </c>
      <c r="D732">
        <f t="shared" si="99"/>
        <v>48.874010658253745</v>
      </c>
      <c r="E732">
        <f t="shared" si="106"/>
        <v>48.874010658253745</v>
      </c>
      <c r="F732">
        <f t="shared" si="107"/>
        <v>0.18468272380706879</v>
      </c>
      <c r="G732">
        <f t="shared" si="100"/>
        <v>48.135279763025473</v>
      </c>
      <c r="H732">
        <f t="shared" si="101"/>
        <v>3.2861872182406049E-2</v>
      </c>
      <c r="I732">
        <f t="shared" si="102"/>
        <v>48.689327934446673</v>
      </c>
      <c r="P732" s="2">
        <v>43891</v>
      </c>
      <c r="Q732">
        <v>0.21754459598947484</v>
      </c>
      <c r="R732">
        <f t="shared" si="103"/>
        <v>0.18468272380706879</v>
      </c>
      <c r="S732">
        <f t="shared" si="104"/>
        <v>3.2861872182406049E-2</v>
      </c>
      <c r="T732">
        <v>1.0939123723625599E-2</v>
      </c>
    </row>
    <row r="733" spans="2:20" x14ac:dyDescent="0.25">
      <c r="B733">
        <f t="shared" si="105"/>
        <v>732</v>
      </c>
      <c r="C733">
        <v>0.22079911122227003</v>
      </c>
      <c r="D733">
        <f t="shared" si="99"/>
        <v>49.094809769476015</v>
      </c>
      <c r="E733">
        <f t="shared" si="106"/>
        <v>49.094809769476015</v>
      </c>
      <c r="F733">
        <f t="shared" si="107"/>
        <v>0.19190600129010849</v>
      </c>
      <c r="G733">
        <f t="shared" si="100"/>
        <v>48.32718576431558</v>
      </c>
      <c r="H733">
        <f t="shared" si="101"/>
        <v>2.8893109932161543E-2</v>
      </c>
      <c r="I733">
        <f t="shared" si="102"/>
        <v>48.902903768185908</v>
      </c>
      <c r="P733" s="2">
        <v>43922</v>
      </c>
      <c r="Q733">
        <v>0.22079911122227003</v>
      </c>
      <c r="R733">
        <f t="shared" si="103"/>
        <v>0.19190600129010849</v>
      </c>
      <c r="S733">
        <f t="shared" si="104"/>
        <v>2.8893109932161543E-2</v>
      </c>
      <c r="T733">
        <v>-2.2230473340467682E-4</v>
      </c>
    </row>
    <row r="734" spans="2:20" x14ac:dyDescent="0.25">
      <c r="B734">
        <f t="shared" si="105"/>
        <v>733</v>
      </c>
      <c r="C734">
        <v>0.22818912121279133</v>
      </c>
      <c r="D734">
        <f t="shared" si="99"/>
        <v>49.322998890688808</v>
      </c>
      <c r="E734">
        <f t="shared" si="106"/>
        <v>49.322998890688808</v>
      </c>
      <c r="F734">
        <f t="shared" si="107"/>
        <v>0.19916262527464568</v>
      </c>
      <c r="G734">
        <f t="shared" si="100"/>
        <v>48.526348389590225</v>
      </c>
      <c r="H734">
        <f t="shared" si="101"/>
        <v>2.9026495938145658E-2</v>
      </c>
      <c r="I734">
        <f t="shared" si="102"/>
        <v>49.123836265414162</v>
      </c>
      <c r="P734" s="2">
        <v>43952</v>
      </c>
      <c r="Q734">
        <v>0.22818912121279133</v>
      </c>
      <c r="R734">
        <f t="shared" si="103"/>
        <v>0.19916262527464568</v>
      </c>
      <c r="S734">
        <f t="shared" si="104"/>
        <v>2.9026495938145658E-2</v>
      </c>
      <c r="T734">
        <v>-1.1365057683114799E-3</v>
      </c>
    </row>
    <row r="735" spans="2:20" x14ac:dyDescent="0.25">
      <c r="B735">
        <f t="shared" si="105"/>
        <v>734</v>
      </c>
      <c r="C735">
        <v>0.23701372406663346</v>
      </c>
      <c r="D735">
        <f t="shared" si="99"/>
        <v>49.560012614755443</v>
      </c>
      <c r="E735">
        <f t="shared" si="106"/>
        <v>49.560012614755443</v>
      </c>
      <c r="F735">
        <f t="shared" si="107"/>
        <v>0.20673284503304359</v>
      </c>
      <c r="G735">
        <f t="shared" si="100"/>
        <v>48.73308123462327</v>
      </c>
      <c r="H735">
        <f t="shared" si="101"/>
        <v>3.0280879033589864E-2</v>
      </c>
      <c r="I735">
        <f t="shared" si="102"/>
        <v>49.353279769722398</v>
      </c>
      <c r="P735" s="2">
        <v>43983</v>
      </c>
      <c r="Q735">
        <v>0.23701372406663346</v>
      </c>
      <c r="R735">
        <f t="shared" si="103"/>
        <v>0.20673284503304359</v>
      </c>
      <c r="S735">
        <f t="shared" si="104"/>
        <v>3.0280879033589864E-2</v>
      </c>
      <c r="T735">
        <v>8.4627825679639557E-5</v>
      </c>
    </row>
    <row r="736" spans="2:20" x14ac:dyDescent="0.25">
      <c r="B736">
        <f t="shared" si="105"/>
        <v>735</v>
      </c>
      <c r="C736">
        <v>0.21543568608636932</v>
      </c>
      <c r="D736">
        <f t="shared" si="99"/>
        <v>49.775448300841816</v>
      </c>
      <c r="E736">
        <f t="shared" si="106"/>
        <v>49.775448300841816</v>
      </c>
      <c r="F736">
        <f t="shared" si="107"/>
        <v>0.20847341324370916</v>
      </c>
      <c r="G736">
        <f t="shared" si="100"/>
        <v>48.94155464786698</v>
      </c>
      <c r="H736">
        <f t="shared" si="101"/>
        <v>6.9622728426601554E-3</v>
      </c>
      <c r="I736">
        <f t="shared" si="102"/>
        <v>49.566974887598107</v>
      </c>
      <c r="P736" s="2">
        <v>44013</v>
      </c>
      <c r="Q736">
        <v>0.21543568608636932</v>
      </c>
      <c r="R736">
        <f t="shared" si="103"/>
        <v>0.20847341324370916</v>
      </c>
      <c r="S736">
        <f t="shared" si="104"/>
        <v>6.9622728426601554E-3</v>
      </c>
      <c r="T736">
        <v>-4.4747846083383891E-3</v>
      </c>
    </row>
    <row r="737" spans="2:20" x14ac:dyDescent="0.25">
      <c r="B737">
        <f t="shared" si="105"/>
        <v>736</v>
      </c>
      <c r="C737">
        <v>0.1697069246543137</v>
      </c>
      <c r="D737">
        <f t="shared" si="99"/>
        <v>49.94515522549613</v>
      </c>
      <c r="E737">
        <f t="shared" si="106"/>
        <v>49.94515522549613</v>
      </c>
      <c r="F737">
        <f t="shared" si="107"/>
        <v>0.20072011552583008</v>
      </c>
      <c r="G737">
        <f t="shared" si="100"/>
        <v>49.142274763392813</v>
      </c>
      <c r="H737">
        <f t="shared" si="101"/>
        <v>-3.1013190871516383E-2</v>
      </c>
      <c r="I737">
        <f t="shared" si="102"/>
        <v>49.744435109970297</v>
      </c>
      <c r="P737" s="2">
        <v>44044</v>
      </c>
      <c r="Q737">
        <v>0.1697069246543137</v>
      </c>
      <c r="R737">
        <f t="shared" si="103"/>
        <v>0.20072011552583008</v>
      </c>
      <c r="S737">
        <f t="shared" si="104"/>
        <v>-3.1013190871516383E-2</v>
      </c>
      <c r="T737">
        <v>-5.779915821649162E-3</v>
      </c>
    </row>
    <row r="738" spans="2:20" x14ac:dyDescent="0.25">
      <c r="B738">
        <f t="shared" si="105"/>
        <v>737</v>
      </c>
      <c r="C738">
        <v>0.1349260075943608</v>
      </c>
      <c r="D738">
        <f t="shared" si="99"/>
        <v>50.080081233090489</v>
      </c>
      <c r="E738">
        <f t="shared" si="106"/>
        <v>50.080081233090489</v>
      </c>
      <c r="F738">
        <f t="shared" si="107"/>
        <v>0.1875612939395353</v>
      </c>
      <c r="G738">
        <f t="shared" si="100"/>
        <v>49.329836057332351</v>
      </c>
      <c r="H738">
        <f t="shared" si="101"/>
        <v>-5.2635286345174503E-2</v>
      </c>
      <c r="I738">
        <f t="shared" si="102"/>
        <v>49.892519939150951</v>
      </c>
      <c r="P738" s="2">
        <v>44075</v>
      </c>
      <c r="Q738">
        <v>0.1349260075943608</v>
      </c>
      <c r="R738">
        <f t="shared" si="103"/>
        <v>0.1875612939395353</v>
      </c>
      <c r="S738">
        <f t="shared" si="104"/>
        <v>-5.2635286345174503E-2</v>
      </c>
      <c r="T738">
        <v>-1.0209555557125327E-2</v>
      </c>
    </row>
    <row r="739" spans="2:20" x14ac:dyDescent="0.25">
      <c r="B739">
        <f t="shared" si="105"/>
        <v>738</v>
      </c>
      <c r="C739">
        <v>0.12083804154849354</v>
      </c>
      <c r="D739">
        <f t="shared" si="99"/>
        <v>50.200919274638984</v>
      </c>
      <c r="E739">
        <f t="shared" si="106"/>
        <v>50.200919274638984</v>
      </c>
      <c r="F739">
        <f t="shared" si="107"/>
        <v>0.17421664346132673</v>
      </c>
      <c r="G739">
        <f t="shared" si="100"/>
        <v>49.504052700793679</v>
      </c>
      <c r="H739">
        <f t="shared" si="101"/>
        <v>-5.3378601912833196E-2</v>
      </c>
      <c r="I739">
        <f t="shared" si="102"/>
        <v>50.026702631177656</v>
      </c>
      <c r="P739" s="2">
        <v>44105</v>
      </c>
      <c r="Q739">
        <v>0.12083804154849354</v>
      </c>
      <c r="R739">
        <f t="shared" si="103"/>
        <v>0.17421664346132673</v>
      </c>
      <c r="S739">
        <f t="shared" si="104"/>
        <v>-5.3378601912833196E-2</v>
      </c>
      <c r="T739">
        <v>-1.2367914498850219E-2</v>
      </c>
    </row>
    <row r="740" spans="2:20" x14ac:dyDescent="0.25">
      <c r="B740">
        <f t="shared" si="105"/>
        <v>739</v>
      </c>
      <c r="C740">
        <v>0.11996421113371802</v>
      </c>
      <c r="D740">
        <f t="shared" si="99"/>
        <v>50.320883485772704</v>
      </c>
      <c r="E740">
        <f t="shared" si="106"/>
        <v>50.320883485772704</v>
      </c>
      <c r="F740">
        <f t="shared" si="107"/>
        <v>0.16336615699580506</v>
      </c>
      <c r="G740">
        <f t="shared" si="100"/>
        <v>49.667418857789485</v>
      </c>
      <c r="H740">
        <f t="shared" si="101"/>
        <v>-4.3401945862087038E-2</v>
      </c>
      <c r="I740">
        <f t="shared" si="102"/>
        <v>50.157517328776898</v>
      </c>
      <c r="P740" s="2">
        <v>44136</v>
      </c>
      <c r="Q740">
        <v>0.11996421113371802</v>
      </c>
      <c r="R740">
        <f t="shared" si="103"/>
        <v>0.16336615699580506</v>
      </c>
      <c r="S740">
        <f t="shared" si="104"/>
        <v>-4.3401945862087038E-2</v>
      </c>
      <c r="T740">
        <v>-1.9781989747510664E-2</v>
      </c>
    </row>
    <row r="741" spans="2:20" x14ac:dyDescent="0.25">
      <c r="B741">
        <f t="shared" si="105"/>
        <v>740</v>
      </c>
      <c r="C741">
        <v>0.12621029212949963</v>
      </c>
      <c r="D741">
        <f t="shared" si="99"/>
        <v>50.447093777902204</v>
      </c>
      <c r="E741">
        <f t="shared" si="106"/>
        <v>50.447093777902204</v>
      </c>
      <c r="F741">
        <f t="shared" si="107"/>
        <v>0.15593498402254369</v>
      </c>
      <c r="G741">
        <f t="shared" si="100"/>
        <v>49.823353841812029</v>
      </c>
      <c r="H741">
        <f t="shared" si="101"/>
        <v>-2.9724691893044053E-2</v>
      </c>
      <c r="I741">
        <f t="shared" si="102"/>
        <v>50.29115879387966</v>
      </c>
      <c r="P741" s="2">
        <v>44166</v>
      </c>
      <c r="Q741">
        <v>0.12621029212949963</v>
      </c>
      <c r="R741">
        <f t="shared" si="103"/>
        <v>0.15593498402254369</v>
      </c>
      <c r="S741">
        <f t="shared" si="104"/>
        <v>-2.9724691893044053E-2</v>
      </c>
      <c r="T741">
        <v>-1.4949545348335924E-2</v>
      </c>
    </row>
    <row r="742" spans="2:20" x14ac:dyDescent="0.25">
      <c r="B742">
        <f t="shared" si="105"/>
        <v>741</v>
      </c>
      <c r="C742">
        <v>0.12018866084313551</v>
      </c>
      <c r="D742">
        <f t="shared" si="99"/>
        <v>50.567282438745337</v>
      </c>
      <c r="E742">
        <f t="shared" si="106"/>
        <v>50.567282438745337</v>
      </c>
      <c r="F742">
        <f t="shared" si="107"/>
        <v>0.14878571938666171</v>
      </c>
      <c r="G742">
        <f t="shared" si="100"/>
        <v>49.972139561198688</v>
      </c>
      <c r="H742">
        <f t="shared" si="101"/>
        <v>-2.8597058543526205E-2</v>
      </c>
      <c r="I742">
        <f t="shared" si="102"/>
        <v>50.418496719358679</v>
      </c>
      <c r="P742" s="2">
        <v>44197</v>
      </c>
      <c r="Q742">
        <v>0.12018866084313551</v>
      </c>
      <c r="R742">
        <f t="shared" si="103"/>
        <v>0.14878571938666171</v>
      </c>
      <c r="S742">
        <f t="shared" si="104"/>
        <v>-2.8597058543526205E-2</v>
      </c>
      <c r="T742">
        <v>-1.3875246181172862E-2</v>
      </c>
    </row>
    <row r="743" spans="2:20" x14ac:dyDescent="0.25">
      <c r="B743">
        <f t="shared" si="105"/>
        <v>742</v>
      </c>
      <c r="C743">
        <v>0.12061792364302448</v>
      </c>
      <c r="D743">
        <f t="shared" si="99"/>
        <v>50.687900362388362</v>
      </c>
      <c r="E743">
        <f t="shared" si="106"/>
        <v>50.687900362388362</v>
      </c>
      <c r="F743">
        <f t="shared" si="107"/>
        <v>0.14315216023793484</v>
      </c>
      <c r="G743">
        <f t="shared" si="100"/>
        <v>50.11529172143662</v>
      </c>
      <c r="H743">
        <f t="shared" si="101"/>
        <v>-2.2534236594910356E-2</v>
      </c>
      <c r="I743">
        <f t="shared" si="102"/>
        <v>50.54474820215043</v>
      </c>
      <c r="P743" s="2">
        <v>44228</v>
      </c>
      <c r="Q743">
        <v>0.12061792364302448</v>
      </c>
      <c r="R743">
        <f t="shared" si="103"/>
        <v>0.14315216023793484</v>
      </c>
      <c r="S743">
        <f t="shared" si="104"/>
        <v>-2.2534236594910356E-2</v>
      </c>
      <c r="T743">
        <v>-2.2421947830295608E-3</v>
      </c>
    </row>
    <row r="744" spans="2:20" x14ac:dyDescent="0.25">
      <c r="B744">
        <f t="shared" si="105"/>
        <v>743</v>
      </c>
      <c r="C744">
        <v>0.11737447486614627</v>
      </c>
      <c r="D744">
        <f t="shared" si="99"/>
        <v>50.805274837254508</v>
      </c>
      <c r="E744">
        <f t="shared" si="106"/>
        <v>50.805274837254508</v>
      </c>
      <c r="F744">
        <f t="shared" si="107"/>
        <v>0.13799662316357769</v>
      </c>
      <c r="G744">
        <f t="shared" si="100"/>
        <v>50.2532883446002</v>
      </c>
      <c r="H744">
        <f t="shared" si="101"/>
        <v>-2.062214829743142E-2</v>
      </c>
      <c r="I744">
        <f t="shared" si="102"/>
        <v>50.667278214090928</v>
      </c>
      <c r="P744" s="2">
        <v>44256</v>
      </c>
      <c r="Q744">
        <v>0.11737447486614627</v>
      </c>
      <c r="R744">
        <f t="shared" si="103"/>
        <v>0.13799662316357769</v>
      </c>
      <c r="S744">
        <f t="shared" si="104"/>
        <v>-2.062214829743142E-2</v>
      </c>
      <c r="T744">
        <v>1.8964895854719721E-2</v>
      </c>
    </row>
    <row r="745" spans="2:20" x14ac:dyDescent="0.25">
      <c r="B745">
        <f t="shared" si="105"/>
        <v>744</v>
      </c>
      <c r="C745">
        <v>0.11852922687356404</v>
      </c>
      <c r="D745">
        <f t="shared" si="99"/>
        <v>50.92380406412807</v>
      </c>
      <c r="E745">
        <f t="shared" si="106"/>
        <v>50.92380406412807</v>
      </c>
      <c r="F745">
        <f t="shared" si="107"/>
        <v>0.13410314390557404</v>
      </c>
      <c r="G745">
        <f t="shared" si="100"/>
        <v>50.387391488505777</v>
      </c>
      <c r="H745">
        <f t="shared" si="101"/>
        <v>-1.5573917032009998E-2</v>
      </c>
      <c r="I745">
        <f t="shared" si="102"/>
        <v>50.789700920222494</v>
      </c>
      <c r="P745" s="2">
        <v>44287</v>
      </c>
      <c r="Q745">
        <v>0.11852922687356404</v>
      </c>
      <c r="R745">
        <f t="shared" si="103"/>
        <v>0.13410314390557404</v>
      </c>
      <c r="S745">
        <f t="shared" si="104"/>
        <v>-1.5573917032009998E-2</v>
      </c>
      <c r="T745">
        <v>2.7752542063598895E-2</v>
      </c>
    </row>
    <row r="746" spans="2:20" x14ac:dyDescent="0.25">
      <c r="B746">
        <f t="shared" si="105"/>
        <v>745</v>
      </c>
      <c r="C746">
        <v>0.10948335114399299</v>
      </c>
      <c r="D746">
        <f t="shared" si="99"/>
        <v>51.033287415272063</v>
      </c>
      <c r="E746">
        <f t="shared" si="106"/>
        <v>51.033287415272063</v>
      </c>
      <c r="F746">
        <f t="shared" si="107"/>
        <v>0.12917918535325726</v>
      </c>
      <c r="G746">
        <f t="shared" si="100"/>
        <v>50.516570673859036</v>
      </c>
      <c r="H746">
        <f t="shared" si="101"/>
        <v>-1.9695834209264268E-2</v>
      </c>
      <c r="I746">
        <f t="shared" si="102"/>
        <v>50.904108229918805</v>
      </c>
      <c r="P746" s="2">
        <v>44317</v>
      </c>
      <c r="Q746">
        <v>0.10948335114399299</v>
      </c>
      <c r="R746">
        <f t="shared" si="103"/>
        <v>0.12917918535325726</v>
      </c>
      <c r="S746">
        <f t="shared" si="104"/>
        <v>-1.9695834209264268E-2</v>
      </c>
      <c r="T746">
        <v>2.5873489607178612E-2</v>
      </c>
    </row>
    <row r="747" spans="2:20" x14ac:dyDescent="0.25">
      <c r="B747">
        <f t="shared" si="105"/>
        <v>746</v>
      </c>
      <c r="C747">
        <v>9.9897199167235939E-2</v>
      </c>
      <c r="D747">
        <f t="shared" si="99"/>
        <v>51.133184614439301</v>
      </c>
      <c r="E747">
        <f t="shared" si="106"/>
        <v>51.133184614439301</v>
      </c>
      <c r="F747">
        <f t="shared" si="107"/>
        <v>0.12332278811605307</v>
      </c>
      <c r="G747">
        <f t="shared" si="100"/>
        <v>50.639893461975092</v>
      </c>
      <c r="H747">
        <f t="shared" si="101"/>
        <v>-2.3425588948817133E-2</v>
      </c>
      <c r="I747">
        <f t="shared" si="102"/>
        <v>51.009861826323245</v>
      </c>
      <c r="P747" s="2">
        <v>44348</v>
      </c>
      <c r="Q747">
        <v>9.9897199167235939E-2</v>
      </c>
      <c r="R747">
        <f t="shared" si="103"/>
        <v>0.12332278811605307</v>
      </c>
      <c r="S747">
        <f t="shared" si="104"/>
        <v>-2.3425588948817133E-2</v>
      </c>
      <c r="T747">
        <v>2.1285217498988374E-2</v>
      </c>
    </row>
    <row r="748" spans="2:20" x14ac:dyDescent="0.25">
      <c r="B748">
        <f t="shared" si="105"/>
        <v>747</v>
      </c>
      <c r="C748">
        <v>9.2628347131171296E-2</v>
      </c>
      <c r="D748">
        <f t="shared" si="99"/>
        <v>51.225812961570469</v>
      </c>
      <c r="E748">
        <f t="shared" si="106"/>
        <v>51.225812961570469</v>
      </c>
      <c r="F748">
        <f t="shared" si="107"/>
        <v>0.11718389991907543</v>
      </c>
      <c r="G748">
        <f t="shared" si="100"/>
        <v>50.757077361894169</v>
      </c>
      <c r="H748">
        <f t="shared" si="101"/>
        <v>-2.4555552787904139E-2</v>
      </c>
      <c r="I748">
        <f t="shared" si="102"/>
        <v>51.108629061651392</v>
      </c>
      <c r="P748" s="2">
        <v>44378</v>
      </c>
      <c r="Q748">
        <v>9.2628347131171296E-2</v>
      </c>
      <c r="R748">
        <f t="shared" si="103"/>
        <v>0.11718389991907543</v>
      </c>
      <c r="S748">
        <f t="shared" si="104"/>
        <v>-2.4555552787904139E-2</v>
      </c>
      <c r="T748">
        <v>2.2604301286158091E-2</v>
      </c>
    </row>
    <row r="749" spans="2:20" x14ac:dyDescent="0.25">
      <c r="B749">
        <f t="shared" si="105"/>
        <v>748</v>
      </c>
      <c r="C749">
        <v>7.6366621502005572E-2</v>
      </c>
      <c r="D749">
        <f t="shared" si="99"/>
        <v>51.302179583072473</v>
      </c>
      <c r="E749">
        <f t="shared" si="106"/>
        <v>51.302179583072473</v>
      </c>
      <c r="F749">
        <f t="shared" si="107"/>
        <v>0.10902044423566082</v>
      </c>
      <c r="G749">
        <f t="shared" si="100"/>
        <v>50.866097806129829</v>
      </c>
      <c r="H749">
        <f t="shared" si="101"/>
        <v>-3.2653822733655247E-2</v>
      </c>
      <c r="I749">
        <f t="shared" si="102"/>
        <v>51.193159138836812</v>
      </c>
      <c r="P749" s="2">
        <v>44409</v>
      </c>
      <c r="Q749">
        <v>7.6366621502005572E-2</v>
      </c>
      <c r="R749">
        <f t="shared" si="103"/>
        <v>0.10902044423566082</v>
      </c>
      <c r="S749">
        <f t="shared" si="104"/>
        <v>-3.2653822733655247E-2</v>
      </c>
      <c r="T749">
        <v>2.1827739611836705E-2</v>
      </c>
    </row>
    <row r="750" spans="2:20" x14ac:dyDescent="0.25">
      <c r="B750">
        <f t="shared" si="105"/>
        <v>749</v>
      </c>
      <c r="C750">
        <v>5.993132377982846E-2</v>
      </c>
      <c r="D750">
        <f t="shared" si="99"/>
        <v>51.362110906852301</v>
      </c>
      <c r="E750">
        <f t="shared" si="106"/>
        <v>51.362110906852301</v>
      </c>
      <c r="F750">
        <f t="shared" si="107"/>
        <v>9.9202620144494352E-2</v>
      </c>
      <c r="G750">
        <f t="shared" si="100"/>
        <v>50.965300426274325</v>
      </c>
      <c r="H750">
        <f t="shared" si="101"/>
        <v>-3.9271296364665892E-2</v>
      </c>
      <c r="I750">
        <f t="shared" si="102"/>
        <v>51.262908286707805</v>
      </c>
      <c r="P750" s="2">
        <v>44440</v>
      </c>
      <c r="Q750">
        <v>5.993132377982846E-2</v>
      </c>
      <c r="R750">
        <f t="shared" si="103"/>
        <v>9.9202620144494352E-2</v>
      </c>
      <c r="S750">
        <f t="shared" si="104"/>
        <v>-3.9271296364665892E-2</v>
      </c>
      <c r="T750">
        <v>1.983742011461409E-2</v>
      </c>
    </row>
    <row r="751" spans="2:20" x14ac:dyDescent="0.25">
      <c r="B751">
        <f t="shared" si="105"/>
        <v>750</v>
      </c>
      <c r="C751">
        <v>5.5912100687889321E-2</v>
      </c>
      <c r="D751">
        <f t="shared" si="99"/>
        <v>51.418023007540192</v>
      </c>
      <c r="E751">
        <f t="shared" si="106"/>
        <v>51.418023007540192</v>
      </c>
      <c r="F751">
        <f t="shared" si="107"/>
        <v>9.0544516253173418E-2</v>
      </c>
      <c r="G751">
        <f t="shared" si="100"/>
        <v>51.0558449425275</v>
      </c>
      <c r="H751">
        <f t="shared" si="101"/>
        <v>-3.4632415565284097E-2</v>
      </c>
      <c r="I751">
        <f t="shared" si="102"/>
        <v>51.327478491287017</v>
      </c>
      <c r="P751" s="2">
        <v>44470</v>
      </c>
      <c r="Q751">
        <v>5.5912100687889321E-2</v>
      </c>
      <c r="R751">
        <f t="shared" si="103"/>
        <v>9.0544516253173418E-2</v>
      </c>
      <c r="S751">
        <f t="shared" si="104"/>
        <v>-3.4632415565284097E-2</v>
      </c>
      <c r="T751">
        <v>1.1153177381444834E-2</v>
      </c>
    </row>
    <row r="752" spans="2:20" x14ac:dyDescent="0.25">
      <c r="B752">
        <f t="shared" si="105"/>
        <v>751</v>
      </c>
      <c r="C752">
        <v>4.818299280824867E-2</v>
      </c>
      <c r="D752">
        <f t="shared" si="99"/>
        <v>51.466206000348443</v>
      </c>
      <c r="E752">
        <f t="shared" si="106"/>
        <v>51.466206000348443</v>
      </c>
      <c r="F752">
        <f t="shared" si="107"/>
        <v>8.2072211564188535E-2</v>
      </c>
      <c r="G752">
        <f t="shared" si="100"/>
        <v>51.137917154091689</v>
      </c>
      <c r="H752">
        <f t="shared" si="101"/>
        <v>-3.3889218755939865E-2</v>
      </c>
      <c r="I752">
        <f t="shared" si="102"/>
        <v>51.384133788784254</v>
      </c>
      <c r="P752" s="2">
        <v>44501</v>
      </c>
      <c r="Q752">
        <v>4.818299280824867E-2</v>
      </c>
      <c r="R752">
        <f t="shared" si="103"/>
        <v>8.2072211564188535E-2</v>
      </c>
      <c r="S752">
        <f t="shared" si="104"/>
        <v>-3.3889218755939865E-2</v>
      </c>
      <c r="T752">
        <v>1.3318695897958754E-2</v>
      </c>
    </row>
    <row r="753" spans="2:20" x14ac:dyDescent="0.25">
      <c r="B753">
        <f t="shared" si="105"/>
        <v>752</v>
      </c>
      <c r="C753">
        <v>3.6904696050072516E-2</v>
      </c>
      <c r="D753">
        <f t="shared" si="99"/>
        <v>51.503110696398515</v>
      </c>
      <c r="E753">
        <f t="shared" si="106"/>
        <v>51.503110696398515</v>
      </c>
      <c r="F753">
        <f t="shared" si="107"/>
        <v>7.3038708461365329E-2</v>
      </c>
      <c r="G753">
        <f t="shared" si="100"/>
        <v>51.210955862553057</v>
      </c>
      <c r="H753">
        <f t="shared" si="101"/>
        <v>-3.6134012411292812E-2</v>
      </c>
      <c r="I753">
        <f t="shared" si="102"/>
        <v>51.430071987937147</v>
      </c>
      <c r="P753" s="2">
        <v>44531</v>
      </c>
      <c r="Q753">
        <v>3.6904696050072516E-2</v>
      </c>
      <c r="R753">
        <f t="shared" si="103"/>
        <v>7.3038708461365329E-2</v>
      </c>
      <c r="S753">
        <f t="shared" si="104"/>
        <v>-3.6134012411292812E-2</v>
      </c>
      <c r="T753">
        <v>1.1436132834318435E-2</v>
      </c>
    </row>
    <row r="754" spans="2:20" x14ac:dyDescent="0.25">
      <c r="B754">
        <f t="shared" si="105"/>
        <v>753</v>
      </c>
      <c r="C754">
        <v>2.6982119078551747E-2</v>
      </c>
      <c r="D754">
        <f t="shared" si="99"/>
        <v>51.530092815477069</v>
      </c>
      <c r="E754">
        <f t="shared" si="106"/>
        <v>51.530092815477069</v>
      </c>
      <c r="F754">
        <f t="shared" si="107"/>
        <v>6.3827390584802399E-2</v>
      </c>
      <c r="G754">
        <f t="shared" si="100"/>
        <v>51.274783253137862</v>
      </c>
      <c r="H754">
        <f t="shared" si="101"/>
        <v>-3.6845271506250651E-2</v>
      </c>
      <c r="I754">
        <f t="shared" si="102"/>
        <v>51.466265424892264</v>
      </c>
      <c r="P754" s="2">
        <v>44562</v>
      </c>
      <c r="Q754">
        <v>2.6982119078551747E-2</v>
      </c>
      <c r="R754">
        <f t="shared" si="103"/>
        <v>6.3827390584802399E-2</v>
      </c>
      <c r="S754">
        <f t="shared" si="104"/>
        <v>-3.6845271506250651E-2</v>
      </c>
      <c r="T754">
        <v>1.1121053678139425E-2</v>
      </c>
    </row>
    <row r="755" spans="2:20" x14ac:dyDescent="0.25">
      <c r="B755">
        <f t="shared" si="105"/>
        <v>754</v>
      </c>
      <c r="C755">
        <v>1.5266182413681051E-2</v>
      </c>
      <c r="D755">
        <f t="shared" si="99"/>
        <v>51.545358997890752</v>
      </c>
      <c r="E755">
        <f t="shared" si="106"/>
        <v>51.545358997890752</v>
      </c>
      <c r="F755">
        <f t="shared" si="107"/>
        <v>5.4115148950577924E-2</v>
      </c>
      <c r="G755">
        <f t="shared" si="100"/>
        <v>51.328898402088441</v>
      </c>
      <c r="H755">
        <f t="shared" si="101"/>
        <v>-3.8848966536896873E-2</v>
      </c>
      <c r="I755">
        <f t="shared" si="102"/>
        <v>51.491243848940172</v>
      </c>
      <c r="P755" s="2">
        <v>44593</v>
      </c>
      <c r="Q755">
        <v>1.5266182413681051E-2</v>
      </c>
      <c r="R755">
        <f t="shared" si="103"/>
        <v>5.4115148950577924E-2</v>
      </c>
      <c r="S755">
        <f t="shared" si="104"/>
        <v>-3.8848966536896873E-2</v>
      </c>
      <c r="T755">
        <v>1.1599417381349397E-2</v>
      </c>
    </row>
    <row r="756" spans="2:20" x14ac:dyDescent="0.25">
      <c r="B756">
        <f t="shared" si="105"/>
        <v>755</v>
      </c>
      <c r="C756">
        <v>3.9648319843195168E-3</v>
      </c>
      <c r="D756">
        <f t="shared" ref="D756:D783" si="108">D755 +C756</f>
        <v>51.549323829875071</v>
      </c>
      <c r="E756">
        <f t="shared" si="106"/>
        <v>51.549323829875071</v>
      </c>
      <c r="F756">
        <f t="shared" si="107"/>
        <v>4.4085085557325959E-2</v>
      </c>
      <c r="G756">
        <f t="shared" ref="G756:G783" si="109">G755 + F756</f>
        <v>51.372983487645769</v>
      </c>
      <c r="H756">
        <f t="shared" ref="H756:H783" si="110">C756-F756</f>
        <v>-4.0120253573006442E-2</v>
      </c>
      <c r="I756">
        <f t="shared" ref="I756:I783" si="111">E756-F756</f>
        <v>51.505238744317744</v>
      </c>
      <c r="P756" s="2">
        <v>44621</v>
      </c>
      <c r="Q756">
        <v>3.9648319843195168E-3</v>
      </c>
      <c r="R756">
        <f t="shared" ref="R756:R783" si="112">F756</f>
        <v>4.4085085557325959E-2</v>
      </c>
      <c r="S756">
        <f t="shared" ref="S756:S783" si="113">H756</f>
        <v>-4.0120253573006442E-2</v>
      </c>
      <c r="T756">
        <v>1.0787057695652358E-2</v>
      </c>
    </row>
    <row r="757" spans="2:20" x14ac:dyDescent="0.25">
      <c r="B757">
        <f t="shared" si="105"/>
        <v>756</v>
      </c>
      <c r="C757">
        <v>-8.9325935341229012E-3</v>
      </c>
      <c r="D757">
        <f t="shared" si="108"/>
        <v>51.540391236340952</v>
      </c>
      <c r="E757">
        <f t="shared" si="106"/>
        <v>51.540391236340952</v>
      </c>
      <c r="F757">
        <f t="shared" si="107"/>
        <v>3.3481549739036609E-2</v>
      </c>
      <c r="G757">
        <f t="shared" si="109"/>
        <v>51.406465037384805</v>
      </c>
      <c r="H757">
        <f t="shared" si="110"/>
        <v>-4.241414327315951E-2</v>
      </c>
      <c r="I757">
        <f t="shared" si="111"/>
        <v>51.506909686601915</v>
      </c>
      <c r="P757" s="2">
        <v>44652</v>
      </c>
      <c r="Q757">
        <v>-8.9325935341229012E-3</v>
      </c>
      <c r="R757">
        <f t="shared" si="112"/>
        <v>3.3481549739036609E-2</v>
      </c>
      <c r="S757">
        <f t="shared" si="113"/>
        <v>-4.241414327315951E-2</v>
      </c>
      <c r="T757">
        <v>1.4275547979703873E-2</v>
      </c>
    </row>
    <row r="758" spans="2:20" x14ac:dyDescent="0.25">
      <c r="B758">
        <f t="shared" si="105"/>
        <v>757</v>
      </c>
      <c r="C758">
        <v>-1.5693948123352897E-2</v>
      </c>
      <c r="D758">
        <f t="shared" si="108"/>
        <v>51.524697288217595</v>
      </c>
      <c r="E758">
        <f t="shared" si="106"/>
        <v>51.524697288217595</v>
      </c>
      <c r="F758">
        <f t="shared" si="107"/>
        <v>2.3646450166557999E-2</v>
      </c>
      <c r="G758">
        <f t="shared" si="109"/>
        <v>51.430111487551365</v>
      </c>
      <c r="H758">
        <f t="shared" si="110"/>
        <v>-3.9340398289910899E-2</v>
      </c>
      <c r="I758">
        <f t="shared" si="111"/>
        <v>51.501050838051036</v>
      </c>
      <c r="P758" s="2">
        <v>44682</v>
      </c>
      <c r="Q758">
        <v>-1.5693948123352897E-2</v>
      </c>
      <c r="R758">
        <f t="shared" si="112"/>
        <v>2.3646450166557999E-2</v>
      </c>
      <c r="S758">
        <f t="shared" si="113"/>
        <v>-3.9340398289910899E-2</v>
      </c>
      <c r="T758">
        <v>1.6864820984663353E-2</v>
      </c>
    </row>
    <row r="759" spans="2:20" x14ac:dyDescent="0.25">
      <c r="B759">
        <f t="shared" si="105"/>
        <v>758</v>
      </c>
      <c r="C759">
        <v>-2.1700636901448078E-2</v>
      </c>
      <c r="D759">
        <f t="shared" si="108"/>
        <v>51.502996651316145</v>
      </c>
      <c r="E759">
        <f t="shared" si="106"/>
        <v>51.502996651316145</v>
      </c>
      <c r="F759">
        <f t="shared" si="107"/>
        <v>1.4577032752956144E-2</v>
      </c>
      <c r="G759">
        <f t="shared" si="109"/>
        <v>51.444688520304318</v>
      </c>
      <c r="H759">
        <f t="shared" si="110"/>
        <v>-3.6277669654404224E-2</v>
      </c>
      <c r="I759">
        <f t="shared" si="111"/>
        <v>51.488419618563192</v>
      </c>
      <c r="P759" s="2">
        <v>44713</v>
      </c>
      <c r="Q759">
        <v>-2.1700636901448078E-2</v>
      </c>
      <c r="R759">
        <f t="shared" si="112"/>
        <v>1.4577032752956144E-2</v>
      </c>
      <c r="S759">
        <f t="shared" si="113"/>
        <v>-3.6277669654404224E-2</v>
      </c>
      <c r="T759">
        <v>2.1026370112833703E-2</v>
      </c>
    </row>
    <row r="760" spans="2:20" x14ac:dyDescent="0.25">
      <c r="B760">
        <f t="shared" si="105"/>
        <v>759</v>
      </c>
      <c r="C760">
        <v>-3.8391809382078534E-2</v>
      </c>
      <c r="D760">
        <f t="shared" si="108"/>
        <v>51.464604841934069</v>
      </c>
      <c r="E760">
        <f t="shared" si="106"/>
        <v>51.464604841934069</v>
      </c>
      <c r="F760">
        <f t="shared" si="107"/>
        <v>3.9832643259501309E-3</v>
      </c>
      <c r="G760">
        <f t="shared" si="109"/>
        <v>51.448671784630271</v>
      </c>
      <c r="H760">
        <f t="shared" si="110"/>
        <v>-4.2375073708028663E-2</v>
      </c>
      <c r="I760">
        <f t="shared" si="111"/>
        <v>51.460621577608116</v>
      </c>
      <c r="P760" s="2">
        <v>44743</v>
      </c>
      <c r="Q760">
        <v>-3.8391809382078534E-2</v>
      </c>
      <c r="R760">
        <f t="shared" si="112"/>
        <v>3.9832643259501309E-3</v>
      </c>
      <c r="S760">
        <f t="shared" si="113"/>
        <v>-4.2375073708028663E-2</v>
      </c>
      <c r="T760">
        <v>2.5855268252593433E-2</v>
      </c>
    </row>
    <row r="761" spans="2:20" x14ac:dyDescent="0.25">
      <c r="B761">
        <f t="shared" si="105"/>
        <v>760</v>
      </c>
      <c r="C761">
        <v>-4.6038949310897692E-2</v>
      </c>
      <c r="D761">
        <f t="shared" si="108"/>
        <v>51.418565892623171</v>
      </c>
      <c r="E761">
        <f t="shared" si="106"/>
        <v>51.418565892623171</v>
      </c>
      <c r="F761">
        <f t="shared" si="107"/>
        <v>-6.0211784014200026E-3</v>
      </c>
      <c r="G761">
        <f t="shared" si="109"/>
        <v>51.442650606228852</v>
      </c>
      <c r="H761">
        <f t="shared" si="110"/>
        <v>-4.0017770909477689E-2</v>
      </c>
      <c r="I761">
        <f t="shared" si="111"/>
        <v>51.42458707102459</v>
      </c>
      <c r="P761" s="2">
        <v>44774</v>
      </c>
      <c r="Q761">
        <v>-4.6038949310897692E-2</v>
      </c>
      <c r="R761">
        <f t="shared" si="112"/>
        <v>-6.0211784014200026E-3</v>
      </c>
      <c r="S761">
        <f t="shared" si="113"/>
        <v>-4.0017770909477689E-2</v>
      </c>
      <c r="T761">
        <v>3.0308370223773196E-2</v>
      </c>
    </row>
    <row r="762" spans="2:20" x14ac:dyDescent="0.25">
      <c r="B762">
        <f t="shared" si="105"/>
        <v>761</v>
      </c>
      <c r="C762">
        <v>-4.0161809471646492E-2</v>
      </c>
      <c r="D762">
        <f t="shared" si="108"/>
        <v>51.378404083151523</v>
      </c>
      <c r="E762">
        <f t="shared" si="106"/>
        <v>51.378404083151523</v>
      </c>
      <c r="F762">
        <f t="shared" si="107"/>
        <v>-1.2849304615465941E-2</v>
      </c>
      <c r="G762">
        <f t="shared" si="109"/>
        <v>51.429801301613388</v>
      </c>
      <c r="H762">
        <f t="shared" si="110"/>
        <v>-2.7312504856180551E-2</v>
      </c>
      <c r="I762">
        <f t="shared" si="111"/>
        <v>51.391253387766987</v>
      </c>
      <c r="P762" s="2">
        <v>44805</v>
      </c>
      <c r="Q762">
        <v>-4.0161809471646492E-2</v>
      </c>
      <c r="R762">
        <f t="shared" si="112"/>
        <v>-1.2849304615465941E-2</v>
      </c>
      <c r="S762">
        <f t="shared" si="113"/>
        <v>-2.7312504856180551E-2</v>
      </c>
      <c r="T762">
        <v>3.4004941179468062E-2</v>
      </c>
    </row>
    <row r="763" spans="2:20" x14ac:dyDescent="0.25">
      <c r="B763">
        <f t="shared" si="105"/>
        <v>762</v>
      </c>
      <c r="C763">
        <v>-3.910026073978301E-2</v>
      </c>
      <c r="D763">
        <f t="shared" si="108"/>
        <v>51.339303822411736</v>
      </c>
      <c r="E763">
        <f t="shared" si="106"/>
        <v>51.339303822411736</v>
      </c>
      <c r="F763">
        <f t="shared" si="107"/>
        <v>-1.8099495840330351E-2</v>
      </c>
      <c r="G763">
        <f t="shared" si="109"/>
        <v>51.411701805773056</v>
      </c>
      <c r="H763">
        <f t="shared" si="110"/>
        <v>-2.100076489945266E-2</v>
      </c>
      <c r="I763">
        <f t="shared" si="111"/>
        <v>51.357403318252068</v>
      </c>
      <c r="P763" s="2">
        <v>44835</v>
      </c>
      <c r="Q763">
        <v>-3.910026073978301E-2</v>
      </c>
      <c r="R763">
        <f t="shared" si="112"/>
        <v>-1.8099495840330351E-2</v>
      </c>
      <c r="S763">
        <f t="shared" si="113"/>
        <v>-2.100076489945266E-2</v>
      </c>
      <c r="T763">
        <v>3.4423824057196128E-2</v>
      </c>
    </row>
    <row r="764" spans="2:20" x14ac:dyDescent="0.25">
      <c r="B764">
        <f t="shared" si="105"/>
        <v>763</v>
      </c>
      <c r="C764">
        <v>-4.0065684928434209E-2</v>
      </c>
      <c r="D764">
        <f t="shared" si="108"/>
        <v>51.2992381374833</v>
      </c>
      <c r="E764">
        <f t="shared" si="106"/>
        <v>51.2992381374833</v>
      </c>
      <c r="F764">
        <f t="shared" si="107"/>
        <v>-2.2492733657951194E-2</v>
      </c>
      <c r="G764">
        <f t="shared" si="109"/>
        <v>51.389209072115108</v>
      </c>
      <c r="H764">
        <f t="shared" si="110"/>
        <v>-1.7572951270483014E-2</v>
      </c>
      <c r="I764">
        <f t="shared" si="111"/>
        <v>51.321730871141249</v>
      </c>
      <c r="P764" s="2">
        <v>44866</v>
      </c>
      <c r="Q764">
        <v>-4.0065684928434209E-2</v>
      </c>
      <c r="R764">
        <f t="shared" si="112"/>
        <v>-2.2492733657951194E-2</v>
      </c>
      <c r="S764">
        <f t="shared" si="113"/>
        <v>-1.7572951270483014E-2</v>
      </c>
      <c r="T764">
        <v>3.5172925914501718E-2</v>
      </c>
    </row>
    <row r="765" spans="2:20" x14ac:dyDescent="0.25">
      <c r="B765">
        <f t="shared" si="105"/>
        <v>764</v>
      </c>
      <c r="C765">
        <v>-4.0318128081406002E-2</v>
      </c>
      <c r="D765">
        <f t="shared" si="108"/>
        <v>51.258920009401891</v>
      </c>
      <c r="E765">
        <f t="shared" si="106"/>
        <v>51.258920009401891</v>
      </c>
      <c r="F765">
        <f t="shared" si="107"/>
        <v>-2.6057812542643433E-2</v>
      </c>
      <c r="G765">
        <f t="shared" si="109"/>
        <v>51.363151259572462</v>
      </c>
      <c r="H765">
        <f t="shared" si="110"/>
        <v>-1.4260315538762568E-2</v>
      </c>
      <c r="I765">
        <f t="shared" si="111"/>
        <v>51.284977821944537</v>
      </c>
      <c r="P765" s="2">
        <v>44896</v>
      </c>
      <c r="Q765">
        <v>-4.0318128081406002E-2</v>
      </c>
      <c r="R765">
        <f t="shared" si="112"/>
        <v>-2.6057812542643433E-2</v>
      </c>
      <c r="S765">
        <f t="shared" si="113"/>
        <v>-1.4260315538762568E-2</v>
      </c>
      <c r="T765">
        <v>3.6862126476173707E-2</v>
      </c>
    </row>
    <row r="766" spans="2:20" x14ac:dyDescent="0.25">
      <c r="B766">
        <f t="shared" si="105"/>
        <v>765</v>
      </c>
      <c r="C766">
        <v>-3.9258041314903735E-2</v>
      </c>
      <c r="D766">
        <f t="shared" si="108"/>
        <v>51.219661968086989</v>
      </c>
      <c r="E766">
        <f t="shared" si="106"/>
        <v>51.219661968086989</v>
      </c>
      <c r="F766">
        <f t="shared" si="107"/>
        <v>-2.8697858297094571E-2</v>
      </c>
      <c r="G766">
        <f t="shared" si="109"/>
        <v>51.334453401275368</v>
      </c>
      <c r="H766">
        <f t="shared" si="110"/>
        <v>-1.0560183017809165E-2</v>
      </c>
      <c r="I766">
        <f t="shared" si="111"/>
        <v>51.248359826384082</v>
      </c>
      <c r="P766" s="2">
        <v>44927</v>
      </c>
      <c r="Q766">
        <v>-3.9258041314903735E-2</v>
      </c>
      <c r="R766">
        <f t="shared" si="112"/>
        <v>-2.8697858297094571E-2</v>
      </c>
      <c r="S766">
        <f t="shared" si="113"/>
        <v>-1.0560183017809165E-2</v>
      </c>
      <c r="T766">
        <v>3.7417373621400074E-2</v>
      </c>
    </row>
    <row r="767" spans="2:20" x14ac:dyDescent="0.25">
      <c r="B767">
        <f t="shared" si="105"/>
        <v>766</v>
      </c>
      <c r="C767">
        <v>-3.7066140293010363E-2</v>
      </c>
      <c r="D767">
        <f t="shared" si="108"/>
        <v>51.182595827793975</v>
      </c>
      <c r="E767">
        <f t="shared" si="106"/>
        <v>51.182595827793975</v>
      </c>
      <c r="F767">
        <f t="shared" si="107"/>
        <v>-3.0371514696278724E-2</v>
      </c>
      <c r="G767">
        <f t="shared" si="109"/>
        <v>51.304081886579091</v>
      </c>
      <c r="H767">
        <f t="shared" si="110"/>
        <v>-6.694625596731639E-3</v>
      </c>
      <c r="I767">
        <f t="shared" si="111"/>
        <v>51.212967342490252</v>
      </c>
      <c r="P767" s="2">
        <v>44958</v>
      </c>
      <c r="Q767">
        <v>-3.7066140293010363E-2</v>
      </c>
      <c r="R767">
        <f t="shared" si="112"/>
        <v>-3.0371514696278724E-2</v>
      </c>
      <c r="S767">
        <f t="shared" si="113"/>
        <v>-6.694625596731639E-3</v>
      </c>
      <c r="T767">
        <v>3.4616554596579974E-2</v>
      </c>
    </row>
    <row r="768" spans="2:20" x14ac:dyDescent="0.25">
      <c r="B768">
        <f t="shared" si="105"/>
        <v>767</v>
      </c>
      <c r="C768">
        <v>-3.3340775309449455E-2</v>
      </c>
      <c r="D768">
        <f t="shared" si="108"/>
        <v>51.149255052484527</v>
      </c>
      <c r="E768">
        <f t="shared" si="106"/>
        <v>51.149255052484527</v>
      </c>
      <c r="F768">
        <f t="shared" si="107"/>
        <v>-3.09653668189128E-2</v>
      </c>
      <c r="G768">
        <f t="shared" si="109"/>
        <v>51.27311651976018</v>
      </c>
      <c r="H768">
        <f t="shared" si="110"/>
        <v>-2.3754084905366554E-3</v>
      </c>
      <c r="I768">
        <f t="shared" si="111"/>
        <v>51.180220419303438</v>
      </c>
      <c r="P768" s="2">
        <v>44986</v>
      </c>
      <c r="Q768">
        <v>-3.3340775309449455E-2</v>
      </c>
      <c r="R768">
        <f t="shared" si="112"/>
        <v>-3.09653668189128E-2</v>
      </c>
      <c r="S768">
        <f t="shared" si="113"/>
        <v>-2.3754084905366554E-3</v>
      </c>
      <c r="T768">
        <v>3.3932062617840764E-2</v>
      </c>
    </row>
    <row r="769" spans="2:20" x14ac:dyDescent="0.25">
      <c r="B769">
        <f t="shared" si="105"/>
        <v>768</v>
      </c>
      <c r="C769">
        <v>-2.6510607240679107E-2</v>
      </c>
      <c r="D769">
        <f t="shared" si="108"/>
        <v>51.122744445243846</v>
      </c>
      <c r="E769">
        <f t="shared" si="106"/>
        <v>51.122744445243846</v>
      </c>
      <c r="F769">
        <f t="shared" si="107"/>
        <v>-3.0074414903266702E-2</v>
      </c>
      <c r="G769">
        <f t="shared" si="109"/>
        <v>51.243042104856912</v>
      </c>
      <c r="H769">
        <f t="shared" si="110"/>
        <v>3.5638076625875946E-3</v>
      </c>
      <c r="I769">
        <f t="shared" si="111"/>
        <v>51.152818860147114</v>
      </c>
      <c r="P769" s="2">
        <v>45017</v>
      </c>
      <c r="Q769">
        <v>-2.6510607240679107E-2</v>
      </c>
      <c r="R769">
        <f t="shared" si="112"/>
        <v>-3.0074414903266702E-2</v>
      </c>
      <c r="S769">
        <f t="shared" si="113"/>
        <v>3.5638076625875946E-3</v>
      </c>
      <c r="T769">
        <v>3.0161211420960399E-2</v>
      </c>
    </row>
    <row r="770" spans="2:20" x14ac:dyDescent="0.25">
      <c r="B770">
        <f t="shared" si="105"/>
        <v>769</v>
      </c>
      <c r="C770">
        <v>-2.2481422923661398E-2</v>
      </c>
      <c r="D770">
        <f t="shared" si="108"/>
        <v>51.100263022320185</v>
      </c>
      <c r="E770">
        <f t="shared" si="106"/>
        <v>51.100263022320185</v>
      </c>
      <c r="F770">
        <f t="shared" si="107"/>
        <v>-2.8555816507345358E-2</v>
      </c>
      <c r="G770">
        <f t="shared" si="109"/>
        <v>51.214486288349569</v>
      </c>
      <c r="H770">
        <f t="shared" si="110"/>
        <v>6.0743935836839597E-3</v>
      </c>
      <c r="I770">
        <f t="shared" si="111"/>
        <v>51.128818838827527</v>
      </c>
      <c r="P770" s="2">
        <v>45047</v>
      </c>
      <c r="Q770">
        <v>-2.2481422923661398E-2</v>
      </c>
      <c r="R770">
        <f t="shared" si="112"/>
        <v>-2.8555816507345358E-2</v>
      </c>
      <c r="S770">
        <f t="shared" si="113"/>
        <v>6.0743935836839597E-3</v>
      </c>
      <c r="T770">
        <v>2.9643908697416066E-2</v>
      </c>
    </row>
    <row r="771" spans="2:20" x14ac:dyDescent="0.25">
      <c r="B771">
        <f t="shared" si="105"/>
        <v>770</v>
      </c>
      <c r="C771">
        <v>-1.9420774317602252E-2</v>
      </c>
      <c r="D771">
        <f t="shared" si="108"/>
        <v>51.080842248002583</v>
      </c>
      <c r="E771">
        <f t="shared" si="106"/>
        <v>51.080842248002583</v>
      </c>
      <c r="F771">
        <f t="shared" si="107"/>
        <v>-2.6728808069397304E-2</v>
      </c>
      <c r="G771">
        <f t="shared" si="109"/>
        <v>51.187757480280169</v>
      </c>
      <c r="H771">
        <f t="shared" si="110"/>
        <v>7.3080337517950518E-3</v>
      </c>
      <c r="I771">
        <f t="shared" si="111"/>
        <v>51.107571056071983</v>
      </c>
      <c r="P771" s="2">
        <v>45078</v>
      </c>
      <c r="Q771">
        <v>-1.9420774317602252E-2</v>
      </c>
      <c r="R771">
        <f t="shared" si="112"/>
        <v>-2.6728808069397304E-2</v>
      </c>
      <c r="S771">
        <f t="shared" si="113"/>
        <v>7.3080337517950518E-3</v>
      </c>
      <c r="T771">
        <v>2.8569754482858478E-2</v>
      </c>
    </row>
    <row r="772" spans="2:20" x14ac:dyDescent="0.25">
      <c r="B772">
        <f t="shared" ref="B772:B783" si="114">B771+1</f>
        <v>771</v>
      </c>
      <c r="C772">
        <v>-3.2104602237588153E-3</v>
      </c>
      <c r="D772">
        <f t="shared" si="108"/>
        <v>51.077631787778827</v>
      </c>
      <c r="E772">
        <f t="shared" ref="E772:E783" si="115">D772</f>
        <v>51.077631787778827</v>
      </c>
      <c r="F772">
        <f t="shared" ref="F772:F783" si="116">$K$1*(E772-G771)</f>
        <v>-2.2025138500268326E-2</v>
      </c>
      <c r="G772">
        <f t="shared" si="109"/>
        <v>51.165732341779901</v>
      </c>
      <c r="H772">
        <f t="shared" si="110"/>
        <v>1.8814678276509511E-2</v>
      </c>
      <c r="I772">
        <f t="shared" si="111"/>
        <v>51.099656926279096</v>
      </c>
      <c r="P772" s="2">
        <v>45108</v>
      </c>
      <c r="Q772">
        <v>-3.2104602237588153E-3</v>
      </c>
      <c r="R772">
        <f t="shared" si="112"/>
        <v>-2.2025138500268326E-2</v>
      </c>
      <c r="S772">
        <f t="shared" si="113"/>
        <v>1.8814678276509511E-2</v>
      </c>
      <c r="T772">
        <v>2.5500825228600199E-2</v>
      </c>
    </row>
    <row r="773" spans="2:20" x14ac:dyDescent="0.25">
      <c r="B773">
        <f t="shared" si="114"/>
        <v>772</v>
      </c>
      <c r="C773">
        <v>5.6049216106348609E-3</v>
      </c>
      <c r="D773">
        <f t="shared" si="108"/>
        <v>51.08323670938946</v>
      </c>
      <c r="E773">
        <f t="shared" si="115"/>
        <v>51.08323670938946</v>
      </c>
      <c r="F773">
        <f t="shared" si="116"/>
        <v>-1.6499126478088044E-2</v>
      </c>
      <c r="G773">
        <f t="shared" si="109"/>
        <v>51.149233215301813</v>
      </c>
      <c r="H773">
        <f t="shared" si="110"/>
        <v>2.2104048088722905E-2</v>
      </c>
      <c r="I773">
        <f t="shared" si="111"/>
        <v>51.099735835867548</v>
      </c>
      <c r="P773" s="2">
        <v>45139</v>
      </c>
      <c r="Q773">
        <v>5.6049216106348609E-3</v>
      </c>
      <c r="R773">
        <f t="shared" si="112"/>
        <v>-1.6499126478088044E-2</v>
      </c>
      <c r="S773">
        <f t="shared" si="113"/>
        <v>2.2104048088722905E-2</v>
      </c>
      <c r="T773">
        <v>2.2477119945619073E-2</v>
      </c>
    </row>
    <row r="774" spans="2:20" x14ac:dyDescent="0.25">
      <c r="B774">
        <f t="shared" si="114"/>
        <v>773</v>
      </c>
      <c r="C774">
        <v>5.470339635543553E-3</v>
      </c>
      <c r="D774">
        <f t="shared" si="108"/>
        <v>51.088707049025004</v>
      </c>
      <c r="E774">
        <f t="shared" si="115"/>
        <v>51.088707049025004</v>
      </c>
      <c r="F774">
        <f t="shared" si="116"/>
        <v>-1.2105233255361725E-2</v>
      </c>
      <c r="G774">
        <f t="shared" si="109"/>
        <v>51.137127982046451</v>
      </c>
      <c r="H774">
        <f t="shared" si="110"/>
        <v>1.7575572890905278E-2</v>
      </c>
      <c r="I774">
        <f t="shared" si="111"/>
        <v>51.100812282280366</v>
      </c>
      <c r="P774" s="2">
        <v>45170</v>
      </c>
      <c r="Q774">
        <v>5.470339635543553E-3</v>
      </c>
      <c r="R774">
        <f t="shared" si="112"/>
        <v>-1.2105233255361725E-2</v>
      </c>
      <c r="S774">
        <f t="shared" si="113"/>
        <v>1.7575572890905278E-2</v>
      </c>
      <c r="T774">
        <v>1.7230134384217166E-2</v>
      </c>
    </row>
    <row r="775" spans="2:20" x14ac:dyDescent="0.25">
      <c r="B775">
        <f t="shared" si="114"/>
        <v>774</v>
      </c>
      <c r="C775">
        <v>9.7742677408874101E-3</v>
      </c>
      <c r="D775">
        <f t="shared" si="108"/>
        <v>51.098481316765891</v>
      </c>
      <c r="E775">
        <f t="shared" si="115"/>
        <v>51.098481316765891</v>
      </c>
      <c r="F775">
        <f t="shared" si="116"/>
        <v>-7.7293330561118978E-3</v>
      </c>
      <c r="G775">
        <f t="shared" si="109"/>
        <v>51.129398648990339</v>
      </c>
      <c r="H775">
        <f t="shared" si="110"/>
        <v>1.7503600796999308E-2</v>
      </c>
      <c r="I775">
        <f t="shared" si="111"/>
        <v>51.106210649822003</v>
      </c>
      <c r="P775" s="2">
        <v>45200</v>
      </c>
      <c r="Q775">
        <v>9.7742677408874101E-3</v>
      </c>
      <c r="R775">
        <f t="shared" si="112"/>
        <v>-7.7293330561118978E-3</v>
      </c>
      <c r="S775">
        <f t="shared" si="113"/>
        <v>1.7503600796999308E-2</v>
      </c>
      <c r="T775">
        <v>1.6403429586643092E-2</v>
      </c>
    </row>
    <row r="776" spans="2:20" x14ac:dyDescent="0.25">
      <c r="B776">
        <f t="shared" si="114"/>
        <v>775</v>
      </c>
      <c r="C776">
        <v>-4.3232837488424991E-3</v>
      </c>
      <c r="D776">
        <f t="shared" si="108"/>
        <v>51.094158033017052</v>
      </c>
      <c r="E776">
        <f t="shared" si="115"/>
        <v>51.094158033017052</v>
      </c>
      <c r="F776">
        <f t="shared" si="116"/>
        <v>-7.0481231946573075E-3</v>
      </c>
      <c r="G776">
        <f t="shared" si="109"/>
        <v>51.122350525795682</v>
      </c>
      <c r="H776">
        <f t="shared" si="110"/>
        <v>2.7248394458148084E-3</v>
      </c>
      <c r="I776">
        <f t="shared" si="111"/>
        <v>51.10120615621171</v>
      </c>
      <c r="P776" s="2">
        <v>45231</v>
      </c>
      <c r="Q776">
        <f t="shared" ref="Q776:Q783" si="117">C776</f>
        <v>-4.3232837488424991E-3</v>
      </c>
      <c r="R776">
        <f t="shared" si="112"/>
        <v>-7.0481231946573075E-3</v>
      </c>
      <c r="S776">
        <f t="shared" si="113"/>
        <v>2.7248394458148084E-3</v>
      </c>
      <c r="T776">
        <v>1.407558729848013E-2</v>
      </c>
    </row>
    <row r="777" spans="2:20" x14ac:dyDescent="0.25">
      <c r="B777">
        <f t="shared" si="114"/>
        <v>776</v>
      </c>
      <c r="C777">
        <v>-6.2143968856531728E-4</v>
      </c>
      <c r="D777">
        <f t="shared" si="108"/>
        <v>51.093536593328487</v>
      </c>
      <c r="E777">
        <f t="shared" si="115"/>
        <v>51.093536593328487</v>
      </c>
      <c r="F777">
        <f t="shared" si="116"/>
        <v>-5.7627864934389102E-3</v>
      </c>
      <c r="G777">
        <f t="shared" si="109"/>
        <v>51.11658773930224</v>
      </c>
      <c r="H777">
        <f t="shared" si="110"/>
        <v>5.1413468048735929E-3</v>
      </c>
      <c r="I777">
        <f t="shared" si="111"/>
        <v>51.099299379821929</v>
      </c>
      <c r="P777" s="2">
        <v>45261</v>
      </c>
      <c r="Q777">
        <f t="shared" si="117"/>
        <v>-6.2143968856531728E-4</v>
      </c>
      <c r="R777">
        <f t="shared" si="112"/>
        <v>-5.7627864934389102E-3</v>
      </c>
      <c r="S777">
        <f t="shared" si="113"/>
        <v>5.1413468048735929E-3</v>
      </c>
      <c r="T777">
        <v>1.67188077526923E-2</v>
      </c>
    </row>
    <row r="778" spans="2:20" x14ac:dyDescent="0.25">
      <c r="B778">
        <f t="shared" si="114"/>
        <v>777</v>
      </c>
      <c r="C778">
        <v>1.9922295192316142E-3</v>
      </c>
      <c r="D778">
        <f t="shared" si="108"/>
        <v>51.095528822847719</v>
      </c>
      <c r="E778">
        <f t="shared" si="115"/>
        <v>51.095528822847719</v>
      </c>
      <c r="F778">
        <f t="shared" si="116"/>
        <v>-4.2117832909042367E-3</v>
      </c>
      <c r="G778">
        <f t="shared" si="109"/>
        <v>51.112375956011334</v>
      </c>
      <c r="H778">
        <f t="shared" si="110"/>
        <v>6.2040128101358508E-3</v>
      </c>
      <c r="I778">
        <f t="shared" si="111"/>
        <v>51.099740606138624</v>
      </c>
      <c r="P778" s="2">
        <v>45292</v>
      </c>
      <c r="Q778">
        <f t="shared" si="117"/>
        <v>1.9922295192316142E-3</v>
      </c>
      <c r="R778">
        <f t="shared" si="112"/>
        <v>-4.2117832909042367E-3</v>
      </c>
      <c r="S778">
        <f t="shared" si="113"/>
        <v>6.2040128101358508E-3</v>
      </c>
      <c r="T778">
        <v>1.9309534160266928E-2</v>
      </c>
    </row>
    <row r="779" spans="2:20" x14ac:dyDescent="0.25">
      <c r="B779">
        <f t="shared" si="114"/>
        <v>778</v>
      </c>
      <c r="C779">
        <v>2.5872361430376856E-3</v>
      </c>
      <c r="D779">
        <f t="shared" si="108"/>
        <v>51.098116058990755</v>
      </c>
      <c r="E779">
        <f t="shared" si="115"/>
        <v>51.098116058990755</v>
      </c>
      <c r="F779">
        <f t="shared" si="116"/>
        <v>-2.8519794041159232E-3</v>
      </c>
      <c r="G779">
        <f t="shared" si="109"/>
        <v>51.109523976607221</v>
      </c>
      <c r="H779">
        <f t="shared" si="110"/>
        <v>5.4392155471536087E-3</v>
      </c>
      <c r="I779">
        <f t="shared" si="111"/>
        <v>51.100968038394868</v>
      </c>
      <c r="P779" s="2">
        <v>45323</v>
      </c>
      <c r="Q779">
        <f t="shared" si="117"/>
        <v>2.5872361430376856E-3</v>
      </c>
      <c r="R779">
        <f t="shared" si="112"/>
        <v>-2.8519794041159232E-3</v>
      </c>
      <c r="S779">
        <f t="shared" si="113"/>
        <v>5.4392155471536087E-3</v>
      </c>
      <c r="T779">
        <v>2.1327719237691944E-2</v>
      </c>
    </row>
    <row r="780" spans="2:20" x14ac:dyDescent="0.25">
      <c r="B780">
        <f t="shared" si="114"/>
        <v>779</v>
      </c>
      <c r="C780">
        <v>6.3795532104045094E-3</v>
      </c>
      <c r="D780">
        <f t="shared" si="108"/>
        <v>51.104495612201163</v>
      </c>
      <c r="E780">
        <f t="shared" si="115"/>
        <v>51.104495612201163</v>
      </c>
      <c r="F780">
        <f t="shared" si="116"/>
        <v>-1.0056728812116945E-3</v>
      </c>
      <c r="G780">
        <f t="shared" si="109"/>
        <v>51.108518303726008</v>
      </c>
      <c r="H780">
        <f t="shared" si="110"/>
        <v>7.3852260916162041E-3</v>
      </c>
      <c r="I780">
        <f t="shared" si="111"/>
        <v>51.105501285082376</v>
      </c>
      <c r="P780" s="2">
        <v>45352</v>
      </c>
      <c r="Q780">
        <f t="shared" si="117"/>
        <v>6.3795532104045094E-3</v>
      </c>
      <c r="R780">
        <f t="shared" si="112"/>
        <v>-1.0056728812116945E-3</v>
      </c>
      <c r="S780">
        <f t="shared" si="113"/>
        <v>7.3852260916162041E-3</v>
      </c>
      <c r="T780">
        <v>1.7800818183119738E-2</v>
      </c>
    </row>
    <row r="781" spans="2:20" x14ac:dyDescent="0.25">
      <c r="B781">
        <f t="shared" si="114"/>
        <v>780</v>
      </c>
      <c r="C781">
        <v>5.2723650428312396E-3</v>
      </c>
      <c r="D781">
        <f t="shared" si="108"/>
        <v>51.10976797724399</v>
      </c>
      <c r="E781">
        <f t="shared" si="115"/>
        <v>51.10976797724399</v>
      </c>
      <c r="F781">
        <f t="shared" si="116"/>
        <v>2.4993470359646608E-4</v>
      </c>
      <c r="G781">
        <f t="shared" si="109"/>
        <v>51.108768238429604</v>
      </c>
      <c r="H781">
        <f t="shared" si="110"/>
        <v>5.0224303392347736E-3</v>
      </c>
      <c r="I781">
        <f t="shared" si="111"/>
        <v>51.109518042540394</v>
      </c>
      <c r="P781" s="2">
        <v>45383</v>
      </c>
      <c r="Q781">
        <f t="shared" si="117"/>
        <v>5.2723650428312396E-3</v>
      </c>
      <c r="R781">
        <f t="shared" si="112"/>
        <v>2.4993470359646608E-4</v>
      </c>
      <c r="S781">
        <f t="shared" si="113"/>
        <v>5.0224303392347736E-3</v>
      </c>
      <c r="T781">
        <v>1.7442049005504501E-2</v>
      </c>
    </row>
    <row r="782" spans="2:20" x14ac:dyDescent="0.25">
      <c r="B782">
        <f t="shared" si="114"/>
        <v>781</v>
      </c>
      <c r="C782">
        <v>9.6157123309055237E-3</v>
      </c>
      <c r="D782">
        <f t="shared" si="108"/>
        <v>51.119383689574896</v>
      </c>
      <c r="E782">
        <f t="shared" si="115"/>
        <v>51.119383689574896</v>
      </c>
      <c r="F782">
        <f t="shared" si="116"/>
        <v>2.1230902290582778E-3</v>
      </c>
      <c r="G782">
        <f t="shared" si="109"/>
        <v>51.11089132865866</v>
      </c>
      <c r="H782">
        <f t="shared" si="110"/>
        <v>7.4926221018472459E-3</v>
      </c>
      <c r="I782">
        <f t="shared" si="111"/>
        <v>51.11726059934584</v>
      </c>
      <c r="P782" s="2">
        <v>45413</v>
      </c>
      <c r="Q782">
        <f t="shared" si="117"/>
        <v>9.6157123309055237E-3</v>
      </c>
      <c r="R782">
        <f t="shared" si="112"/>
        <v>2.1230902290582778E-3</v>
      </c>
      <c r="S782">
        <f t="shared" si="113"/>
        <v>7.4926221018472459E-3</v>
      </c>
      <c r="T782">
        <v>1.6700386614722618E-2</v>
      </c>
    </row>
    <row r="783" spans="2:20" x14ac:dyDescent="0.25">
      <c r="B783">
        <f t="shared" si="114"/>
        <v>782</v>
      </c>
      <c r="C783">
        <v>1.3445709475799816E-2</v>
      </c>
      <c r="D783">
        <f t="shared" si="108"/>
        <v>51.132829399050692</v>
      </c>
      <c r="E783">
        <f t="shared" si="115"/>
        <v>51.132829399050692</v>
      </c>
      <c r="F783">
        <f t="shared" si="116"/>
        <v>4.3876140784064434E-3</v>
      </c>
      <c r="G783">
        <f t="shared" si="109"/>
        <v>51.115278942737064</v>
      </c>
      <c r="H783">
        <f t="shared" si="110"/>
        <v>9.0580953973933738E-3</v>
      </c>
      <c r="I783">
        <f t="shared" si="111"/>
        <v>51.128441784972289</v>
      </c>
      <c r="P783" s="2">
        <v>45444</v>
      </c>
      <c r="Q783">
        <f t="shared" si="117"/>
        <v>1.3445709475799816E-2</v>
      </c>
      <c r="R783">
        <f t="shared" si="112"/>
        <v>4.3876140784064434E-3</v>
      </c>
      <c r="S783">
        <f t="shared" si="113"/>
        <v>9.0580953973933738E-3</v>
      </c>
      <c r="T783">
        <v>1.9980459426809816E-2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AD7D-C8B4-4787-9AB8-41DA0DDEF9FB}">
  <dimension ref="A1:AG938"/>
  <sheetViews>
    <sheetView tabSelected="1" topLeftCell="A29" workbookViewId="0">
      <selection activeCell="Q42" sqref="Q42"/>
    </sheetView>
  </sheetViews>
  <sheetFormatPr defaultRowHeight="15" x14ac:dyDescent="0.25"/>
  <cols>
    <col min="15" max="15" width="9.140625" style="3"/>
    <col min="16" max="16" width="16.5703125" style="3" customWidth="1"/>
    <col min="17" max="17" width="9.140625" style="4"/>
    <col min="30" max="30" width="9.42578125" style="2" bestFit="1" customWidth="1"/>
  </cols>
  <sheetData>
    <row r="1" spans="1:33" x14ac:dyDescent="0.25">
      <c r="A1" t="s">
        <v>18</v>
      </c>
      <c r="I1" t="s">
        <v>24</v>
      </c>
      <c r="P1" s="3" t="s">
        <v>4</v>
      </c>
      <c r="U1" t="s">
        <v>13</v>
      </c>
      <c r="AB1" t="s">
        <v>18</v>
      </c>
      <c r="AD1" s="2" t="s">
        <v>39</v>
      </c>
      <c r="AE1" t="s">
        <v>40</v>
      </c>
      <c r="AG1" t="s">
        <v>4</v>
      </c>
    </row>
    <row r="2" spans="1:33" x14ac:dyDescent="0.25">
      <c r="A2" s="2" t="s">
        <v>5</v>
      </c>
      <c r="B2" t="s">
        <v>19</v>
      </c>
      <c r="G2" s="2"/>
      <c r="I2" t="s">
        <v>5</v>
      </c>
      <c r="J2" t="s">
        <v>25</v>
      </c>
      <c r="L2" s="2"/>
      <c r="P2" s="3" t="s">
        <v>5</v>
      </c>
      <c r="Q2" s="4" t="s">
        <v>6</v>
      </c>
      <c r="U2" t="s">
        <v>5</v>
      </c>
      <c r="V2" t="s">
        <v>14</v>
      </c>
      <c r="AD2" s="2">
        <v>17533</v>
      </c>
      <c r="AE2">
        <v>9.7508540375141006E-2</v>
      </c>
    </row>
    <row r="3" spans="1:33" x14ac:dyDescent="0.25">
      <c r="A3" s="2" t="s">
        <v>20</v>
      </c>
      <c r="B3" t="s">
        <v>21</v>
      </c>
      <c r="G3" s="2"/>
      <c r="I3" t="s">
        <v>20</v>
      </c>
      <c r="J3" t="s">
        <v>21</v>
      </c>
      <c r="L3" s="2"/>
      <c r="P3" s="3" t="s">
        <v>1</v>
      </c>
      <c r="Q3" s="4" t="s">
        <v>7</v>
      </c>
      <c r="U3" t="s">
        <v>1</v>
      </c>
      <c r="V3" t="s">
        <v>7</v>
      </c>
      <c r="AD3" s="2">
        <v>17564</v>
      </c>
      <c r="AE3">
        <v>9.0589611314830343E-2</v>
      </c>
    </row>
    <row r="4" spans="1:33" x14ac:dyDescent="0.25">
      <c r="A4" s="2">
        <v>17168</v>
      </c>
      <c r="B4" t="s">
        <v>22</v>
      </c>
      <c r="G4" s="2"/>
      <c r="I4" s="2">
        <v>17899</v>
      </c>
      <c r="J4" t="s">
        <v>26</v>
      </c>
      <c r="L4" s="2"/>
      <c r="P4" s="3">
        <v>21551</v>
      </c>
      <c r="Q4" s="4" t="s">
        <v>38</v>
      </c>
      <c r="U4" s="2">
        <v>17168</v>
      </c>
      <c r="V4" t="s">
        <v>15</v>
      </c>
      <c r="AD4" s="2">
        <v>17593</v>
      </c>
      <c r="AE4">
        <v>6.5957967791797412E-2</v>
      </c>
    </row>
    <row r="5" spans="1:33" x14ac:dyDescent="0.25">
      <c r="A5" s="2" t="s">
        <v>23</v>
      </c>
      <c r="G5" s="2"/>
      <c r="I5" t="s">
        <v>27</v>
      </c>
      <c r="L5" s="2"/>
      <c r="P5" s="3" t="s">
        <v>8</v>
      </c>
      <c r="U5" t="s">
        <v>16</v>
      </c>
      <c r="AD5" s="2">
        <v>17624</v>
      </c>
      <c r="AE5">
        <v>7.9483110568837834E-2</v>
      </c>
    </row>
    <row r="6" spans="1:33" x14ac:dyDescent="0.25">
      <c r="A6" s="2" t="s">
        <v>9</v>
      </c>
      <c r="G6" s="2"/>
      <c r="I6" t="s">
        <v>28</v>
      </c>
      <c r="L6" s="2"/>
      <c r="P6" s="3" t="s">
        <v>10</v>
      </c>
      <c r="U6" t="s">
        <v>17</v>
      </c>
      <c r="AD6" s="2">
        <v>17654</v>
      </c>
      <c r="AE6">
        <v>8.9703270711981808E-2</v>
      </c>
    </row>
    <row r="7" spans="1:33" x14ac:dyDescent="0.25">
      <c r="A7" s="2" t="s">
        <v>11</v>
      </c>
      <c r="B7" t="s">
        <v>12</v>
      </c>
      <c r="G7" s="2"/>
      <c r="I7" t="s">
        <v>11</v>
      </c>
      <c r="J7" t="s">
        <v>12</v>
      </c>
      <c r="L7" s="2"/>
      <c r="P7" s="3" t="s">
        <v>11</v>
      </c>
      <c r="Q7" s="4" t="s">
        <v>12</v>
      </c>
      <c r="R7" s="1" t="s">
        <v>29</v>
      </c>
      <c r="U7" t="s">
        <v>11</v>
      </c>
      <c r="V7" t="s">
        <v>12</v>
      </c>
      <c r="AD7" s="2">
        <v>17685</v>
      </c>
      <c r="AE7">
        <v>8.9612158689687416E-2</v>
      </c>
    </row>
    <row r="8" spans="1:33" x14ac:dyDescent="0.25">
      <c r="A8" s="2">
        <v>17168</v>
      </c>
      <c r="B8">
        <v>2182.681</v>
      </c>
      <c r="G8" s="2"/>
      <c r="I8" s="2">
        <v>17899</v>
      </c>
      <c r="J8">
        <v>2256.0845794522102</v>
      </c>
      <c r="L8" s="2"/>
      <c r="P8" s="2">
        <v>21551</v>
      </c>
      <c r="Q8">
        <v>286.60000000000002</v>
      </c>
      <c r="U8" s="2">
        <v>17168</v>
      </c>
      <c r="V8">
        <v>21.48</v>
      </c>
      <c r="AD8" s="2">
        <v>17715</v>
      </c>
      <c r="AE8">
        <v>9.314040432305104E-2</v>
      </c>
    </row>
    <row r="9" spans="1:33" x14ac:dyDescent="0.25">
      <c r="A9" s="2">
        <v>17258</v>
      </c>
      <c r="B9">
        <v>2176.8919999999998</v>
      </c>
      <c r="G9" s="2"/>
      <c r="I9" s="2">
        <v>17989</v>
      </c>
      <c r="J9">
        <v>2288.0797447343198</v>
      </c>
      <c r="L9" s="2"/>
      <c r="P9" s="2">
        <v>21582</v>
      </c>
      <c r="Q9">
        <v>287.7</v>
      </c>
      <c r="U9" s="2">
        <v>17199</v>
      </c>
      <c r="V9">
        <v>21.62</v>
      </c>
      <c r="AD9" s="2">
        <v>17746</v>
      </c>
      <c r="AE9">
        <v>8.6750926408655005E-2</v>
      </c>
    </row>
    <row r="10" spans="1:33" x14ac:dyDescent="0.25">
      <c r="A10" s="2">
        <v>17349</v>
      </c>
      <c r="B10">
        <v>2172.4319999999998</v>
      </c>
      <c r="G10" s="2"/>
      <c r="I10" s="2">
        <v>18080</v>
      </c>
      <c r="J10">
        <v>2321.2327380687602</v>
      </c>
      <c r="L10" s="2"/>
      <c r="P10" s="2">
        <v>21610</v>
      </c>
      <c r="Q10">
        <v>289.2</v>
      </c>
      <c r="U10" s="2">
        <v>17227</v>
      </c>
      <c r="V10">
        <v>22</v>
      </c>
      <c r="AD10" s="2">
        <v>17777</v>
      </c>
      <c r="AE10">
        <v>6.4429058053886656E-2</v>
      </c>
    </row>
    <row r="11" spans="1:33" x14ac:dyDescent="0.25">
      <c r="A11" s="2">
        <v>17441</v>
      </c>
      <c r="B11">
        <v>2206.4520000000002</v>
      </c>
      <c r="G11" s="2"/>
      <c r="I11" s="2">
        <v>18172</v>
      </c>
      <c r="J11">
        <v>2352.5031451065902</v>
      </c>
      <c r="L11" s="2"/>
      <c r="P11" s="2">
        <v>21641</v>
      </c>
      <c r="Q11">
        <v>290.10000000000002</v>
      </c>
      <c r="U11" s="2">
        <v>17258</v>
      </c>
      <c r="V11">
        <v>22</v>
      </c>
      <c r="AD11" s="2">
        <v>17807</v>
      </c>
      <c r="AE11">
        <v>5.9314291862627488E-2</v>
      </c>
    </row>
    <row r="12" spans="1:33" x14ac:dyDescent="0.25">
      <c r="A12" s="2">
        <v>17533</v>
      </c>
      <c r="B12">
        <v>2239.6819999999998</v>
      </c>
      <c r="G12" s="2"/>
      <c r="I12" s="2">
        <v>18264</v>
      </c>
      <c r="J12">
        <v>2384.6624364356899</v>
      </c>
      <c r="L12" s="2"/>
      <c r="P12" s="2">
        <v>21671</v>
      </c>
      <c r="Q12">
        <v>292.2</v>
      </c>
      <c r="U12" s="2">
        <v>17288</v>
      </c>
      <c r="V12">
        <v>21.95</v>
      </c>
      <c r="AD12" s="2">
        <v>17838</v>
      </c>
      <c r="AE12">
        <v>4.659885822570109E-2</v>
      </c>
    </row>
    <row r="13" spans="1:33" x14ac:dyDescent="0.25">
      <c r="A13" s="2">
        <v>17624</v>
      </c>
      <c r="B13">
        <v>2276.69</v>
      </c>
      <c r="G13" s="2"/>
      <c r="I13" s="2">
        <v>18354</v>
      </c>
      <c r="J13">
        <v>2415.88053555345</v>
      </c>
      <c r="L13" s="2"/>
      <c r="P13" s="2">
        <v>21702</v>
      </c>
      <c r="Q13">
        <v>294.10000000000002</v>
      </c>
      <c r="U13" s="2">
        <v>17319</v>
      </c>
      <c r="V13">
        <v>22.08</v>
      </c>
      <c r="AD13" s="2">
        <v>17868</v>
      </c>
      <c r="AE13">
        <v>2.6971715048950795E-2</v>
      </c>
    </row>
    <row r="14" spans="1:33" x14ac:dyDescent="0.25">
      <c r="A14" s="2">
        <v>17715</v>
      </c>
      <c r="B14">
        <v>2289.77</v>
      </c>
      <c r="G14" s="2"/>
      <c r="I14" s="2">
        <v>18445</v>
      </c>
      <c r="J14">
        <v>2446.3877187181902</v>
      </c>
      <c r="L14" s="2"/>
      <c r="P14" s="2">
        <v>21732</v>
      </c>
      <c r="Q14">
        <v>295.2</v>
      </c>
      <c r="U14" s="2">
        <v>17349</v>
      </c>
      <c r="V14">
        <v>22.23</v>
      </c>
      <c r="AD14" s="2">
        <v>17899</v>
      </c>
      <c r="AE14">
        <v>1.3839600217357084E-2</v>
      </c>
    </row>
    <row r="15" spans="1:33" x14ac:dyDescent="0.25">
      <c r="A15" s="2">
        <v>17807</v>
      </c>
      <c r="B15">
        <v>2292.364</v>
      </c>
      <c r="G15" s="2"/>
      <c r="I15" s="2">
        <v>18537</v>
      </c>
      <c r="J15">
        <v>2477.6714444394102</v>
      </c>
      <c r="L15" s="2"/>
      <c r="P15" s="2">
        <v>21763</v>
      </c>
      <c r="Q15">
        <v>296.39999999999998</v>
      </c>
      <c r="U15" s="2">
        <v>17380</v>
      </c>
      <c r="V15">
        <v>22.4</v>
      </c>
      <c r="AD15" s="2">
        <v>17930</v>
      </c>
      <c r="AE15">
        <v>1.0088357944340931E-2</v>
      </c>
    </row>
    <row r="16" spans="1:33" x14ac:dyDescent="0.25">
      <c r="A16" s="2">
        <v>17899</v>
      </c>
      <c r="B16">
        <v>2260.8069999999998</v>
      </c>
      <c r="G16" s="2"/>
      <c r="I16" s="2">
        <v>18629</v>
      </c>
      <c r="J16">
        <v>2509.0609511886701</v>
      </c>
      <c r="L16" s="2"/>
      <c r="P16" s="2">
        <v>21794</v>
      </c>
      <c r="Q16">
        <v>296.7</v>
      </c>
      <c r="U16" s="2">
        <v>17411</v>
      </c>
      <c r="V16">
        <v>22.84</v>
      </c>
      <c r="AD16" s="2">
        <v>17958</v>
      </c>
      <c r="AE16">
        <v>1.7296360320119941E-2</v>
      </c>
    </row>
    <row r="17" spans="1:31" x14ac:dyDescent="0.25">
      <c r="A17" s="2">
        <v>17989</v>
      </c>
      <c r="B17">
        <v>2253.1280000000002</v>
      </c>
      <c r="G17" s="2"/>
      <c r="I17" s="2">
        <v>18719</v>
      </c>
      <c r="J17">
        <v>2540.4186636221102</v>
      </c>
      <c r="L17" s="2"/>
      <c r="P17" s="2">
        <v>21824</v>
      </c>
      <c r="Q17">
        <v>296.5</v>
      </c>
      <c r="U17" s="2">
        <v>17441</v>
      </c>
      <c r="V17">
        <v>22.91</v>
      </c>
      <c r="AD17" s="2">
        <v>17989</v>
      </c>
      <c r="AE17">
        <v>4.189365155277347E-3</v>
      </c>
    </row>
    <row r="18" spans="1:31" x14ac:dyDescent="0.25">
      <c r="A18" s="2">
        <v>18080</v>
      </c>
      <c r="B18">
        <v>2276.424</v>
      </c>
      <c r="G18" s="2"/>
      <c r="I18" s="2">
        <v>18810</v>
      </c>
      <c r="J18">
        <v>2573.5731939461698</v>
      </c>
      <c r="L18" s="2"/>
      <c r="P18" s="2">
        <v>21855</v>
      </c>
      <c r="Q18">
        <v>297.10000000000002</v>
      </c>
      <c r="U18" s="2">
        <v>17472</v>
      </c>
      <c r="V18">
        <v>23.06</v>
      </c>
      <c r="AD18" s="2">
        <v>18019</v>
      </c>
      <c r="AE18">
        <v>-4.173628762928594E-3</v>
      </c>
    </row>
    <row r="19" spans="1:31" x14ac:dyDescent="0.25">
      <c r="A19" s="2">
        <v>18172</v>
      </c>
      <c r="B19">
        <v>2257.3519999999999</v>
      </c>
      <c r="G19" s="2"/>
      <c r="I19" s="2">
        <v>18902</v>
      </c>
      <c r="J19">
        <v>2609.00850855832</v>
      </c>
      <c r="L19" s="2"/>
      <c r="P19" s="2">
        <v>21885</v>
      </c>
      <c r="Q19">
        <v>297.8</v>
      </c>
      <c r="U19" s="2">
        <v>17502</v>
      </c>
      <c r="V19">
        <v>23.41</v>
      </c>
      <c r="Z19" t="s">
        <v>42</v>
      </c>
      <c r="AA19" t="s">
        <v>43</v>
      </c>
      <c r="AD19" s="2">
        <v>18050</v>
      </c>
      <c r="AE19">
        <v>-9.5694510161505875E-3</v>
      </c>
    </row>
    <row r="20" spans="1:31" x14ac:dyDescent="0.25">
      <c r="A20" s="2">
        <v>18264</v>
      </c>
      <c r="B20">
        <v>2346.1039999999998</v>
      </c>
      <c r="G20" s="2"/>
      <c r="I20" s="2">
        <v>18994</v>
      </c>
      <c r="J20">
        <v>2646.2990340311899</v>
      </c>
      <c r="L20" s="2"/>
      <c r="P20" s="2">
        <v>21916</v>
      </c>
      <c r="Q20">
        <v>298.2</v>
      </c>
      <c r="R20">
        <f t="shared" ref="R20:R83" si="0">LN(Q20)-LN(Q8)</f>
        <v>3.9676886936566902E-2</v>
      </c>
      <c r="U20" s="2">
        <v>17533</v>
      </c>
      <c r="V20">
        <v>23.68</v>
      </c>
      <c r="W20">
        <f t="shared" ref="W20:W83" si="1">LN(V20)-LN(V8)</f>
        <v>9.7508540375141006E-2</v>
      </c>
      <c r="Y20" s="2">
        <f>P20</f>
        <v>21916</v>
      </c>
      <c r="Z20">
        <f>R20</f>
        <v>3.9676886936566902E-2</v>
      </c>
      <c r="AA20">
        <f>W20</f>
        <v>9.7508540375141006E-2</v>
      </c>
      <c r="AD20" s="2">
        <v>18080</v>
      </c>
      <c r="AE20">
        <v>-2.9108084158070646E-2</v>
      </c>
    </row>
    <row r="21" spans="1:31" x14ac:dyDescent="0.25">
      <c r="A21" s="2">
        <v>18354</v>
      </c>
      <c r="B21">
        <v>2417.6819999999998</v>
      </c>
      <c r="G21" s="2"/>
      <c r="I21" s="2">
        <v>19085</v>
      </c>
      <c r="J21">
        <v>2686.99442978564</v>
      </c>
      <c r="L21" s="2"/>
      <c r="P21" s="2">
        <v>21947</v>
      </c>
      <c r="Q21">
        <v>298.39999999999998</v>
      </c>
      <c r="R21">
        <f t="shared" si="0"/>
        <v>3.6516597772102699E-2</v>
      </c>
      <c r="U21" s="2">
        <v>17564</v>
      </c>
      <c r="V21">
        <v>23.67</v>
      </c>
      <c r="W21">
        <f t="shared" si="1"/>
        <v>9.0589611314830343E-2</v>
      </c>
      <c r="Y21" s="2">
        <f t="shared" ref="Y21:Y84" si="2">P21</f>
        <v>21947</v>
      </c>
      <c r="Z21">
        <f t="shared" ref="Z21:Z84" si="3">R21</f>
        <v>3.6516597772102699E-2</v>
      </c>
      <c r="AA21">
        <f t="shared" ref="AA21:AA84" si="4">W21</f>
        <v>9.0589611314830343E-2</v>
      </c>
      <c r="AD21" s="2">
        <v>18111</v>
      </c>
      <c r="AE21">
        <v>-3.0336837128563499E-2</v>
      </c>
    </row>
    <row r="22" spans="1:31" x14ac:dyDescent="0.25">
      <c r="A22" s="2">
        <v>18445</v>
      </c>
      <c r="B22">
        <v>2511.127</v>
      </c>
      <c r="G22" s="2"/>
      <c r="I22" s="2">
        <v>19176</v>
      </c>
      <c r="J22">
        <v>2726.1247823284498</v>
      </c>
      <c r="L22" s="2"/>
      <c r="P22" s="2">
        <v>21976</v>
      </c>
      <c r="Q22">
        <v>299.3</v>
      </c>
      <c r="R22">
        <f t="shared" si="0"/>
        <v>3.4327924574043323E-2</v>
      </c>
      <c r="U22" s="2">
        <v>17593</v>
      </c>
      <c r="V22">
        <v>23.5</v>
      </c>
      <c r="W22">
        <f t="shared" si="1"/>
        <v>6.5957967791797412E-2</v>
      </c>
      <c r="Y22" s="2">
        <f t="shared" si="2"/>
        <v>21976</v>
      </c>
      <c r="Z22">
        <f t="shared" si="3"/>
        <v>3.4327924574043323E-2</v>
      </c>
      <c r="AA22">
        <f t="shared" si="4"/>
        <v>6.5957967791797412E-2</v>
      </c>
      <c r="AD22" s="2">
        <v>18142</v>
      </c>
      <c r="AE22">
        <v>-2.5359912361045733E-2</v>
      </c>
    </row>
    <row r="23" spans="1:31" x14ac:dyDescent="0.25">
      <c r="A23" s="2">
        <v>18537</v>
      </c>
      <c r="B23">
        <v>2559.2139999999999</v>
      </c>
      <c r="G23" s="2"/>
      <c r="I23" s="2">
        <v>19268</v>
      </c>
      <c r="J23">
        <v>2763.1611323215802</v>
      </c>
      <c r="L23" s="2"/>
      <c r="P23" s="2">
        <v>22007</v>
      </c>
      <c r="Q23">
        <v>300.10000000000002</v>
      </c>
      <c r="R23">
        <f t="shared" si="0"/>
        <v>3.3890061318962772E-2</v>
      </c>
      <c r="U23" s="2">
        <v>17624</v>
      </c>
      <c r="V23">
        <v>23.82</v>
      </c>
      <c r="W23">
        <f t="shared" si="1"/>
        <v>7.9483110568837834E-2</v>
      </c>
      <c r="Y23" s="2">
        <f t="shared" si="2"/>
        <v>22007</v>
      </c>
      <c r="Z23">
        <f t="shared" si="3"/>
        <v>3.3890061318962772E-2</v>
      </c>
      <c r="AA23">
        <f t="shared" si="4"/>
        <v>7.9483110568837834E-2</v>
      </c>
      <c r="AD23" s="2">
        <v>18172</v>
      </c>
      <c r="AE23">
        <v>-2.6679364802139283E-2</v>
      </c>
    </row>
    <row r="24" spans="1:31" x14ac:dyDescent="0.25">
      <c r="A24" s="2">
        <v>18629</v>
      </c>
      <c r="B24">
        <v>2593.9670000000001</v>
      </c>
      <c r="G24" s="2"/>
      <c r="I24" s="2">
        <v>19360</v>
      </c>
      <c r="J24">
        <v>2795.84264388258</v>
      </c>
      <c r="L24" s="2"/>
      <c r="P24" s="2">
        <v>22037</v>
      </c>
      <c r="Q24">
        <v>300.89999999999998</v>
      </c>
      <c r="R24">
        <f t="shared" si="0"/>
        <v>2.9339484319399922E-2</v>
      </c>
      <c r="U24" s="2">
        <v>17654</v>
      </c>
      <c r="V24">
        <v>24.01</v>
      </c>
      <c r="W24">
        <f t="shared" si="1"/>
        <v>8.9703270711981808E-2</v>
      </c>
      <c r="Y24" s="2">
        <f t="shared" si="2"/>
        <v>22037</v>
      </c>
      <c r="Z24">
        <f t="shared" si="3"/>
        <v>2.9339484319399922E-2</v>
      </c>
      <c r="AA24">
        <f t="shared" si="4"/>
        <v>8.9703270711981808E-2</v>
      </c>
      <c r="AD24" s="2">
        <v>18203</v>
      </c>
      <c r="AE24">
        <v>-1.9223324925528473E-2</v>
      </c>
    </row>
    <row r="25" spans="1:31" x14ac:dyDescent="0.25">
      <c r="A25" s="2">
        <v>18719</v>
      </c>
      <c r="B25">
        <v>2638.8980000000001</v>
      </c>
      <c r="G25" s="2"/>
      <c r="I25" s="2">
        <v>19450</v>
      </c>
      <c r="J25">
        <v>2824.54916693731</v>
      </c>
      <c r="L25" s="2"/>
      <c r="P25" s="2">
        <v>22068</v>
      </c>
      <c r="Q25">
        <v>302.3</v>
      </c>
      <c r="R25">
        <f t="shared" si="0"/>
        <v>2.7500056225463254E-2</v>
      </c>
      <c r="U25" s="2">
        <v>17685</v>
      </c>
      <c r="V25">
        <v>24.15</v>
      </c>
      <c r="W25">
        <f t="shared" si="1"/>
        <v>8.9612158689687416E-2</v>
      </c>
      <c r="Y25" s="2">
        <f t="shared" si="2"/>
        <v>22068</v>
      </c>
      <c r="Z25">
        <f t="shared" si="3"/>
        <v>2.7500056225463254E-2</v>
      </c>
      <c r="AA25">
        <f t="shared" si="4"/>
        <v>8.9612158689687416E-2</v>
      </c>
      <c r="AD25" s="2">
        <v>18233</v>
      </c>
      <c r="AE25">
        <v>-1.8464645454348894E-2</v>
      </c>
    </row>
    <row r="26" spans="1:31" x14ac:dyDescent="0.25">
      <c r="A26" s="2">
        <v>18810</v>
      </c>
      <c r="B26">
        <v>2693.259</v>
      </c>
      <c r="G26" s="2"/>
      <c r="I26" s="2">
        <v>19541</v>
      </c>
      <c r="J26">
        <v>2848.9003401564801</v>
      </c>
      <c r="L26" s="2"/>
      <c r="P26" s="2">
        <v>22098</v>
      </c>
      <c r="Q26">
        <v>304.10000000000002</v>
      </c>
      <c r="R26">
        <f t="shared" si="0"/>
        <v>2.9703501957001777E-2</v>
      </c>
      <c r="U26" s="2">
        <v>17715</v>
      </c>
      <c r="V26">
        <v>24.4</v>
      </c>
      <c r="W26">
        <f t="shared" si="1"/>
        <v>9.314040432305104E-2</v>
      </c>
      <c r="Y26" s="2">
        <f t="shared" si="2"/>
        <v>22098</v>
      </c>
      <c r="Z26">
        <f t="shared" si="3"/>
        <v>2.9703501957001777E-2</v>
      </c>
      <c r="AA26">
        <f t="shared" si="4"/>
        <v>9.314040432305104E-2</v>
      </c>
      <c r="AD26" s="2">
        <v>18264</v>
      </c>
      <c r="AE26">
        <v>-2.1044547681183801E-2</v>
      </c>
    </row>
    <row r="27" spans="1:31" x14ac:dyDescent="0.25">
      <c r="A27" s="2">
        <v>18902</v>
      </c>
      <c r="B27">
        <v>2699.1559999999999</v>
      </c>
      <c r="G27" s="2"/>
      <c r="I27" s="2">
        <v>19633</v>
      </c>
      <c r="J27">
        <v>2869.7430233376799</v>
      </c>
      <c r="L27" s="2"/>
      <c r="P27" s="2">
        <v>22129</v>
      </c>
      <c r="Q27">
        <v>306.89999999999998</v>
      </c>
      <c r="R27">
        <f t="shared" si="0"/>
        <v>3.4812068203758706E-2</v>
      </c>
      <c r="U27" s="2">
        <v>17746</v>
      </c>
      <c r="V27">
        <v>24.43</v>
      </c>
      <c r="W27">
        <f t="shared" si="1"/>
        <v>8.6750926408655005E-2</v>
      </c>
      <c r="Y27" s="2">
        <f t="shared" si="2"/>
        <v>22129</v>
      </c>
      <c r="Z27">
        <f t="shared" si="3"/>
        <v>3.4812068203758706E-2</v>
      </c>
      <c r="AA27">
        <f t="shared" si="4"/>
        <v>8.6750926408655005E-2</v>
      </c>
      <c r="AD27" s="2">
        <v>18295</v>
      </c>
      <c r="AE27">
        <v>-1.2626430372812081E-2</v>
      </c>
    </row>
    <row r="28" spans="1:31" x14ac:dyDescent="0.25">
      <c r="A28" s="2">
        <v>18994</v>
      </c>
      <c r="B28">
        <v>2727.9540000000002</v>
      </c>
      <c r="G28" s="2"/>
      <c r="I28" s="2">
        <v>19725</v>
      </c>
      <c r="J28">
        <v>2889.09720981706</v>
      </c>
      <c r="L28" s="2"/>
      <c r="P28" s="2">
        <v>22160</v>
      </c>
      <c r="Q28">
        <v>308.39999999999998</v>
      </c>
      <c r="R28">
        <f t="shared" si="0"/>
        <v>3.8676114392398375E-2</v>
      </c>
      <c r="U28" s="2">
        <v>17777</v>
      </c>
      <c r="V28">
        <v>24.36</v>
      </c>
      <c r="W28">
        <f t="shared" si="1"/>
        <v>6.4429058053886656E-2</v>
      </c>
      <c r="Y28" s="2">
        <f t="shared" si="2"/>
        <v>22160</v>
      </c>
      <c r="Z28">
        <f t="shared" si="3"/>
        <v>3.8676114392398375E-2</v>
      </c>
      <c r="AA28">
        <f t="shared" si="4"/>
        <v>6.4429058053886656E-2</v>
      </c>
      <c r="AD28" s="2">
        <v>18323</v>
      </c>
      <c r="AE28">
        <v>-1.1356588932335931E-2</v>
      </c>
    </row>
    <row r="29" spans="1:31" x14ac:dyDescent="0.25">
      <c r="A29" s="2">
        <v>19085</v>
      </c>
      <c r="B29">
        <v>2733.8</v>
      </c>
      <c r="G29" s="2"/>
      <c r="I29" s="2">
        <v>19815</v>
      </c>
      <c r="J29">
        <v>2906.8303024884699</v>
      </c>
      <c r="L29" s="2"/>
      <c r="P29" s="2">
        <v>22190</v>
      </c>
      <c r="Q29">
        <v>309.5</v>
      </c>
      <c r="R29">
        <f t="shared" si="0"/>
        <v>4.291087368687041E-2</v>
      </c>
      <c r="U29" s="2">
        <v>17807</v>
      </c>
      <c r="V29">
        <v>24.31</v>
      </c>
      <c r="W29">
        <f t="shared" si="1"/>
        <v>5.9314291862627488E-2</v>
      </c>
      <c r="Y29" s="2">
        <f t="shared" si="2"/>
        <v>22190</v>
      </c>
      <c r="Z29">
        <f t="shared" si="3"/>
        <v>4.291087368687041E-2</v>
      </c>
      <c r="AA29">
        <f t="shared" si="4"/>
        <v>5.9314291862627488E-2</v>
      </c>
      <c r="AD29" s="2">
        <v>18354</v>
      </c>
      <c r="AE29">
        <v>-1.1351814144489492E-2</v>
      </c>
    </row>
    <row r="30" spans="1:31" x14ac:dyDescent="0.25">
      <c r="A30" s="2">
        <v>19176</v>
      </c>
      <c r="B30">
        <v>2753.5169999999998</v>
      </c>
      <c r="G30" s="2"/>
      <c r="I30" s="2">
        <v>19906</v>
      </c>
      <c r="J30">
        <v>2923.97491798389</v>
      </c>
      <c r="L30" s="2"/>
      <c r="P30" s="2">
        <v>22221</v>
      </c>
      <c r="Q30">
        <v>310.89999999999998</v>
      </c>
      <c r="R30">
        <f t="shared" si="0"/>
        <v>4.5402534596146182E-2</v>
      </c>
      <c r="U30" s="2">
        <v>17838</v>
      </c>
      <c r="V30">
        <v>24.16</v>
      </c>
      <c r="W30">
        <f t="shared" si="1"/>
        <v>4.659885822570109E-2</v>
      </c>
      <c r="Y30" s="2">
        <f t="shared" si="2"/>
        <v>22221</v>
      </c>
      <c r="Z30">
        <f t="shared" si="3"/>
        <v>4.5402534596146182E-2</v>
      </c>
      <c r="AA30">
        <f t="shared" si="4"/>
        <v>4.659885822570109E-2</v>
      </c>
      <c r="AD30" s="2">
        <v>18384</v>
      </c>
      <c r="AE30">
        <v>-5.872500098131006E-3</v>
      </c>
    </row>
    <row r="31" spans="1:31" x14ac:dyDescent="0.25">
      <c r="A31" s="2">
        <v>19268</v>
      </c>
      <c r="B31">
        <v>2843.9409999999998</v>
      </c>
      <c r="G31" s="2"/>
      <c r="I31" s="2">
        <v>19998</v>
      </c>
      <c r="J31">
        <v>2941.999752878</v>
      </c>
      <c r="L31" s="2"/>
      <c r="P31" s="2">
        <v>22251</v>
      </c>
      <c r="Q31">
        <v>312.39999999999998</v>
      </c>
      <c r="R31">
        <f t="shared" si="0"/>
        <v>4.7862297715622226E-2</v>
      </c>
      <c r="U31" s="2">
        <v>17868</v>
      </c>
      <c r="V31">
        <v>24.05</v>
      </c>
      <c r="W31">
        <f t="shared" si="1"/>
        <v>2.6971715048950795E-2</v>
      </c>
      <c r="Y31" s="2">
        <f t="shared" si="2"/>
        <v>22251</v>
      </c>
      <c r="Z31">
        <f t="shared" si="3"/>
        <v>4.7862297715622226E-2</v>
      </c>
      <c r="AA31">
        <f t="shared" si="4"/>
        <v>2.6971715048950795E-2</v>
      </c>
      <c r="AD31" s="2">
        <v>18415</v>
      </c>
      <c r="AE31">
        <v>-1.6736405580299873E-3</v>
      </c>
    </row>
    <row r="32" spans="1:31" x14ac:dyDescent="0.25">
      <c r="A32" s="2">
        <v>19360</v>
      </c>
      <c r="B32">
        <v>2896.8110000000001</v>
      </c>
      <c r="G32" s="2"/>
      <c r="I32" s="2">
        <v>20090</v>
      </c>
      <c r="J32">
        <v>2959.77619963806</v>
      </c>
      <c r="L32" s="2"/>
      <c r="P32" s="2">
        <v>22282</v>
      </c>
      <c r="Q32">
        <v>314.10000000000002</v>
      </c>
      <c r="R32">
        <f t="shared" si="0"/>
        <v>5.19470042139627E-2</v>
      </c>
      <c r="U32" s="2">
        <v>17899</v>
      </c>
      <c r="V32">
        <v>24.01</v>
      </c>
      <c r="W32">
        <f t="shared" si="1"/>
        <v>1.3839600217357084E-2</v>
      </c>
      <c r="Y32" s="2">
        <f t="shared" si="2"/>
        <v>22282</v>
      </c>
      <c r="Z32">
        <f t="shared" si="3"/>
        <v>5.19470042139627E-2</v>
      </c>
      <c r="AA32">
        <f t="shared" si="4"/>
        <v>1.3839600217357084E-2</v>
      </c>
      <c r="AD32" s="2">
        <v>18445</v>
      </c>
      <c r="AE32">
        <v>1.5491203653895003E-2</v>
      </c>
    </row>
    <row r="33" spans="1:31" x14ac:dyDescent="0.25">
      <c r="A33" s="2">
        <v>19450</v>
      </c>
      <c r="B33">
        <v>2919.2060000000001</v>
      </c>
      <c r="G33" s="2"/>
      <c r="I33" s="2">
        <v>20180</v>
      </c>
      <c r="J33">
        <v>2979.0620966516599</v>
      </c>
      <c r="L33" s="2"/>
      <c r="P33" s="2">
        <v>22313</v>
      </c>
      <c r="Q33">
        <v>316.5</v>
      </c>
      <c r="R33">
        <f t="shared" si="0"/>
        <v>5.8888373254625925E-2</v>
      </c>
      <c r="U33" s="2">
        <v>17930</v>
      </c>
      <c r="V33">
        <v>23.91</v>
      </c>
      <c r="W33">
        <f t="shared" si="1"/>
        <v>1.0088357944340931E-2</v>
      </c>
      <c r="Y33" s="2">
        <f t="shared" si="2"/>
        <v>22313</v>
      </c>
      <c r="Z33">
        <f t="shared" si="3"/>
        <v>5.8888373254625925E-2</v>
      </c>
      <c r="AA33">
        <f t="shared" si="4"/>
        <v>1.0088357944340931E-2</v>
      </c>
      <c r="AD33" s="2">
        <v>18476</v>
      </c>
      <c r="AE33">
        <v>2.0877585021555234E-2</v>
      </c>
    </row>
    <row r="34" spans="1:31" x14ac:dyDescent="0.25">
      <c r="A34" s="2">
        <v>19541</v>
      </c>
      <c r="B34">
        <v>2902.7849999999999</v>
      </c>
      <c r="G34" s="2"/>
      <c r="I34" s="2">
        <v>20271</v>
      </c>
      <c r="J34">
        <v>2998.0263117529698</v>
      </c>
      <c r="L34" s="2"/>
      <c r="P34" s="2">
        <v>22341</v>
      </c>
      <c r="Q34">
        <v>318.3</v>
      </c>
      <c r="R34">
        <f t="shared" si="0"/>
        <v>6.1547919429393971E-2</v>
      </c>
      <c r="U34" s="2">
        <v>17958</v>
      </c>
      <c r="V34">
        <v>23.91</v>
      </c>
      <c r="W34">
        <f t="shared" si="1"/>
        <v>1.7296360320119941E-2</v>
      </c>
      <c r="Y34" s="2">
        <f t="shared" si="2"/>
        <v>22341</v>
      </c>
      <c r="Z34">
        <f t="shared" si="3"/>
        <v>6.1547919429393971E-2</v>
      </c>
      <c r="AA34">
        <f t="shared" si="4"/>
        <v>1.7296360320119941E-2</v>
      </c>
      <c r="AD34" s="2">
        <v>18507</v>
      </c>
      <c r="AE34">
        <v>2.4538557078730872E-2</v>
      </c>
    </row>
    <row r="35" spans="1:31" x14ac:dyDescent="0.25">
      <c r="A35" s="2">
        <v>19633</v>
      </c>
      <c r="B35">
        <v>2858.8449999999998</v>
      </c>
      <c r="G35" s="2"/>
      <c r="I35" s="2">
        <v>20363</v>
      </c>
      <c r="J35">
        <v>3017.7097720894099</v>
      </c>
      <c r="L35" s="2"/>
      <c r="P35" s="2">
        <v>22372</v>
      </c>
      <c r="Q35">
        <v>319.89999999999998</v>
      </c>
      <c r="R35">
        <f t="shared" si="0"/>
        <v>6.3892694509151582E-2</v>
      </c>
      <c r="U35" s="2">
        <v>17989</v>
      </c>
      <c r="V35">
        <v>23.92</v>
      </c>
      <c r="W35">
        <f t="shared" si="1"/>
        <v>4.189365155277347E-3</v>
      </c>
      <c r="Y35" s="2">
        <f t="shared" si="2"/>
        <v>22372</v>
      </c>
      <c r="Z35">
        <f t="shared" si="3"/>
        <v>6.3892694509151582E-2</v>
      </c>
      <c r="AA35">
        <f t="shared" si="4"/>
        <v>4.189365155277347E-3</v>
      </c>
      <c r="AD35" s="2">
        <v>18537</v>
      </c>
      <c r="AE35">
        <v>3.4464694024789022E-2</v>
      </c>
    </row>
    <row r="36" spans="1:31" x14ac:dyDescent="0.25">
      <c r="A36" s="2">
        <v>19725</v>
      </c>
      <c r="B36">
        <v>2845.192</v>
      </c>
      <c r="G36" s="2"/>
      <c r="I36" s="2">
        <v>20455</v>
      </c>
      <c r="J36">
        <v>3037.4598942797702</v>
      </c>
      <c r="L36" s="2"/>
      <c r="P36" s="2">
        <v>22402</v>
      </c>
      <c r="Q36">
        <v>322.2</v>
      </c>
      <c r="R36">
        <f t="shared" si="0"/>
        <v>6.8394487106874458E-2</v>
      </c>
      <c r="U36" s="2">
        <v>18019</v>
      </c>
      <c r="V36">
        <v>23.91</v>
      </c>
      <c r="W36">
        <f t="shared" si="1"/>
        <v>-4.173628762928594E-3</v>
      </c>
      <c r="Y36" s="2">
        <f t="shared" si="2"/>
        <v>22402</v>
      </c>
      <c r="Z36">
        <f t="shared" si="3"/>
        <v>6.8394487106874458E-2</v>
      </c>
      <c r="AA36">
        <f t="shared" si="4"/>
        <v>-4.173628762928594E-3</v>
      </c>
      <c r="AD36" s="2">
        <v>18568</v>
      </c>
      <c r="AE36">
        <v>3.7271394797231405E-2</v>
      </c>
    </row>
    <row r="37" spans="1:31" x14ac:dyDescent="0.25">
      <c r="A37" s="2">
        <v>19815</v>
      </c>
      <c r="B37">
        <v>2848.3049999999998</v>
      </c>
      <c r="G37" s="2"/>
      <c r="I37" s="2">
        <v>20546</v>
      </c>
      <c r="J37">
        <v>3056.6863631279698</v>
      </c>
      <c r="L37" s="2"/>
      <c r="P37" s="2">
        <v>22433</v>
      </c>
      <c r="Q37">
        <v>324.3</v>
      </c>
      <c r="R37">
        <f t="shared" si="0"/>
        <v>7.0249111527859398E-2</v>
      </c>
      <c r="U37" s="2">
        <v>18050</v>
      </c>
      <c r="V37">
        <v>23.92</v>
      </c>
      <c r="W37">
        <f t="shared" si="1"/>
        <v>-9.5694510161505875E-3</v>
      </c>
      <c r="Y37" s="2">
        <f t="shared" si="2"/>
        <v>22433</v>
      </c>
      <c r="Z37">
        <f t="shared" si="3"/>
        <v>7.0249111527859398E-2</v>
      </c>
      <c r="AA37">
        <f t="shared" si="4"/>
        <v>-9.5694510161505875E-3</v>
      </c>
      <c r="AD37" s="2">
        <v>18598</v>
      </c>
      <c r="AE37">
        <v>5.6405153600010305E-2</v>
      </c>
    </row>
    <row r="38" spans="1:31" x14ac:dyDescent="0.25">
      <c r="A38" s="2">
        <v>19906</v>
      </c>
      <c r="B38">
        <v>2880.482</v>
      </c>
      <c r="G38" s="2"/>
      <c r="I38" s="2">
        <v>20637</v>
      </c>
      <c r="J38">
        <v>3076.7475580632799</v>
      </c>
      <c r="L38" s="2"/>
      <c r="P38" s="2">
        <v>22463</v>
      </c>
      <c r="Q38">
        <v>325.60000000000002</v>
      </c>
      <c r="R38">
        <f t="shared" si="0"/>
        <v>6.8313039445065726E-2</v>
      </c>
      <c r="U38" s="2">
        <v>18080</v>
      </c>
      <c r="V38">
        <v>23.7</v>
      </c>
      <c r="W38">
        <f t="shared" si="1"/>
        <v>-2.9108084158070646E-2</v>
      </c>
      <c r="Y38" s="2">
        <f t="shared" si="2"/>
        <v>22463</v>
      </c>
      <c r="Z38">
        <f t="shared" si="3"/>
        <v>6.8313039445065726E-2</v>
      </c>
      <c r="AA38">
        <f t="shared" si="4"/>
        <v>-2.9108084158070646E-2</v>
      </c>
      <c r="AD38" s="2">
        <v>18629</v>
      </c>
      <c r="AE38">
        <v>7.6535599734263382E-2</v>
      </c>
    </row>
    <row r="39" spans="1:31" x14ac:dyDescent="0.25">
      <c r="A39" s="2">
        <v>19998</v>
      </c>
      <c r="B39">
        <v>2936.8519999999999</v>
      </c>
      <c r="G39" s="2"/>
      <c r="I39" s="2">
        <v>20729</v>
      </c>
      <c r="J39">
        <v>3098.07955374838</v>
      </c>
      <c r="L39" s="2"/>
      <c r="P39" s="2">
        <v>22494</v>
      </c>
      <c r="Q39">
        <v>327.60000000000002</v>
      </c>
      <c r="R39">
        <f t="shared" si="0"/>
        <v>6.527139035322449E-2</v>
      </c>
      <c r="U39" s="2">
        <v>18111</v>
      </c>
      <c r="V39">
        <v>23.7</v>
      </c>
      <c r="W39">
        <f t="shared" si="1"/>
        <v>-3.0336837128563499E-2</v>
      </c>
      <c r="Y39" s="2">
        <f t="shared" si="2"/>
        <v>22494</v>
      </c>
      <c r="Z39">
        <f t="shared" si="3"/>
        <v>6.527139035322449E-2</v>
      </c>
      <c r="AA39">
        <f t="shared" si="4"/>
        <v>-3.0336837128563499E-2</v>
      </c>
      <c r="AD39" s="2">
        <v>18660</v>
      </c>
      <c r="AE39">
        <v>8.9866256010327827E-2</v>
      </c>
    </row>
    <row r="40" spans="1:31" x14ac:dyDescent="0.25">
      <c r="A40" s="2">
        <v>20090</v>
      </c>
      <c r="B40">
        <v>3020.7460000000001</v>
      </c>
      <c r="G40" s="2"/>
      <c r="I40" s="2">
        <v>20821</v>
      </c>
      <c r="J40">
        <v>3121.4587687815601</v>
      </c>
      <c r="L40" s="2"/>
      <c r="P40" s="2">
        <v>22525</v>
      </c>
      <c r="Q40">
        <v>329.5</v>
      </c>
      <c r="R40">
        <f t="shared" si="0"/>
        <v>6.6178712253387673E-2</v>
      </c>
      <c r="U40" s="2">
        <v>18142</v>
      </c>
      <c r="V40">
        <v>23.75</v>
      </c>
      <c r="W40">
        <f t="shared" si="1"/>
        <v>-2.5359912361045733E-2</v>
      </c>
      <c r="Y40" s="2">
        <f t="shared" si="2"/>
        <v>22525</v>
      </c>
      <c r="Z40">
        <f t="shared" si="3"/>
        <v>6.6178712253387673E-2</v>
      </c>
      <c r="AA40">
        <f t="shared" si="4"/>
        <v>-2.5359912361045733E-2</v>
      </c>
      <c r="AD40" s="2">
        <v>18688</v>
      </c>
      <c r="AE40">
        <v>9.0530277094802436E-2</v>
      </c>
    </row>
    <row r="41" spans="1:31" x14ac:dyDescent="0.25">
      <c r="A41" s="2">
        <v>20180</v>
      </c>
      <c r="B41">
        <v>3069.91</v>
      </c>
      <c r="G41" s="2"/>
      <c r="I41" s="2">
        <v>20911</v>
      </c>
      <c r="J41">
        <v>3146.9588594571701</v>
      </c>
      <c r="L41" s="2"/>
      <c r="P41" s="2">
        <v>22555</v>
      </c>
      <c r="Q41">
        <v>331.1</v>
      </c>
      <c r="R41">
        <f t="shared" si="0"/>
        <v>6.7462352428550254E-2</v>
      </c>
      <c r="U41" s="2">
        <v>18172</v>
      </c>
      <c r="V41">
        <v>23.67</v>
      </c>
      <c r="W41">
        <f t="shared" si="1"/>
        <v>-2.6679364802139283E-2</v>
      </c>
      <c r="Y41" s="2">
        <f t="shared" si="2"/>
        <v>22555</v>
      </c>
      <c r="Z41">
        <f t="shared" si="3"/>
        <v>6.7462352428550254E-2</v>
      </c>
      <c r="AA41">
        <f t="shared" si="4"/>
        <v>-2.6679364802139283E-2</v>
      </c>
      <c r="AD41" s="2">
        <v>18719</v>
      </c>
      <c r="AE41">
        <v>9.1651756546132113E-2</v>
      </c>
    </row>
    <row r="42" spans="1:31" x14ac:dyDescent="0.25">
      <c r="A42" s="2">
        <v>20271</v>
      </c>
      <c r="B42">
        <v>3111.3789999999999</v>
      </c>
      <c r="G42" s="2"/>
      <c r="I42" s="2">
        <v>21002</v>
      </c>
      <c r="J42">
        <v>3173.92633907142</v>
      </c>
      <c r="L42" s="2"/>
      <c r="P42" s="2">
        <v>22586</v>
      </c>
      <c r="Q42">
        <v>333.4</v>
      </c>
      <c r="R42">
        <f t="shared" si="0"/>
        <v>6.9871653251985855E-2</v>
      </c>
      <c r="U42" s="2">
        <v>18203</v>
      </c>
      <c r="V42">
        <v>23.7</v>
      </c>
      <c r="W42">
        <f t="shared" si="1"/>
        <v>-1.9223324925528473E-2</v>
      </c>
      <c r="Y42" s="2">
        <f t="shared" si="2"/>
        <v>22586</v>
      </c>
      <c r="Z42">
        <f t="shared" si="3"/>
        <v>6.9871653251985855E-2</v>
      </c>
      <c r="AA42">
        <f t="shared" si="4"/>
        <v>-1.9223324925528473E-2</v>
      </c>
      <c r="AD42" s="2">
        <v>18749</v>
      </c>
      <c r="AE42">
        <v>8.9287567281296276E-2</v>
      </c>
    </row>
    <row r="43" spans="1:31" x14ac:dyDescent="0.25">
      <c r="A43" s="2">
        <v>20363</v>
      </c>
      <c r="B43">
        <v>3130.0680000000002</v>
      </c>
      <c r="G43" s="2"/>
      <c r="I43" s="2">
        <v>21094</v>
      </c>
      <c r="J43">
        <v>3202.04846461239</v>
      </c>
      <c r="L43" s="2"/>
      <c r="P43" s="2">
        <v>22616</v>
      </c>
      <c r="Q43">
        <v>335.5</v>
      </c>
      <c r="R43">
        <f t="shared" si="0"/>
        <v>7.1337538446205606E-2</v>
      </c>
      <c r="U43" s="2">
        <v>18233</v>
      </c>
      <c r="V43">
        <v>23.61</v>
      </c>
      <c r="W43">
        <f t="shared" si="1"/>
        <v>-1.8464645454348894E-2</v>
      </c>
      <c r="Y43" s="2">
        <f t="shared" si="2"/>
        <v>22616</v>
      </c>
      <c r="Z43">
        <f t="shared" si="3"/>
        <v>7.1337538446205606E-2</v>
      </c>
      <c r="AA43">
        <f t="shared" si="4"/>
        <v>-1.8464645454348894E-2</v>
      </c>
      <c r="AD43" s="2">
        <v>18780</v>
      </c>
      <c r="AE43">
        <v>8.2359311026171778E-2</v>
      </c>
    </row>
    <row r="44" spans="1:31" x14ac:dyDescent="0.25">
      <c r="A44" s="2">
        <v>20455</v>
      </c>
      <c r="B44">
        <v>3117.922</v>
      </c>
      <c r="G44" s="2"/>
      <c r="I44" s="2">
        <v>21186</v>
      </c>
      <c r="J44">
        <v>3230.0171160090999</v>
      </c>
      <c r="L44" s="2"/>
      <c r="P44" s="2">
        <v>22647</v>
      </c>
      <c r="Q44">
        <v>337.5</v>
      </c>
      <c r="R44">
        <f t="shared" si="0"/>
        <v>7.1854103767983624E-2</v>
      </c>
      <c r="U44" s="2">
        <v>18264</v>
      </c>
      <c r="V44">
        <v>23.51</v>
      </c>
      <c r="W44">
        <f t="shared" si="1"/>
        <v>-2.1044547681183801E-2</v>
      </c>
      <c r="Y44" s="2">
        <f t="shared" si="2"/>
        <v>22647</v>
      </c>
      <c r="Z44">
        <f t="shared" si="3"/>
        <v>7.1854103767983624E-2</v>
      </c>
      <c r="AA44">
        <f t="shared" si="4"/>
        <v>-2.1044547681183801E-2</v>
      </c>
      <c r="AD44" s="2">
        <v>18810</v>
      </c>
      <c r="AE44">
        <v>7.3662742779037949E-2</v>
      </c>
    </row>
    <row r="45" spans="1:31" x14ac:dyDescent="0.25">
      <c r="A45" s="2">
        <v>20546</v>
      </c>
      <c r="B45">
        <v>3143.694</v>
      </c>
      <c r="G45" s="2"/>
      <c r="I45" s="2">
        <v>21276</v>
      </c>
      <c r="J45">
        <v>3258.4537581152499</v>
      </c>
      <c r="L45" s="2"/>
      <c r="P45" s="2">
        <v>22678</v>
      </c>
      <c r="Q45">
        <v>340.1</v>
      </c>
      <c r="R45">
        <f t="shared" si="0"/>
        <v>7.1916450428918921E-2</v>
      </c>
      <c r="U45" s="2">
        <v>18295</v>
      </c>
      <c r="V45">
        <v>23.61</v>
      </c>
      <c r="W45">
        <f t="shared" si="1"/>
        <v>-1.2626430372812081E-2</v>
      </c>
      <c r="Y45" s="2">
        <f t="shared" si="2"/>
        <v>22678</v>
      </c>
      <c r="Z45">
        <f t="shared" si="3"/>
        <v>7.1916450428918921E-2</v>
      </c>
      <c r="AA45">
        <f t="shared" si="4"/>
        <v>-1.2626430372812081E-2</v>
      </c>
      <c r="AD45" s="2">
        <v>18841</v>
      </c>
      <c r="AE45">
        <v>6.6344740181070616E-2</v>
      </c>
    </row>
    <row r="46" spans="1:31" x14ac:dyDescent="0.25">
      <c r="A46" s="2">
        <v>20637</v>
      </c>
      <c r="B46">
        <v>3140.8739999999998</v>
      </c>
      <c r="G46" s="2"/>
      <c r="I46" s="2">
        <v>21367</v>
      </c>
      <c r="J46">
        <v>3287.0858028236298</v>
      </c>
      <c r="L46" s="2"/>
      <c r="P46" s="2">
        <v>22706</v>
      </c>
      <c r="Q46">
        <v>343.1</v>
      </c>
      <c r="R46">
        <f t="shared" si="0"/>
        <v>7.5027615576357398E-2</v>
      </c>
      <c r="U46" s="2">
        <v>18323</v>
      </c>
      <c r="V46">
        <v>23.64</v>
      </c>
      <c r="W46">
        <f t="shared" si="1"/>
        <v>-1.1356588932335931E-2</v>
      </c>
      <c r="Y46" s="2">
        <f t="shared" si="2"/>
        <v>22706</v>
      </c>
      <c r="Z46">
        <f t="shared" si="3"/>
        <v>7.5027615576357398E-2</v>
      </c>
      <c r="AA46">
        <f t="shared" si="4"/>
        <v>-1.1356588932335931E-2</v>
      </c>
      <c r="AD46" s="2">
        <v>18872</v>
      </c>
      <c r="AE46">
        <v>6.712863144709269E-2</v>
      </c>
    </row>
    <row r="47" spans="1:31" x14ac:dyDescent="0.25">
      <c r="A47" s="2">
        <v>20729</v>
      </c>
      <c r="B47">
        <v>3192.57</v>
      </c>
      <c r="G47" s="2"/>
      <c r="I47" s="2">
        <v>21459</v>
      </c>
      <c r="J47">
        <v>3317.4323910752501</v>
      </c>
      <c r="L47" s="2"/>
      <c r="P47" s="2">
        <v>22737</v>
      </c>
      <c r="Q47">
        <v>345.5</v>
      </c>
      <c r="R47">
        <f t="shared" si="0"/>
        <v>7.6984196252252168E-2</v>
      </c>
      <c r="U47" s="2">
        <v>18354</v>
      </c>
      <c r="V47">
        <v>23.65</v>
      </c>
      <c r="W47">
        <f t="shared" si="1"/>
        <v>-1.1351814144489492E-2</v>
      </c>
      <c r="Y47" s="2">
        <f t="shared" si="2"/>
        <v>22737</v>
      </c>
      <c r="Z47">
        <f t="shared" si="3"/>
        <v>7.6984196252252168E-2</v>
      </c>
      <c r="AA47">
        <f t="shared" si="4"/>
        <v>-1.1351814144489492E-2</v>
      </c>
      <c r="AD47" s="2">
        <v>18902</v>
      </c>
      <c r="AE47">
        <v>6.5558409038316334E-2</v>
      </c>
    </row>
    <row r="48" spans="1:31" x14ac:dyDescent="0.25">
      <c r="A48" s="2">
        <v>20821</v>
      </c>
      <c r="B48">
        <v>3213.011</v>
      </c>
      <c r="G48" s="2"/>
      <c r="I48" s="2">
        <v>21551</v>
      </c>
      <c r="J48">
        <v>3348.8641756587299</v>
      </c>
      <c r="L48" s="2"/>
      <c r="P48" s="2">
        <v>22767</v>
      </c>
      <c r="Q48">
        <v>347.5</v>
      </c>
      <c r="R48">
        <f t="shared" si="0"/>
        <v>7.5592194261973056E-2</v>
      </c>
      <c r="U48" s="2">
        <v>18384</v>
      </c>
      <c r="V48">
        <v>23.77</v>
      </c>
      <c r="W48">
        <f t="shared" si="1"/>
        <v>-5.872500098131006E-3</v>
      </c>
      <c r="Y48" s="2">
        <f t="shared" si="2"/>
        <v>22767</v>
      </c>
      <c r="Z48">
        <f t="shared" si="3"/>
        <v>7.5592194261973056E-2</v>
      </c>
      <c r="AA48">
        <f t="shared" si="4"/>
        <v>-5.872500098131006E-3</v>
      </c>
      <c r="AD48" s="2">
        <v>18933</v>
      </c>
      <c r="AE48">
        <v>6.7582663518799269E-2</v>
      </c>
    </row>
    <row r="49" spans="1:31" x14ac:dyDescent="0.25">
      <c r="A49" s="2">
        <v>20911</v>
      </c>
      <c r="B49">
        <v>3205.97</v>
      </c>
      <c r="G49" s="2"/>
      <c r="I49" s="2">
        <v>21641</v>
      </c>
      <c r="J49">
        <v>3382.3844990501798</v>
      </c>
      <c r="L49" s="2"/>
      <c r="P49" s="2">
        <v>22798</v>
      </c>
      <c r="Q49">
        <v>349.3</v>
      </c>
      <c r="R49">
        <f t="shared" si="0"/>
        <v>7.426213849951413E-2</v>
      </c>
      <c r="U49" s="2">
        <v>18415</v>
      </c>
      <c r="V49">
        <v>23.88</v>
      </c>
      <c r="W49">
        <f t="shared" si="1"/>
        <v>-1.6736405580299873E-3</v>
      </c>
      <c r="Y49" s="2">
        <f t="shared" si="2"/>
        <v>22798</v>
      </c>
      <c r="Z49">
        <f t="shared" si="3"/>
        <v>7.426213849951413E-2</v>
      </c>
      <c r="AA49">
        <f t="shared" si="4"/>
        <v>-1.6736405580299873E-3</v>
      </c>
      <c r="AD49" s="2">
        <v>18963</v>
      </c>
      <c r="AE49">
        <v>5.7936511541578195E-2</v>
      </c>
    </row>
    <row r="50" spans="1:31" x14ac:dyDescent="0.25">
      <c r="A50" s="2">
        <v>21002</v>
      </c>
      <c r="B50">
        <v>3237.386</v>
      </c>
      <c r="G50" s="2"/>
      <c r="I50" s="2">
        <v>21732</v>
      </c>
      <c r="J50">
        <v>3418.3200692733499</v>
      </c>
      <c r="L50" s="2"/>
      <c r="P50" s="2">
        <v>22828</v>
      </c>
      <c r="Q50">
        <v>350.8</v>
      </c>
      <c r="R50">
        <f t="shared" si="0"/>
        <v>7.4546626369643043E-2</v>
      </c>
      <c r="U50" s="2">
        <v>18445</v>
      </c>
      <c r="V50">
        <v>24.07</v>
      </c>
      <c r="W50">
        <f t="shared" si="1"/>
        <v>1.5491203653895003E-2</v>
      </c>
      <c r="Y50" s="2">
        <f t="shared" si="2"/>
        <v>22828</v>
      </c>
      <c r="Z50">
        <f t="shared" si="3"/>
        <v>7.4546626369643043E-2</v>
      </c>
      <c r="AA50">
        <f t="shared" si="4"/>
        <v>1.5491203653895003E-2</v>
      </c>
      <c r="AD50" s="2">
        <v>18994</v>
      </c>
      <c r="AE50">
        <v>4.1294696018066901E-2</v>
      </c>
    </row>
    <row r="51" spans="1:31" x14ac:dyDescent="0.25">
      <c r="A51" s="2">
        <v>21094</v>
      </c>
      <c r="B51">
        <v>3203.8939999999998</v>
      </c>
      <c r="G51" s="2"/>
      <c r="I51" s="2">
        <v>21824</v>
      </c>
      <c r="J51">
        <v>3454.77247876915</v>
      </c>
      <c r="L51" s="2"/>
      <c r="P51" s="2">
        <v>22859</v>
      </c>
      <c r="Q51">
        <v>352.8</v>
      </c>
      <c r="R51">
        <f t="shared" si="0"/>
        <v>7.4107972153721668E-2</v>
      </c>
      <c r="U51" s="2">
        <v>18476</v>
      </c>
      <c r="V51">
        <v>24.2</v>
      </c>
      <c r="W51">
        <f t="shared" si="1"/>
        <v>2.0877585021555234E-2</v>
      </c>
      <c r="Y51" s="2">
        <f t="shared" si="2"/>
        <v>22859</v>
      </c>
      <c r="Z51">
        <f t="shared" si="3"/>
        <v>7.4107972153721668E-2</v>
      </c>
      <c r="AA51">
        <f t="shared" si="4"/>
        <v>2.0877585021555234E-2</v>
      </c>
      <c r="AD51" s="2">
        <v>19025</v>
      </c>
      <c r="AE51">
        <v>2.2206119201291674E-2</v>
      </c>
    </row>
    <row r="52" spans="1:31" x14ac:dyDescent="0.25">
      <c r="A52" s="2">
        <v>21186</v>
      </c>
      <c r="B52">
        <v>3120.7240000000002</v>
      </c>
      <c r="G52" s="2"/>
      <c r="I52" s="2">
        <v>21916</v>
      </c>
      <c r="J52">
        <v>3491.8094233443699</v>
      </c>
      <c r="L52" s="2"/>
      <c r="P52" s="2">
        <v>22890</v>
      </c>
      <c r="Q52">
        <v>354.9</v>
      </c>
      <c r="R52">
        <f t="shared" si="0"/>
        <v>7.4259705709889268E-2</v>
      </c>
      <c r="U52" s="2">
        <v>18507</v>
      </c>
      <c r="V52">
        <v>24.34</v>
      </c>
      <c r="W52">
        <f t="shared" si="1"/>
        <v>2.4538557078730872E-2</v>
      </c>
      <c r="Y52" s="2">
        <f t="shared" si="2"/>
        <v>22890</v>
      </c>
      <c r="Z52">
        <f t="shared" si="3"/>
        <v>7.4259705709889268E-2</v>
      </c>
      <c r="AA52">
        <f t="shared" si="4"/>
        <v>2.4538557078730872E-2</v>
      </c>
      <c r="AD52" s="2">
        <v>19054</v>
      </c>
      <c r="AE52">
        <v>1.9514680882532609E-2</v>
      </c>
    </row>
    <row r="53" spans="1:31" x14ac:dyDescent="0.25">
      <c r="A53" s="2">
        <v>21276</v>
      </c>
      <c r="B53">
        <v>3141.2240000000002</v>
      </c>
      <c r="G53" s="2"/>
      <c r="I53" s="2">
        <v>22007</v>
      </c>
      <c r="J53">
        <v>3527.8518161158299</v>
      </c>
      <c r="L53" s="2"/>
      <c r="P53" s="2">
        <v>22920</v>
      </c>
      <c r="Q53">
        <v>357.2</v>
      </c>
      <c r="R53">
        <f t="shared" si="0"/>
        <v>7.5875404449142536E-2</v>
      </c>
      <c r="U53" s="2">
        <v>18537</v>
      </c>
      <c r="V53">
        <v>24.5</v>
      </c>
      <c r="W53">
        <f t="shared" si="1"/>
        <v>3.4464694024789022E-2</v>
      </c>
      <c r="Y53" s="2">
        <f t="shared" si="2"/>
        <v>22920</v>
      </c>
      <c r="Z53">
        <f t="shared" si="3"/>
        <v>7.5875404449142536E-2</v>
      </c>
      <c r="AA53">
        <f t="shared" si="4"/>
        <v>3.4464694024789022E-2</v>
      </c>
      <c r="AD53" s="2">
        <v>19085</v>
      </c>
      <c r="AE53">
        <v>2.0619287202735759E-2</v>
      </c>
    </row>
    <row r="54" spans="1:31" x14ac:dyDescent="0.25">
      <c r="A54" s="2">
        <v>21367</v>
      </c>
      <c r="B54">
        <v>3213.884</v>
      </c>
      <c r="G54" s="2"/>
      <c r="I54" s="2">
        <v>22098</v>
      </c>
      <c r="J54">
        <v>3563.3197684868601</v>
      </c>
      <c r="L54" s="2"/>
      <c r="P54" s="2">
        <v>22951</v>
      </c>
      <c r="Q54">
        <v>359.8</v>
      </c>
      <c r="R54">
        <f t="shared" si="0"/>
        <v>7.6205351199739368E-2</v>
      </c>
      <c r="U54" s="2">
        <v>18568</v>
      </c>
      <c r="V54">
        <v>24.6</v>
      </c>
      <c r="W54">
        <f t="shared" si="1"/>
        <v>3.7271394797231405E-2</v>
      </c>
      <c r="Y54" s="2">
        <f t="shared" si="2"/>
        <v>22951</v>
      </c>
      <c r="Z54">
        <f t="shared" si="3"/>
        <v>7.6205351199739368E-2</v>
      </c>
      <c r="AA54">
        <f t="shared" si="4"/>
        <v>3.7271394797231405E-2</v>
      </c>
      <c r="AD54" s="2">
        <v>19115</v>
      </c>
      <c r="AE54">
        <v>1.8300167585611149E-2</v>
      </c>
    </row>
    <row r="55" spans="1:31" x14ac:dyDescent="0.25">
      <c r="A55" s="2">
        <v>21459</v>
      </c>
      <c r="B55">
        <v>3289.0320000000002</v>
      </c>
      <c r="G55" s="2"/>
      <c r="I55" s="2">
        <v>22190</v>
      </c>
      <c r="J55">
        <v>3597.51042195536</v>
      </c>
      <c r="L55" s="2"/>
      <c r="P55" s="2">
        <v>22981</v>
      </c>
      <c r="Q55">
        <v>362.7</v>
      </c>
      <c r="R55">
        <f t="shared" si="0"/>
        <v>7.7954089877120047E-2</v>
      </c>
      <c r="U55" s="2">
        <v>18598</v>
      </c>
      <c r="V55">
        <v>24.98</v>
      </c>
      <c r="W55">
        <f t="shared" si="1"/>
        <v>5.6405153600010305E-2</v>
      </c>
      <c r="Y55" s="2">
        <f t="shared" si="2"/>
        <v>22981</v>
      </c>
      <c r="Z55">
        <f t="shared" si="3"/>
        <v>7.7954089877120047E-2</v>
      </c>
      <c r="AA55">
        <f t="shared" si="4"/>
        <v>5.6405153600010305E-2</v>
      </c>
      <c r="AD55" s="2">
        <v>19146</v>
      </c>
      <c r="AE55">
        <v>2.2875568599075358E-2</v>
      </c>
    </row>
    <row r="56" spans="1:31" x14ac:dyDescent="0.25">
      <c r="A56" s="2">
        <v>21551</v>
      </c>
      <c r="B56">
        <v>3352.1289999999999</v>
      </c>
      <c r="G56" s="2"/>
      <c r="I56" s="2">
        <v>22282</v>
      </c>
      <c r="J56">
        <v>3631.09734556172</v>
      </c>
      <c r="L56" s="2"/>
      <c r="P56" s="2">
        <v>23012</v>
      </c>
      <c r="Q56">
        <v>365.2</v>
      </c>
      <c r="R56">
        <f t="shared" si="0"/>
        <v>7.8879638408228203E-2</v>
      </c>
      <c r="U56" s="2">
        <v>18629</v>
      </c>
      <c r="V56">
        <v>25.38</v>
      </c>
      <c r="W56">
        <f t="shared" si="1"/>
        <v>7.6535599734263382E-2</v>
      </c>
      <c r="Y56" s="2">
        <f t="shared" si="2"/>
        <v>23012</v>
      </c>
      <c r="Z56">
        <f t="shared" si="3"/>
        <v>7.8879638408228203E-2</v>
      </c>
      <c r="AA56">
        <f t="shared" si="4"/>
        <v>7.6535599734263382E-2</v>
      </c>
      <c r="AD56" s="2">
        <v>19176</v>
      </c>
      <c r="AE56">
        <v>2.9285226473404258E-2</v>
      </c>
    </row>
    <row r="57" spans="1:31" x14ac:dyDescent="0.25">
      <c r="A57" s="2">
        <v>21641</v>
      </c>
      <c r="B57">
        <v>3427.6669999999999</v>
      </c>
      <c r="G57" s="2"/>
      <c r="I57" s="2">
        <v>22372</v>
      </c>
      <c r="J57">
        <v>3662.7634373329201</v>
      </c>
      <c r="L57" s="2"/>
      <c r="P57" s="2">
        <v>23043</v>
      </c>
      <c r="Q57">
        <v>367.9</v>
      </c>
      <c r="R57">
        <f t="shared" si="0"/>
        <v>7.8571470097578811E-2</v>
      </c>
      <c r="U57" s="2">
        <v>18660</v>
      </c>
      <c r="V57">
        <v>25.83</v>
      </c>
      <c r="W57">
        <f t="shared" si="1"/>
        <v>8.9866256010327827E-2</v>
      </c>
      <c r="Y57" s="2">
        <f t="shared" si="2"/>
        <v>23043</v>
      </c>
      <c r="Z57">
        <f t="shared" si="3"/>
        <v>7.8571470097578811E-2</v>
      </c>
      <c r="AA57">
        <f t="shared" si="4"/>
        <v>8.9866256010327827E-2</v>
      </c>
      <c r="AD57" s="2">
        <v>19207</v>
      </c>
      <c r="AE57">
        <v>3.1591590072721498E-2</v>
      </c>
    </row>
    <row r="58" spans="1:31" x14ac:dyDescent="0.25">
      <c r="A58" s="2">
        <v>21732</v>
      </c>
      <c r="B58">
        <v>3430.0569999999998</v>
      </c>
      <c r="G58" s="2"/>
      <c r="I58" s="2">
        <v>22463</v>
      </c>
      <c r="J58">
        <v>3695.5876947509901</v>
      </c>
      <c r="L58" s="2"/>
      <c r="P58" s="2">
        <v>23071</v>
      </c>
      <c r="Q58">
        <v>370.7</v>
      </c>
      <c r="R58">
        <f t="shared" si="0"/>
        <v>7.7371160292281971E-2</v>
      </c>
      <c r="U58" s="2">
        <v>18688</v>
      </c>
      <c r="V58">
        <v>25.88</v>
      </c>
      <c r="W58">
        <f t="shared" si="1"/>
        <v>9.0530277094802436E-2</v>
      </c>
      <c r="Y58" s="2">
        <f t="shared" si="2"/>
        <v>23071</v>
      </c>
      <c r="Z58">
        <f t="shared" si="3"/>
        <v>7.7371160292281971E-2</v>
      </c>
      <c r="AA58">
        <f t="shared" si="4"/>
        <v>9.0530277094802436E-2</v>
      </c>
      <c r="AD58" s="2">
        <v>19238</v>
      </c>
      <c r="AE58">
        <v>2.2788680819366913E-2</v>
      </c>
    </row>
    <row r="59" spans="1:31" x14ac:dyDescent="0.25">
      <c r="A59" s="2">
        <v>21824</v>
      </c>
      <c r="B59">
        <v>3439.8319999999999</v>
      </c>
      <c r="G59" s="2"/>
      <c r="I59" s="2">
        <v>22555</v>
      </c>
      <c r="J59">
        <v>3729.3787820688199</v>
      </c>
      <c r="L59" s="2"/>
      <c r="P59" s="2">
        <v>23102</v>
      </c>
      <c r="Q59">
        <v>373.3</v>
      </c>
      <c r="R59">
        <f t="shared" si="0"/>
        <v>7.7389742712813181E-2</v>
      </c>
      <c r="U59" s="2">
        <v>18719</v>
      </c>
      <c r="V59">
        <v>25.92</v>
      </c>
      <c r="W59">
        <f t="shared" si="1"/>
        <v>9.1651756546132113E-2</v>
      </c>
      <c r="Y59" s="2">
        <f t="shared" si="2"/>
        <v>23102</v>
      </c>
      <c r="Z59">
        <f t="shared" si="3"/>
        <v>7.7389742712813181E-2</v>
      </c>
      <c r="AA59">
        <f t="shared" si="4"/>
        <v>9.1651756546132113E-2</v>
      </c>
      <c r="AD59" s="2">
        <v>19268</v>
      </c>
      <c r="AE59">
        <v>2.0057436827435104E-2</v>
      </c>
    </row>
    <row r="60" spans="1:31" x14ac:dyDescent="0.25">
      <c r="A60" s="2">
        <v>21916</v>
      </c>
      <c r="B60">
        <v>3517.181</v>
      </c>
      <c r="G60" s="2"/>
      <c r="I60" s="2">
        <v>22647</v>
      </c>
      <c r="J60">
        <v>3765.7978117745502</v>
      </c>
      <c r="L60" s="2"/>
      <c r="P60" s="2">
        <v>23132</v>
      </c>
      <c r="Q60">
        <v>376.1</v>
      </c>
      <c r="R60">
        <f t="shared" si="0"/>
        <v>7.9090400471444333E-2</v>
      </c>
      <c r="U60" s="2">
        <v>18749</v>
      </c>
      <c r="V60">
        <v>25.99</v>
      </c>
      <c r="W60">
        <f t="shared" si="1"/>
        <v>8.9287567281296276E-2</v>
      </c>
      <c r="Y60" s="2">
        <f t="shared" si="2"/>
        <v>23132</v>
      </c>
      <c r="Z60">
        <f t="shared" si="3"/>
        <v>7.9090400471444333E-2</v>
      </c>
      <c r="AA60">
        <f t="shared" si="4"/>
        <v>8.9287567281296276E-2</v>
      </c>
      <c r="AD60" s="2">
        <v>19299</v>
      </c>
      <c r="AE60">
        <v>1.3959856959316674E-2</v>
      </c>
    </row>
    <row r="61" spans="1:31" x14ac:dyDescent="0.25">
      <c r="A61" s="2">
        <v>22007</v>
      </c>
      <c r="B61">
        <v>3498.2460000000001</v>
      </c>
      <c r="G61" s="2"/>
      <c r="I61" s="2">
        <v>22737</v>
      </c>
      <c r="J61">
        <v>3805.31258218518</v>
      </c>
      <c r="L61" s="2"/>
      <c r="P61" s="2">
        <v>23163</v>
      </c>
      <c r="Q61">
        <v>378.4</v>
      </c>
      <c r="R61">
        <f t="shared" si="0"/>
        <v>8.0020685364936561E-2</v>
      </c>
      <c r="U61" s="2">
        <v>18780</v>
      </c>
      <c r="V61">
        <v>25.93</v>
      </c>
      <c r="W61">
        <f t="shared" si="1"/>
        <v>8.2359311026171778E-2</v>
      </c>
      <c r="Y61" s="2">
        <f t="shared" si="2"/>
        <v>23163</v>
      </c>
      <c r="Z61">
        <f t="shared" si="3"/>
        <v>8.0020685364936561E-2</v>
      </c>
      <c r="AA61">
        <f t="shared" si="4"/>
        <v>8.2359311026171778E-2</v>
      </c>
      <c r="AD61" s="2">
        <v>19329</v>
      </c>
      <c r="AE61">
        <v>9.0260108828594809E-3</v>
      </c>
    </row>
    <row r="62" spans="1:31" x14ac:dyDescent="0.25">
      <c r="A62" s="2">
        <v>22098</v>
      </c>
      <c r="B62">
        <v>3515.3850000000002</v>
      </c>
      <c r="G62" s="2"/>
      <c r="I62" s="2">
        <v>22828</v>
      </c>
      <c r="J62">
        <v>3847.25330599774</v>
      </c>
      <c r="L62" s="2"/>
      <c r="P62" s="2">
        <v>23193</v>
      </c>
      <c r="Q62">
        <v>381.1</v>
      </c>
      <c r="R62">
        <f t="shared" si="0"/>
        <v>8.2845547381786844E-2</v>
      </c>
      <c r="U62" s="2">
        <v>18810</v>
      </c>
      <c r="V62">
        <v>25.91</v>
      </c>
      <c r="W62">
        <f t="shared" si="1"/>
        <v>7.3662742779037949E-2</v>
      </c>
      <c r="Y62" s="2">
        <f t="shared" si="2"/>
        <v>23193</v>
      </c>
      <c r="Z62">
        <f t="shared" si="3"/>
        <v>8.2845547381786844E-2</v>
      </c>
      <c r="AA62">
        <f t="shared" si="4"/>
        <v>7.3662742779037949E-2</v>
      </c>
      <c r="AD62" s="2">
        <v>19360</v>
      </c>
      <c r="AE62">
        <v>7.1576873678798059E-3</v>
      </c>
    </row>
    <row r="63" spans="1:31" x14ac:dyDescent="0.25">
      <c r="A63" s="2">
        <v>22190</v>
      </c>
      <c r="B63">
        <v>3470.2779999999998</v>
      </c>
      <c r="G63" s="2"/>
      <c r="I63" s="2">
        <v>22920</v>
      </c>
      <c r="J63">
        <v>3890.3763040422</v>
      </c>
      <c r="L63" s="2"/>
      <c r="P63" s="2">
        <v>23224</v>
      </c>
      <c r="Q63">
        <v>383.6</v>
      </c>
      <c r="R63">
        <f t="shared" si="0"/>
        <v>8.3699018876647102E-2</v>
      </c>
      <c r="U63" s="2">
        <v>18841</v>
      </c>
      <c r="V63">
        <v>25.86</v>
      </c>
      <c r="W63">
        <f t="shared" si="1"/>
        <v>6.6344740181070616E-2</v>
      </c>
      <c r="Y63" s="2">
        <f t="shared" si="2"/>
        <v>23224</v>
      </c>
      <c r="Z63">
        <f t="shared" si="3"/>
        <v>8.3699018876647102E-2</v>
      </c>
      <c r="AA63">
        <f t="shared" si="4"/>
        <v>6.6344740181070616E-2</v>
      </c>
      <c r="AD63" s="2">
        <v>19391</v>
      </c>
      <c r="AE63">
        <v>6.7924789458877477E-3</v>
      </c>
    </row>
    <row r="64" spans="1:31" x14ac:dyDescent="0.25">
      <c r="A64" s="2">
        <v>22282</v>
      </c>
      <c r="B64">
        <v>3493.703</v>
      </c>
      <c r="G64" s="2"/>
      <c r="I64" s="2">
        <v>23012</v>
      </c>
      <c r="J64">
        <v>3933.5551611812798</v>
      </c>
      <c r="L64" s="2"/>
      <c r="P64" s="2">
        <v>23255</v>
      </c>
      <c r="Q64">
        <v>386</v>
      </c>
      <c r="R64">
        <f t="shared" si="0"/>
        <v>8.4001309812379965E-2</v>
      </c>
      <c r="U64" s="2">
        <v>18872</v>
      </c>
      <c r="V64">
        <v>26.03</v>
      </c>
      <c r="W64">
        <f t="shared" si="1"/>
        <v>6.712863144709269E-2</v>
      </c>
      <c r="Y64" s="2">
        <f t="shared" si="2"/>
        <v>23255</v>
      </c>
      <c r="Z64">
        <f t="shared" si="3"/>
        <v>8.4001309812379965E-2</v>
      </c>
      <c r="AA64">
        <f t="shared" si="4"/>
        <v>6.712863144709269E-2</v>
      </c>
      <c r="AD64" s="2">
        <v>19419</v>
      </c>
      <c r="AE64">
        <v>9.0532493106083578E-3</v>
      </c>
    </row>
    <row r="65" spans="1:31" x14ac:dyDescent="0.25">
      <c r="A65" s="2">
        <v>22372</v>
      </c>
      <c r="B65">
        <v>3553.0210000000002</v>
      </c>
      <c r="G65" s="2"/>
      <c r="I65" s="2">
        <v>23102</v>
      </c>
      <c r="J65">
        <v>3976.3379327836901</v>
      </c>
      <c r="L65" s="2"/>
      <c r="P65" s="2">
        <v>23285</v>
      </c>
      <c r="Q65">
        <v>388.3</v>
      </c>
      <c r="R65">
        <f t="shared" si="0"/>
        <v>8.3482387735277719E-2</v>
      </c>
      <c r="U65" s="2">
        <v>18902</v>
      </c>
      <c r="V65">
        <v>26.16</v>
      </c>
      <c r="W65">
        <f t="shared" si="1"/>
        <v>6.5558409038316334E-2</v>
      </c>
      <c r="Y65" s="2">
        <f t="shared" si="2"/>
        <v>23285</v>
      </c>
      <c r="Z65">
        <f t="shared" si="3"/>
        <v>8.3482387735277719E-2</v>
      </c>
      <c r="AA65">
        <f t="shared" si="4"/>
        <v>6.5558409038316334E-2</v>
      </c>
      <c r="AD65" s="2">
        <v>19450</v>
      </c>
      <c r="AE65">
        <v>8.6548047296233221E-3</v>
      </c>
    </row>
    <row r="66" spans="1:31" x14ac:dyDescent="0.25">
      <c r="A66" s="2">
        <v>22463</v>
      </c>
      <c r="B66">
        <v>3621.252</v>
      </c>
      <c r="G66" s="2"/>
      <c r="I66" s="2">
        <v>23193</v>
      </c>
      <c r="J66">
        <v>4018.9596952971501</v>
      </c>
      <c r="L66" s="2"/>
      <c r="P66" s="2">
        <v>23316</v>
      </c>
      <c r="Q66">
        <v>391.5</v>
      </c>
      <c r="R66">
        <f t="shared" si="0"/>
        <v>8.4437193914424391E-2</v>
      </c>
      <c r="U66" s="2">
        <v>18933</v>
      </c>
      <c r="V66">
        <v>26.32</v>
      </c>
      <c r="W66">
        <f t="shared" si="1"/>
        <v>6.7582663518799269E-2</v>
      </c>
      <c r="Y66" s="2">
        <f t="shared" si="2"/>
        <v>23316</v>
      </c>
      <c r="Z66">
        <f t="shared" si="3"/>
        <v>8.4437193914424391E-2</v>
      </c>
      <c r="AA66">
        <f t="shared" si="4"/>
        <v>6.7582663518799269E-2</v>
      </c>
      <c r="AD66" s="2">
        <v>19480</v>
      </c>
      <c r="AE66">
        <v>8.651549167193906E-3</v>
      </c>
    </row>
    <row r="67" spans="1:31" x14ac:dyDescent="0.25">
      <c r="A67" s="2">
        <v>22555</v>
      </c>
      <c r="B67">
        <v>3692.2890000000002</v>
      </c>
      <c r="G67" s="2"/>
      <c r="I67" s="2">
        <v>23285</v>
      </c>
      <c r="J67">
        <v>4062.0665580372302</v>
      </c>
      <c r="L67" s="2"/>
      <c r="P67" s="2">
        <v>23346</v>
      </c>
      <c r="Q67">
        <v>393.2</v>
      </c>
      <c r="R67">
        <f t="shared" si="0"/>
        <v>8.0742341984154642E-2</v>
      </c>
      <c r="U67" s="2">
        <v>18963</v>
      </c>
      <c r="V67">
        <v>26.47</v>
      </c>
      <c r="W67">
        <f t="shared" si="1"/>
        <v>5.7936511541578195E-2</v>
      </c>
      <c r="Y67" s="2">
        <f t="shared" si="2"/>
        <v>23346</v>
      </c>
      <c r="Z67">
        <f t="shared" si="3"/>
        <v>8.0742341984154642E-2</v>
      </c>
      <c r="AA67">
        <f t="shared" si="4"/>
        <v>5.7936511541578195E-2</v>
      </c>
      <c r="AD67" s="2">
        <v>19511</v>
      </c>
      <c r="AE67">
        <v>9.0056893826129247E-3</v>
      </c>
    </row>
    <row r="68" spans="1:31" x14ac:dyDescent="0.25">
      <c r="A68" s="2">
        <v>22647</v>
      </c>
      <c r="B68">
        <v>3758.1469999999999</v>
      </c>
      <c r="G68" s="2"/>
      <c r="I68" s="2">
        <v>23377</v>
      </c>
      <c r="J68">
        <v>4105.4359530367801</v>
      </c>
      <c r="L68" s="2"/>
      <c r="P68" s="2">
        <v>23377</v>
      </c>
      <c r="Q68">
        <v>395.2</v>
      </c>
      <c r="R68">
        <f t="shared" si="0"/>
        <v>7.8946817152900195E-2</v>
      </c>
      <c r="U68" s="2">
        <v>18994</v>
      </c>
      <c r="V68">
        <v>26.45</v>
      </c>
      <c r="W68">
        <f t="shared" si="1"/>
        <v>4.1294696018066901E-2</v>
      </c>
      <c r="Y68" s="2">
        <f t="shared" si="2"/>
        <v>23377</v>
      </c>
      <c r="Z68">
        <f t="shared" si="3"/>
        <v>7.8946817152900195E-2</v>
      </c>
      <c r="AA68">
        <f t="shared" si="4"/>
        <v>4.1294696018066901E-2</v>
      </c>
      <c r="AD68" s="2">
        <v>19541</v>
      </c>
      <c r="AE68">
        <v>4.1144625090945297E-3</v>
      </c>
    </row>
    <row r="69" spans="1:31" x14ac:dyDescent="0.25">
      <c r="A69" s="2">
        <v>22737</v>
      </c>
      <c r="B69">
        <v>3792.1489999999999</v>
      </c>
      <c r="G69" s="2"/>
      <c r="I69" s="2">
        <v>23468</v>
      </c>
      <c r="J69">
        <v>4150.3308418430797</v>
      </c>
      <c r="L69" s="2"/>
      <c r="P69" s="2">
        <v>23408</v>
      </c>
      <c r="Q69">
        <v>397.6</v>
      </c>
      <c r="R69">
        <f t="shared" si="0"/>
        <v>7.7635312671690215E-2</v>
      </c>
      <c r="U69" s="2">
        <v>19025</v>
      </c>
      <c r="V69">
        <v>26.41</v>
      </c>
      <c r="W69">
        <f t="shared" si="1"/>
        <v>2.2206119201291674E-2</v>
      </c>
      <c r="Y69" s="2">
        <f t="shared" si="2"/>
        <v>23408</v>
      </c>
      <c r="Z69">
        <f t="shared" si="3"/>
        <v>7.7635312671690215E-2</v>
      </c>
      <c r="AA69">
        <f t="shared" si="4"/>
        <v>2.2206119201291674E-2</v>
      </c>
      <c r="AD69" s="2">
        <v>19572</v>
      </c>
      <c r="AE69">
        <v>5.976857538440683E-3</v>
      </c>
    </row>
    <row r="70" spans="1:31" x14ac:dyDescent="0.25">
      <c r="A70" s="2">
        <v>22828</v>
      </c>
      <c r="B70">
        <v>3838.7759999999998</v>
      </c>
      <c r="G70" s="2"/>
      <c r="I70" s="2">
        <v>23559</v>
      </c>
      <c r="J70">
        <v>4196.1770907480704</v>
      </c>
      <c r="L70" s="2"/>
      <c r="P70" s="2">
        <v>23437</v>
      </c>
      <c r="Q70">
        <v>399.8</v>
      </c>
      <c r="R70">
        <f t="shared" si="0"/>
        <v>7.5571311909613748E-2</v>
      </c>
      <c r="U70" s="2">
        <v>19054</v>
      </c>
      <c r="V70">
        <v>26.39</v>
      </c>
      <c r="W70">
        <f t="shared" si="1"/>
        <v>1.9514680882532609E-2</v>
      </c>
      <c r="Y70" s="2">
        <f t="shared" si="2"/>
        <v>23437</v>
      </c>
      <c r="Z70">
        <f t="shared" si="3"/>
        <v>7.5571311909613748E-2</v>
      </c>
      <c r="AA70">
        <f t="shared" si="4"/>
        <v>1.9514680882532609E-2</v>
      </c>
      <c r="AD70" s="2">
        <v>19603</v>
      </c>
      <c r="AE70">
        <v>9.7160704549326127E-3</v>
      </c>
    </row>
    <row r="71" spans="1:31" x14ac:dyDescent="0.25">
      <c r="A71" s="2">
        <v>22920</v>
      </c>
      <c r="B71">
        <v>3851.4209999999998</v>
      </c>
      <c r="G71" s="2"/>
      <c r="I71" s="2">
        <v>23651</v>
      </c>
      <c r="J71">
        <v>4242.3413522104402</v>
      </c>
      <c r="L71" s="2"/>
      <c r="P71" s="2">
        <v>23468</v>
      </c>
      <c r="Q71">
        <v>401.7</v>
      </c>
      <c r="R71">
        <f t="shared" si="0"/>
        <v>7.3323155444698251E-2</v>
      </c>
      <c r="U71" s="2">
        <v>19085</v>
      </c>
      <c r="V71">
        <v>26.46</v>
      </c>
      <c r="W71">
        <f t="shared" si="1"/>
        <v>2.0619287202735759E-2</v>
      </c>
      <c r="Y71" s="2">
        <f t="shared" si="2"/>
        <v>23468</v>
      </c>
      <c r="Z71">
        <f t="shared" si="3"/>
        <v>7.3323155444698251E-2</v>
      </c>
      <c r="AA71">
        <f t="shared" si="4"/>
        <v>2.0619287202735759E-2</v>
      </c>
      <c r="AD71" s="2">
        <v>19633</v>
      </c>
      <c r="AE71">
        <v>9.6943339385733296E-3</v>
      </c>
    </row>
    <row r="72" spans="1:31" x14ac:dyDescent="0.25">
      <c r="A72" s="2">
        <v>23012</v>
      </c>
      <c r="B72">
        <v>3893.482</v>
      </c>
      <c r="G72" s="2"/>
      <c r="I72" s="2">
        <v>23743</v>
      </c>
      <c r="J72">
        <v>4289.6380619744496</v>
      </c>
      <c r="L72" s="2"/>
      <c r="P72" s="2">
        <v>23498</v>
      </c>
      <c r="Q72">
        <v>404.2</v>
      </c>
      <c r="R72">
        <f t="shared" si="0"/>
        <v>7.2054739493229825E-2</v>
      </c>
      <c r="U72" s="2">
        <v>19115</v>
      </c>
      <c r="V72">
        <v>26.47</v>
      </c>
      <c r="W72">
        <f t="shared" si="1"/>
        <v>1.8300167585611149E-2</v>
      </c>
      <c r="Y72" s="2">
        <f t="shared" si="2"/>
        <v>23498</v>
      </c>
      <c r="Z72">
        <f t="shared" si="3"/>
        <v>7.2054739493229825E-2</v>
      </c>
      <c r="AA72">
        <f t="shared" si="4"/>
        <v>1.8300167585611149E-2</v>
      </c>
      <c r="AD72" s="2">
        <v>19664</v>
      </c>
      <c r="AE72">
        <v>5.976857538440683E-3</v>
      </c>
    </row>
    <row r="73" spans="1:31" x14ac:dyDescent="0.25">
      <c r="A73" s="2">
        <v>23102</v>
      </c>
      <c r="B73">
        <v>3937.183</v>
      </c>
      <c r="G73" s="2"/>
      <c r="I73" s="2">
        <v>23833</v>
      </c>
      <c r="J73">
        <v>4335.7587218675399</v>
      </c>
      <c r="L73" s="2"/>
      <c r="P73" s="2">
        <v>23529</v>
      </c>
      <c r="Q73">
        <v>407.1</v>
      </c>
      <c r="R73">
        <f t="shared" si="0"/>
        <v>7.3107018331210583E-2</v>
      </c>
      <c r="U73" s="2">
        <v>19146</v>
      </c>
      <c r="V73">
        <v>26.53</v>
      </c>
      <c r="W73">
        <f t="shared" si="1"/>
        <v>2.2875568599075358E-2</v>
      </c>
      <c r="Y73" s="2">
        <f t="shared" si="2"/>
        <v>23529</v>
      </c>
      <c r="Z73">
        <f t="shared" si="3"/>
        <v>7.3107018331210583E-2</v>
      </c>
      <c r="AA73">
        <f t="shared" si="4"/>
        <v>2.2875568599075358E-2</v>
      </c>
      <c r="AD73" s="2">
        <v>19694</v>
      </c>
      <c r="AE73">
        <v>5.9723955055304145E-3</v>
      </c>
    </row>
    <row r="74" spans="1:31" x14ac:dyDescent="0.25">
      <c r="A74" s="2">
        <v>23193</v>
      </c>
      <c r="B74">
        <v>4023.7550000000001</v>
      </c>
      <c r="G74" s="2"/>
      <c r="I74" s="2">
        <v>23924</v>
      </c>
      <c r="J74">
        <v>4383.1836714835299</v>
      </c>
      <c r="L74" s="2"/>
      <c r="P74" s="2">
        <v>23559</v>
      </c>
      <c r="Q74">
        <v>410.1</v>
      </c>
      <c r="R74">
        <f t="shared" si="0"/>
        <v>7.333922451819852E-2</v>
      </c>
      <c r="U74" s="2">
        <v>19176</v>
      </c>
      <c r="V74">
        <v>26.68</v>
      </c>
      <c r="W74">
        <f t="shared" si="1"/>
        <v>2.9285226473404258E-2</v>
      </c>
      <c r="Y74" s="2">
        <f t="shared" si="2"/>
        <v>23559</v>
      </c>
      <c r="Z74">
        <f t="shared" si="3"/>
        <v>7.333922451819852E-2</v>
      </c>
      <c r="AA74">
        <f t="shared" si="4"/>
        <v>2.9285226473404258E-2</v>
      </c>
      <c r="AD74" s="2">
        <v>19725</v>
      </c>
      <c r="AE74">
        <v>1.1198325310029844E-2</v>
      </c>
    </row>
    <row r="75" spans="1:31" x14ac:dyDescent="0.25">
      <c r="A75" s="2">
        <v>23285</v>
      </c>
      <c r="B75">
        <v>4050.1469999999999</v>
      </c>
      <c r="G75" s="2"/>
      <c r="I75" s="2">
        <v>24016</v>
      </c>
      <c r="J75">
        <v>4430.6556466358697</v>
      </c>
      <c r="L75" s="2"/>
      <c r="P75" s="2">
        <v>23590</v>
      </c>
      <c r="Q75">
        <v>413.4</v>
      </c>
      <c r="R75">
        <f t="shared" si="0"/>
        <v>7.4815304238384783E-2</v>
      </c>
      <c r="U75" s="2">
        <v>19207</v>
      </c>
      <c r="V75">
        <v>26.69</v>
      </c>
      <c r="W75">
        <f t="shared" si="1"/>
        <v>3.1591590072721498E-2</v>
      </c>
      <c r="Y75" s="2">
        <f t="shared" si="2"/>
        <v>23590</v>
      </c>
      <c r="Z75">
        <f t="shared" si="3"/>
        <v>7.4815304238384783E-2</v>
      </c>
      <c r="AA75">
        <f t="shared" si="4"/>
        <v>3.1591590072721498E-2</v>
      </c>
      <c r="AD75" s="2">
        <v>19756</v>
      </c>
      <c r="AE75">
        <v>1.4931221774984849E-2</v>
      </c>
    </row>
    <row r="76" spans="1:31" x14ac:dyDescent="0.25">
      <c r="A76" s="2">
        <v>23377</v>
      </c>
      <c r="B76">
        <v>4135.5529999999999</v>
      </c>
      <c r="G76" s="2"/>
      <c r="I76" s="2">
        <v>24108</v>
      </c>
      <c r="J76">
        <v>4478.53480272044</v>
      </c>
      <c r="L76" s="2"/>
      <c r="P76" s="2">
        <v>23621</v>
      </c>
      <c r="Q76">
        <v>416.9</v>
      </c>
      <c r="R76">
        <f t="shared" si="0"/>
        <v>7.7009015421920068E-2</v>
      </c>
      <c r="U76" s="2">
        <v>19238</v>
      </c>
      <c r="V76">
        <v>26.63</v>
      </c>
      <c r="W76">
        <f t="shared" si="1"/>
        <v>2.2788680819366913E-2</v>
      </c>
      <c r="Y76" s="2">
        <f t="shared" si="2"/>
        <v>23621</v>
      </c>
      <c r="Z76">
        <f t="shared" si="3"/>
        <v>7.7009015421920068E-2</v>
      </c>
      <c r="AA76">
        <f t="shared" si="4"/>
        <v>2.2788680819366913E-2</v>
      </c>
      <c r="AD76" s="2">
        <v>19784</v>
      </c>
      <c r="AE76">
        <v>1.120250699766645E-2</v>
      </c>
    </row>
    <row r="77" spans="1:31" x14ac:dyDescent="0.25">
      <c r="A77" s="2">
        <v>23468</v>
      </c>
      <c r="B77">
        <v>4180.5919999999996</v>
      </c>
      <c r="G77" s="2"/>
      <c r="I77" s="2">
        <v>24198</v>
      </c>
      <c r="J77">
        <v>4526.5819491025804</v>
      </c>
      <c r="L77" s="2"/>
      <c r="P77" s="2">
        <v>23651</v>
      </c>
      <c r="Q77">
        <v>419.1</v>
      </c>
      <c r="R77">
        <f t="shared" si="0"/>
        <v>7.6331318193404663E-2</v>
      </c>
      <c r="U77" s="2">
        <v>19268</v>
      </c>
      <c r="V77">
        <v>26.69</v>
      </c>
      <c r="W77">
        <f t="shared" si="1"/>
        <v>2.0057436827435104E-2</v>
      </c>
      <c r="Y77" s="2">
        <f t="shared" si="2"/>
        <v>23651</v>
      </c>
      <c r="Z77">
        <f t="shared" si="3"/>
        <v>7.6331318193404663E-2</v>
      </c>
      <c r="AA77">
        <f t="shared" si="4"/>
        <v>2.0057436827435104E-2</v>
      </c>
      <c r="AD77" s="2">
        <v>19815</v>
      </c>
      <c r="AE77">
        <v>6.3492276786587531E-3</v>
      </c>
    </row>
    <row r="78" spans="1:31" x14ac:dyDescent="0.25">
      <c r="A78" s="2">
        <v>23559</v>
      </c>
      <c r="B78">
        <v>4245.9179999999997</v>
      </c>
      <c r="G78" s="2"/>
      <c r="I78" s="2">
        <v>24289</v>
      </c>
      <c r="J78">
        <v>4575.4101718955199</v>
      </c>
      <c r="L78" s="2"/>
      <c r="P78" s="2">
        <v>23682</v>
      </c>
      <c r="Q78">
        <v>422</v>
      </c>
      <c r="R78">
        <f t="shared" si="0"/>
        <v>7.501979860515462E-2</v>
      </c>
      <c r="U78" s="2">
        <v>19299</v>
      </c>
      <c r="V78">
        <v>26.69</v>
      </c>
      <c r="W78">
        <f t="shared" si="1"/>
        <v>1.3959856959316674E-2</v>
      </c>
      <c r="Y78" s="2">
        <f t="shared" si="2"/>
        <v>23682</v>
      </c>
      <c r="Z78">
        <f t="shared" si="3"/>
        <v>7.501979860515462E-2</v>
      </c>
      <c r="AA78">
        <f t="shared" si="4"/>
        <v>1.3959856959316674E-2</v>
      </c>
      <c r="AD78" s="2">
        <v>19845</v>
      </c>
      <c r="AE78">
        <v>8.5773414173035967E-3</v>
      </c>
    </row>
    <row r="79" spans="1:31" x14ac:dyDescent="0.25">
      <c r="A79" s="2">
        <v>23651</v>
      </c>
      <c r="B79">
        <v>4259.0460000000003</v>
      </c>
      <c r="G79" s="2"/>
      <c r="I79" s="2">
        <v>24381</v>
      </c>
      <c r="J79">
        <v>4624.4366653223597</v>
      </c>
      <c r="L79" s="2"/>
      <c r="P79" s="2">
        <v>23712</v>
      </c>
      <c r="Q79">
        <v>424.7</v>
      </c>
      <c r="R79">
        <f t="shared" si="0"/>
        <v>7.7064649046214129E-2</v>
      </c>
      <c r="U79" s="2">
        <v>19329</v>
      </c>
      <c r="V79">
        <v>26.71</v>
      </c>
      <c r="W79">
        <f t="shared" si="1"/>
        <v>9.0260108828594809E-3</v>
      </c>
      <c r="Y79" s="2">
        <f t="shared" si="2"/>
        <v>23712</v>
      </c>
      <c r="Z79">
        <f t="shared" si="3"/>
        <v>7.7064649046214129E-2</v>
      </c>
      <c r="AA79">
        <f t="shared" si="4"/>
        <v>9.0260108828594809E-3</v>
      </c>
      <c r="AD79" s="2">
        <v>19876</v>
      </c>
      <c r="AE79">
        <v>6.3303134499568259E-3</v>
      </c>
    </row>
    <row r="80" spans="1:31" x14ac:dyDescent="0.25">
      <c r="A80" s="2">
        <v>23743</v>
      </c>
      <c r="B80">
        <v>4362.1109999999999</v>
      </c>
      <c r="G80" s="2"/>
      <c r="I80" s="2">
        <v>24473</v>
      </c>
      <c r="J80">
        <v>4675.2196797627003</v>
      </c>
      <c r="L80" s="2"/>
      <c r="P80" s="2">
        <v>23743</v>
      </c>
      <c r="Q80">
        <v>427.5</v>
      </c>
      <c r="R80">
        <f t="shared" si="0"/>
        <v>7.8562322503101356E-2</v>
      </c>
      <c r="U80" s="2">
        <v>19360</v>
      </c>
      <c r="V80">
        <v>26.64</v>
      </c>
      <c r="W80">
        <f t="shared" si="1"/>
        <v>7.1576873678798059E-3</v>
      </c>
      <c r="Y80" s="2">
        <f t="shared" si="2"/>
        <v>23743</v>
      </c>
      <c r="Z80">
        <f t="shared" si="3"/>
        <v>7.8562322503101356E-2</v>
      </c>
      <c r="AA80">
        <f t="shared" si="4"/>
        <v>7.1576873678798059E-3</v>
      </c>
      <c r="AD80" s="2">
        <v>19906</v>
      </c>
      <c r="AE80">
        <v>2.6095075385743627E-3</v>
      </c>
    </row>
    <row r="81" spans="1:31" x14ac:dyDescent="0.25">
      <c r="A81" s="2">
        <v>23833</v>
      </c>
      <c r="B81">
        <v>4417.2250000000004</v>
      </c>
      <c r="G81" s="2"/>
      <c r="I81" s="2">
        <v>24563</v>
      </c>
      <c r="J81">
        <v>4727.6762317848297</v>
      </c>
      <c r="L81" s="2"/>
      <c r="P81" s="2">
        <v>23774</v>
      </c>
      <c r="Q81">
        <v>430.4</v>
      </c>
      <c r="R81">
        <f t="shared" si="0"/>
        <v>7.9268534065155549E-2</v>
      </c>
      <c r="U81" s="2">
        <v>19391</v>
      </c>
      <c r="V81">
        <v>26.59</v>
      </c>
      <c r="W81">
        <f t="shared" si="1"/>
        <v>6.7924789458877477E-3</v>
      </c>
      <c r="Y81" s="2">
        <f t="shared" si="2"/>
        <v>23774</v>
      </c>
      <c r="Z81">
        <f t="shared" si="3"/>
        <v>7.9268534065155549E-2</v>
      </c>
      <c r="AA81">
        <f t="shared" si="4"/>
        <v>6.7924789458877477E-3</v>
      </c>
      <c r="AD81" s="2">
        <v>19937</v>
      </c>
      <c r="AE81">
        <v>0</v>
      </c>
    </row>
    <row r="82" spans="1:31" x14ac:dyDescent="0.25">
      <c r="A82" s="2">
        <v>23924</v>
      </c>
      <c r="B82">
        <v>4515.4269999999997</v>
      </c>
      <c r="G82" s="2"/>
      <c r="I82" s="2">
        <v>24654</v>
      </c>
      <c r="J82">
        <v>4781.42211583471</v>
      </c>
      <c r="L82" s="2"/>
      <c r="P82" s="2">
        <v>23802</v>
      </c>
      <c r="Q82">
        <v>433.2</v>
      </c>
      <c r="R82">
        <f t="shared" si="0"/>
        <v>8.0235093060535334E-2</v>
      </c>
      <c r="U82" s="2">
        <v>19419</v>
      </c>
      <c r="V82">
        <v>26.63</v>
      </c>
      <c r="W82">
        <f t="shared" si="1"/>
        <v>9.0532493106083578E-3</v>
      </c>
      <c r="Y82" s="2">
        <f t="shared" si="2"/>
        <v>23802</v>
      </c>
      <c r="Z82">
        <f t="shared" si="3"/>
        <v>8.0235093060535334E-2</v>
      </c>
      <c r="AA82">
        <f t="shared" si="4"/>
        <v>9.0532493106083578E-3</v>
      </c>
      <c r="AD82" s="2">
        <v>19968</v>
      </c>
      <c r="AE82">
        <v>-2.979518032905748E-3</v>
      </c>
    </row>
    <row r="83" spans="1:31" x14ac:dyDescent="0.25">
      <c r="A83" s="2">
        <v>24016</v>
      </c>
      <c r="B83">
        <v>4619.4579999999996</v>
      </c>
      <c r="G83" s="2"/>
      <c r="I83" s="2">
        <v>24746</v>
      </c>
      <c r="J83">
        <v>4836.5952729411802</v>
      </c>
      <c r="L83" s="2"/>
      <c r="P83" s="2">
        <v>23833</v>
      </c>
      <c r="Q83">
        <v>435.4</v>
      </c>
      <c r="R83">
        <f t="shared" si="0"/>
        <v>8.0559607435210623E-2</v>
      </c>
      <c r="U83" s="2">
        <v>19450</v>
      </c>
      <c r="V83">
        <v>26.69</v>
      </c>
      <c r="W83">
        <f t="shared" si="1"/>
        <v>8.6548047296233221E-3</v>
      </c>
      <c r="Y83" s="2">
        <f t="shared" si="2"/>
        <v>23833</v>
      </c>
      <c r="Z83">
        <f t="shared" si="3"/>
        <v>8.0559607435210623E-2</v>
      </c>
      <c r="AA83">
        <f t="shared" si="4"/>
        <v>8.6548047296233221E-3</v>
      </c>
      <c r="AD83" s="2">
        <v>19998</v>
      </c>
      <c r="AE83">
        <v>-8.570948686561497E-3</v>
      </c>
    </row>
    <row r="84" spans="1:31" x14ac:dyDescent="0.25">
      <c r="A84" s="2">
        <v>24108</v>
      </c>
      <c r="B84">
        <v>4731.8879999999999</v>
      </c>
      <c r="G84" s="2"/>
      <c r="I84" s="2">
        <v>24838</v>
      </c>
      <c r="J84">
        <v>4891.94035744334</v>
      </c>
      <c r="L84" s="2"/>
      <c r="P84" s="2">
        <v>23863</v>
      </c>
      <c r="Q84">
        <v>437.1</v>
      </c>
      <c r="R84">
        <f t="shared" ref="R84:R147" si="5">LN(Q84)-LN(Q72)</f>
        <v>7.825219689974805E-2</v>
      </c>
      <c r="U84" s="2">
        <v>19480</v>
      </c>
      <c r="V84">
        <v>26.7</v>
      </c>
      <c r="W84">
        <f t="shared" ref="W84:W147" si="6">LN(V84)-LN(V72)</f>
        <v>8.651549167193906E-3</v>
      </c>
      <c r="Y84" s="2">
        <f t="shared" si="2"/>
        <v>23863</v>
      </c>
      <c r="Z84">
        <f t="shared" si="3"/>
        <v>7.825219689974805E-2</v>
      </c>
      <c r="AA84">
        <f t="shared" si="4"/>
        <v>8.651549167193906E-3</v>
      </c>
      <c r="AD84" s="2">
        <v>20029</v>
      </c>
      <c r="AE84">
        <v>-2.6104806918469947E-3</v>
      </c>
    </row>
    <row r="85" spans="1:31" x14ac:dyDescent="0.25">
      <c r="A85" s="2">
        <v>24198</v>
      </c>
      <c r="B85">
        <v>4748.0460000000003</v>
      </c>
      <c r="G85" s="2"/>
      <c r="I85" s="2">
        <v>24929</v>
      </c>
      <c r="J85">
        <v>4946.5500039489898</v>
      </c>
      <c r="L85" s="2"/>
      <c r="P85" s="2">
        <v>23894</v>
      </c>
      <c r="Q85">
        <v>440.1</v>
      </c>
      <c r="R85">
        <f t="shared" si="5"/>
        <v>7.7943118308112069E-2</v>
      </c>
      <c r="U85" s="2">
        <v>19511</v>
      </c>
      <c r="V85">
        <v>26.77</v>
      </c>
      <c r="W85">
        <f t="shared" si="6"/>
        <v>9.0056893826129247E-3</v>
      </c>
      <c r="Y85" s="2">
        <f t="shared" ref="Y85:Y148" si="7">P85</f>
        <v>23894</v>
      </c>
      <c r="Z85">
        <f t="shared" ref="Z85:Z148" si="8">R85</f>
        <v>7.7943118308112069E-2</v>
      </c>
      <c r="AA85">
        <f t="shared" ref="AA85:AA148" si="9">W85</f>
        <v>9.0056893826129247E-3</v>
      </c>
      <c r="AD85" s="2">
        <v>20059</v>
      </c>
      <c r="AE85">
        <v>-3.7285650951384142E-3</v>
      </c>
    </row>
    <row r="86" spans="1:31" x14ac:dyDescent="0.25">
      <c r="A86" s="2">
        <v>24289</v>
      </c>
      <c r="B86">
        <v>4788.2539999999999</v>
      </c>
      <c r="G86" s="2"/>
      <c r="I86" s="2">
        <v>25020</v>
      </c>
      <c r="J86">
        <v>5001.69685067718</v>
      </c>
      <c r="L86" s="2"/>
      <c r="P86" s="2">
        <v>23924</v>
      </c>
      <c r="Q86">
        <v>442.9</v>
      </c>
      <c r="R86">
        <f t="shared" si="5"/>
        <v>7.6942978531139516E-2</v>
      </c>
      <c r="U86" s="2">
        <v>19541</v>
      </c>
      <c r="V86">
        <v>26.79</v>
      </c>
      <c r="W86">
        <f t="shared" si="6"/>
        <v>4.1144625090945297E-3</v>
      </c>
      <c r="Y86" s="2">
        <f t="shared" si="7"/>
        <v>23924</v>
      </c>
      <c r="Z86">
        <f t="shared" si="8"/>
        <v>7.6942978531139516E-2</v>
      </c>
      <c r="AA86">
        <f t="shared" si="9"/>
        <v>4.1144625090945297E-3</v>
      </c>
      <c r="AD86" s="2">
        <v>20090</v>
      </c>
      <c r="AE86">
        <v>-6.3303134499568259E-3</v>
      </c>
    </row>
    <row r="87" spans="1:31" x14ac:dyDescent="0.25">
      <c r="A87" s="2">
        <v>24381</v>
      </c>
      <c r="B87">
        <v>4827.5370000000003</v>
      </c>
      <c r="G87" s="2"/>
      <c r="I87" s="2">
        <v>25112</v>
      </c>
      <c r="J87">
        <v>5057.1719377242598</v>
      </c>
      <c r="L87" s="2"/>
      <c r="P87" s="2">
        <v>23955</v>
      </c>
      <c r="Q87">
        <v>445.8</v>
      </c>
      <c r="R87">
        <f t="shared" si="5"/>
        <v>7.5454773704100475E-2</v>
      </c>
      <c r="U87" s="2">
        <v>19572</v>
      </c>
      <c r="V87">
        <v>26.85</v>
      </c>
      <c r="W87">
        <f t="shared" si="6"/>
        <v>5.976857538440683E-3</v>
      </c>
      <c r="Y87" s="2">
        <f t="shared" si="7"/>
        <v>23955</v>
      </c>
      <c r="Z87">
        <f t="shared" si="8"/>
        <v>7.5454773704100475E-2</v>
      </c>
      <c r="AA87">
        <f t="shared" si="9"/>
        <v>5.976857538440683E-3</v>
      </c>
      <c r="AD87" s="2">
        <v>20121</v>
      </c>
      <c r="AE87">
        <v>-6.318549176381083E-3</v>
      </c>
    </row>
    <row r="88" spans="1:31" x14ac:dyDescent="0.25">
      <c r="A88" s="2">
        <v>24473</v>
      </c>
      <c r="B88">
        <v>4870.299</v>
      </c>
      <c r="G88" s="2"/>
      <c r="I88" s="2">
        <v>25204</v>
      </c>
      <c r="J88">
        <v>5110.8445256511204</v>
      </c>
      <c r="L88" s="2"/>
      <c r="P88" s="2">
        <v>23986</v>
      </c>
      <c r="Q88">
        <v>449.5</v>
      </c>
      <c r="R88">
        <f t="shared" si="5"/>
        <v>7.5289469024923505E-2</v>
      </c>
      <c r="U88" s="2">
        <v>19603</v>
      </c>
      <c r="V88">
        <v>26.89</v>
      </c>
      <c r="W88">
        <f t="shared" si="6"/>
        <v>9.7160704549326127E-3</v>
      </c>
      <c r="Y88" s="2">
        <f t="shared" si="7"/>
        <v>23986</v>
      </c>
      <c r="Z88">
        <f t="shared" si="8"/>
        <v>7.5289469024923505E-2</v>
      </c>
      <c r="AA88">
        <f t="shared" si="9"/>
        <v>9.7160704549326127E-3</v>
      </c>
      <c r="AD88" s="2">
        <v>20149</v>
      </c>
      <c r="AE88">
        <v>-5.2122232669900015E-3</v>
      </c>
    </row>
    <row r="89" spans="1:31" x14ac:dyDescent="0.25">
      <c r="A89" s="2">
        <v>24563</v>
      </c>
      <c r="B89">
        <v>4873.2870000000003</v>
      </c>
      <c r="G89" s="2"/>
      <c r="I89" s="2">
        <v>25294</v>
      </c>
      <c r="J89">
        <v>5162.5168141941704</v>
      </c>
      <c r="L89" s="2"/>
      <c r="P89" s="2">
        <v>24016</v>
      </c>
      <c r="Q89">
        <v>452.6</v>
      </c>
      <c r="R89">
        <f t="shared" si="5"/>
        <v>7.6899178268410751E-2</v>
      </c>
      <c r="U89" s="2">
        <v>19633</v>
      </c>
      <c r="V89">
        <v>26.95</v>
      </c>
      <c r="W89">
        <f t="shared" si="6"/>
        <v>9.6943339385733296E-3</v>
      </c>
      <c r="Y89" s="2">
        <f t="shared" si="7"/>
        <v>24016</v>
      </c>
      <c r="Z89">
        <f t="shared" si="8"/>
        <v>7.6899178268410751E-2</v>
      </c>
      <c r="AA89">
        <f t="shared" si="9"/>
        <v>9.6943339385733296E-3</v>
      </c>
      <c r="AD89" s="2">
        <v>20180</v>
      </c>
      <c r="AE89">
        <v>-2.6095075385743627E-3</v>
      </c>
    </row>
    <row r="90" spans="1:31" x14ac:dyDescent="0.25">
      <c r="A90" s="2">
        <v>24654</v>
      </c>
      <c r="B90">
        <v>4919.3919999999998</v>
      </c>
      <c r="G90" s="2"/>
      <c r="I90" s="2">
        <v>25385</v>
      </c>
      <c r="J90">
        <v>5211.7147729901499</v>
      </c>
      <c r="L90" s="2"/>
      <c r="P90" s="2">
        <v>24047</v>
      </c>
      <c r="Q90">
        <v>455.7</v>
      </c>
      <c r="R90">
        <f t="shared" si="5"/>
        <v>7.6829384233824349E-2</v>
      </c>
      <c r="U90" s="2">
        <v>19664</v>
      </c>
      <c r="V90">
        <v>26.85</v>
      </c>
      <c r="W90">
        <f t="shared" si="6"/>
        <v>5.976857538440683E-3</v>
      </c>
      <c r="Y90" s="2">
        <f t="shared" si="7"/>
        <v>24047</v>
      </c>
      <c r="Z90">
        <f t="shared" si="8"/>
        <v>7.6829384233824349E-2</v>
      </c>
      <c r="AA90">
        <f t="shared" si="9"/>
        <v>5.976857538440683E-3</v>
      </c>
      <c r="AD90" s="2">
        <v>20210</v>
      </c>
      <c r="AE90">
        <v>-5.9590492912460213E-3</v>
      </c>
    </row>
    <row r="91" spans="1:31" x14ac:dyDescent="0.25">
      <c r="A91" s="2">
        <v>24746</v>
      </c>
      <c r="B91">
        <v>4956.4769999999999</v>
      </c>
      <c r="G91" s="2"/>
      <c r="I91" s="2">
        <v>25477</v>
      </c>
      <c r="J91">
        <v>5258.8812936301501</v>
      </c>
      <c r="L91" s="2"/>
      <c r="P91" s="2">
        <v>24077</v>
      </c>
      <c r="Q91">
        <v>459.2</v>
      </c>
      <c r="R91">
        <f t="shared" si="5"/>
        <v>7.810280768613076E-2</v>
      </c>
      <c r="U91" s="2">
        <v>19694</v>
      </c>
      <c r="V91">
        <v>26.87</v>
      </c>
      <c r="W91">
        <f t="shared" si="6"/>
        <v>5.9723955055304145E-3</v>
      </c>
      <c r="Y91" s="2">
        <f t="shared" si="7"/>
        <v>24077</v>
      </c>
      <c r="Z91">
        <f t="shared" si="8"/>
        <v>7.810280768613076E-2</v>
      </c>
      <c r="AA91">
        <f t="shared" si="9"/>
        <v>5.9723955055304145E-3</v>
      </c>
      <c r="AD91" s="2">
        <v>20241</v>
      </c>
      <c r="AE91">
        <v>-8.5741438603488263E-3</v>
      </c>
    </row>
    <row r="92" spans="1:31" x14ac:dyDescent="0.25">
      <c r="A92" s="2">
        <v>24838</v>
      </c>
      <c r="B92">
        <v>5057.5529999999999</v>
      </c>
      <c r="G92" s="2"/>
      <c r="I92" s="2">
        <v>25569</v>
      </c>
      <c r="J92">
        <v>5304.0704272368303</v>
      </c>
      <c r="L92" s="2"/>
      <c r="P92" s="2">
        <v>24108</v>
      </c>
      <c r="Q92">
        <v>462</v>
      </c>
      <c r="R92">
        <f t="shared" si="5"/>
        <v>7.7610602704924148E-2</v>
      </c>
      <c r="U92" s="2">
        <v>19725</v>
      </c>
      <c r="V92">
        <v>26.94</v>
      </c>
      <c r="W92">
        <f t="shared" si="6"/>
        <v>1.1198325310029844E-2</v>
      </c>
      <c r="Y92" s="2">
        <f t="shared" si="7"/>
        <v>24108</v>
      </c>
      <c r="Z92">
        <f t="shared" si="8"/>
        <v>7.7610602704924148E-2</v>
      </c>
      <c r="AA92">
        <f t="shared" si="9"/>
        <v>1.1198325310029844E-2</v>
      </c>
      <c r="AD92" s="2">
        <v>20271</v>
      </c>
      <c r="AE92">
        <v>-3.7299558350638584E-3</v>
      </c>
    </row>
    <row r="93" spans="1:31" x14ac:dyDescent="0.25">
      <c r="A93" s="2">
        <v>24929</v>
      </c>
      <c r="B93">
        <v>5142.0330000000004</v>
      </c>
      <c r="G93" s="2"/>
      <c r="I93" s="2">
        <v>25659</v>
      </c>
      <c r="J93">
        <v>5347.1374266212997</v>
      </c>
      <c r="L93" s="2"/>
      <c r="P93" s="2">
        <v>24139</v>
      </c>
      <c r="Q93">
        <v>464.6</v>
      </c>
      <c r="R93">
        <f t="shared" si="5"/>
        <v>7.6461811488734099E-2</v>
      </c>
      <c r="U93" s="2">
        <v>19756</v>
      </c>
      <c r="V93">
        <v>26.99</v>
      </c>
      <c r="W93">
        <f t="shared" si="6"/>
        <v>1.4931221774984849E-2</v>
      </c>
      <c r="Y93" s="2">
        <f t="shared" si="7"/>
        <v>24139</v>
      </c>
      <c r="Z93">
        <f t="shared" si="8"/>
        <v>7.6461811488734099E-2</v>
      </c>
      <c r="AA93">
        <f t="shared" si="9"/>
        <v>1.4931221774984849E-2</v>
      </c>
      <c r="AD93" s="2">
        <v>20302</v>
      </c>
      <c r="AE93">
        <v>-4.8534722864288504E-3</v>
      </c>
    </row>
    <row r="94" spans="1:31" x14ac:dyDescent="0.25">
      <c r="A94" s="2">
        <v>25020</v>
      </c>
      <c r="B94">
        <v>5181.8590000000004</v>
      </c>
      <c r="G94" s="2"/>
      <c r="I94" s="2">
        <v>25750</v>
      </c>
      <c r="J94">
        <v>5389.2315319375903</v>
      </c>
      <c r="L94" s="2"/>
      <c r="P94" s="2">
        <v>24167</v>
      </c>
      <c r="Q94">
        <v>467.2</v>
      </c>
      <c r="R94">
        <f t="shared" si="5"/>
        <v>7.5557916387182011E-2</v>
      </c>
      <c r="U94" s="2">
        <v>19784</v>
      </c>
      <c r="V94">
        <v>26.93</v>
      </c>
      <c r="W94">
        <f t="shared" si="6"/>
        <v>1.120250699766645E-2</v>
      </c>
      <c r="Y94" s="2">
        <f t="shared" si="7"/>
        <v>24167</v>
      </c>
      <c r="Z94">
        <f t="shared" si="8"/>
        <v>7.5557916387182011E-2</v>
      </c>
      <c r="AA94">
        <f t="shared" si="9"/>
        <v>1.120250699766645E-2</v>
      </c>
      <c r="AD94" s="2">
        <v>20333</v>
      </c>
      <c r="AE94">
        <v>1.4908687070058768E-3</v>
      </c>
    </row>
    <row r="95" spans="1:31" x14ac:dyDescent="0.25">
      <c r="A95" s="2">
        <v>25112</v>
      </c>
      <c r="B95">
        <v>5202.2120000000004</v>
      </c>
      <c r="G95" s="2"/>
      <c r="I95" s="2">
        <v>25842</v>
      </c>
      <c r="J95">
        <v>5431.2086436692098</v>
      </c>
      <c r="L95" s="2"/>
      <c r="P95" s="2">
        <v>24198</v>
      </c>
      <c r="Q95">
        <v>469.3</v>
      </c>
      <c r="R95">
        <f t="shared" si="5"/>
        <v>7.4977073999924926E-2</v>
      </c>
      <c r="U95" s="2">
        <v>19815</v>
      </c>
      <c r="V95">
        <v>26.86</v>
      </c>
      <c r="W95">
        <f t="shared" si="6"/>
        <v>6.3492276786587531E-3</v>
      </c>
      <c r="Y95" s="2">
        <f t="shared" si="7"/>
        <v>24198</v>
      </c>
      <c r="Z95">
        <f t="shared" si="8"/>
        <v>7.4977073999924926E-2</v>
      </c>
      <c r="AA95">
        <f t="shared" si="9"/>
        <v>6.3492276786587531E-3</v>
      </c>
      <c r="AD95" s="2">
        <v>20363</v>
      </c>
      <c r="AE95">
        <v>3.7355291850875716E-3</v>
      </c>
    </row>
    <row r="96" spans="1:31" x14ac:dyDescent="0.25">
      <c r="A96" s="2">
        <v>25204</v>
      </c>
      <c r="B96">
        <v>5283.5969999999998</v>
      </c>
      <c r="G96" s="2"/>
      <c r="I96" s="2">
        <v>25934</v>
      </c>
      <c r="J96">
        <v>5474.8700790686698</v>
      </c>
      <c r="L96" s="2"/>
      <c r="P96" s="2">
        <v>24228</v>
      </c>
      <c r="Q96">
        <v>470.1</v>
      </c>
      <c r="R96">
        <f t="shared" si="5"/>
        <v>7.2783436160816173E-2</v>
      </c>
      <c r="U96" s="2">
        <v>19845</v>
      </c>
      <c r="V96">
        <v>26.93</v>
      </c>
      <c r="W96">
        <f t="shared" si="6"/>
        <v>8.5773414173035967E-3</v>
      </c>
      <c r="Y96" s="2">
        <f t="shared" si="7"/>
        <v>24228</v>
      </c>
      <c r="Z96">
        <f t="shared" si="8"/>
        <v>7.2783436160816173E-2</v>
      </c>
      <c r="AA96">
        <f t="shared" si="9"/>
        <v>8.5773414173035967E-3</v>
      </c>
      <c r="AD96" s="2">
        <v>20394</v>
      </c>
      <c r="AE96">
        <v>3.7271753919219108E-3</v>
      </c>
    </row>
    <row r="97" spans="1:31" x14ac:dyDescent="0.25">
      <c r="A97" s="2">
        <v>25294</v>
      </c>
      <c r="B97">
        <v>5299.625</v>
      </c>
      <c r="G97" s="2"/>
      <c r="I97" s="2">
        <v>26024</v>
      </c>
      <c r="J97">
        <v>5521.3416413738096</v>
      </c>
      <c r="L97" s="2"/>
      <c r="P97" s="2">
        <v>24259</v>
      </c>
      <c r="Q97">
        <v>471.2</v>
      </c>
      <c r="R97">
        <f t="shared" si="5"/>
        <v>6.8280658520331272E-2</v>
      </c>
      <c r="U97" s="2">
        <v>19876</v>
      </c>
      <c r="V97">
        <v>26.94</v>
      </c>
      <c r="W97">
        <f t="shared" si="6"/>
        <v>6.3303134499568259E-3</v>
      </c>
      <c r="Y97" s="2">
        <f t="shared" si="7"/>
        <v>24259</v>
      </c>
      <c r="Z97">
        <f t="shared" si="8"/>
        <v>6.8280658520331272E-2</v>
      </c>
      <c r="AA97">
        <f t="shared" si="9"/>
        <v>6.3303134499568259E-3</v>
      </c>
      <c r="AD97" s="2">
        <v>20424</v>
      </c>
      <c r="AE97">
        <v>3.7285650951384142E-3</v>
      </c>
    </row>
    <row r="98" spans="1:31" x14ac:dyDescent="0.25">
      <c r="A98" s="2">
        <v>25385</v>
      </c>
      <c r="B98">
        <v>5334.6</v>
      </c>
      <c r="G98" s="2"/>
      <c r="I98" s="2">
        <v>26115</v>
      </c>
      <c r="J98">
        <v>5569.3140516613103</v>
      </c>
      <c r="L98" s="2"/>
      <c r="P98" s="2">
        <v>24289</v>
      </c>
      <c r="Q98">
        <v>470.9</v>
      </c>
      <c r="R98">
        <f t="shared" si="5"/>
        <v>6.130174632035601E-2</v>
      </c>
      <c r="U98" s="2">
        <v>19906</v>
      </c>
      <c r="V98">
        <v>26.86</v>
      </c>
      <c r="W98">
        <f t="shared" si="6"/>
        <v>2.6095075385743627E-3</v>
      </c>
      <c r="Y98" s="2">
        <f t="shared" si="7"/>
        <v>24289</v>
      </c>
      <c r="Z98">
        <f t="shared" si="8"/>
        <v>6.130174632035601E-2</v>
      </c>
      <c r="AA98">
        <f t="shared" si="9"/>
        <v>2.6095075385743627E-3</v>
      </c>
      <c r="AD98" s="2">
        <v>20455</v>
      </c>
      <c r="AE98">
        <v>2.2388069052712289E-3</v>
      </c>
    </row>
    <row r="99" spans="1:31" x14ac:dyDescent="0.25">
      <c r="A99" s="2">
        <v>25477</v>
      </c>
      <c r="B99">
        <v>5308.5559999999996</v>
      </c>
      <c r="G99" s="2"/>
      <c r="I99" s="2">
        <v>26207</v>
      </c>
      <c r="J99">
        <v>5617.4187314830197</v>
      </c>
      <c r="L99" s="2"/>
      <c r="P99" s="2">
        <v>24320</v>
      </c>
      <c r="Q99">
        <v>472.6</v>
      </c>
      <c r="R99">
        <f t="shared" si="5"/>
        <v>5.8378943801038474E-2</v>
      </c>
      <c r="U99" s="2">
        <v>19937</v>
      </c>
      <c r="V99">
        <v>26.85</v>
      </c>
      <c r="W99">
        <f t="shared" si="6"/>
        <v>0</v>
      </c>
      <c r="Y99" s="2">
        <f t="shared" si="7"/>
        <v>24320</v>
      </c>
      <c r="Z99">
        <f t="shared" si="8"/>
        <v>5.8378943801038474E-2</v>
      </c>
      <c r="AA99">
        <f t="shared" si="9"/>
        <v>0</v>
      </c>
      <c r="AD99" s="2">
        <v>20486</v>
      </c>
      <c r="AE99">
        <v>1.490313241559349E-3</v>
      </c>
    </row>
    <row r="100" spans="1:31" x14ac:dyDescent="0.25">
      <c r="A100" s="2">
        <v>25569</v>
      </c>
      <c r="B100">
        <v>5300.652</v>
      </c>
      <c r="G100" s="2"/>
      <c r="I100" s="2">
        <v>26299</v>
      </c>
      <c r="J100">
        <v>5664.3909529100802</v>
      </c>
      <c r="L100" s="2"/>
      <c r="P100" s="2">
        <v>24351</v>
      </c>
      <c r="Q100">
        <v>475.4</v>
      </c>
      <c r="R100">
        <f t="shared" si="5"/>
        <v>5.6020701014419139E-2</v>
      </c>
      <c r="U100" s="2">
        <v>19968</v>
      </c>
      <c r="V100">
        <v>26.81</v>
      </c>
      <c r="W100">
        <f t="shared" si="6"/>
        <v>-2.979518032905748E-3</v>
      </c>
      <c r="Y100" s="2">
        <f t="shared" si="7"/>
        <v>24351</v>
      </c>
      <c r="Z100">
        <f t="shared" si="8"/>
        <v>5.6020701014419139E-2</v>
      </c>
      <c r="AA100">
        <f t="shared" si="9"/>
        <v>-2.979518032905748E-3</v>
      </c>
      <c r="AD100" s="2">
        <v>20515</v>
      </c>
      <c r="AE100">
        <v>3.7257867242561638E-3</v>
      </c>
    </row>
    <row r="101" spans="1:31" x14ac:dyDescent="0.25">
      <c r="A101" s="2">
        <v>25659</v>
      </c>
      <c r="B101">
        <v>5308.1639999999998</v>
      </c>
      <c r="G101" s="2"/>
      <c r="I101" s="2">
        <v>26390</v>
      </c>
      <c r="J101">
        <v>5709.1653680908403</v>
      </c>
      <c r="L101" s="2"/>
      <c r="P101" s="2">
        <v>24381</v>
      </c>
      <c r="Q101">
        <v>475.7</v>
      </c>
      <c r="R101">
        <f t="shared" si="5"/>
        <v>4.977867023879945E-2</v>
      </c>
      <c r="U101" s="2">
        <v>19998</v>
      </c>
      <c r="V101">
        <v>26.72</v>
      </c>
      <c r="W101">
        <f t="shared" si="6"/>
        <v>-8.570948686561497E-3</v>
      </c>
      <c r="Y101" s="2">
        <f t="shared" si="7"/>
        <v>24381</v>
      </c>
      <c r="Z101">
        <f t="shared" si="8"/>
        <v>4.977867023879945E-2</v>
      </c>
      <c r="AA101">
        <f t="shared" si="9"/>
        <v>-8.570948686561497E-3</v>
      </c>
      <c r="AD101" s="2">
        <v>20546</v>
      </c>
      <c r="AE101">
        <v>5.2122232669900015E-3</v>
      </c>
    </row>
    <row r="102" spans="1:31" x14ac:dyDescent="0.25">
      <c r="A102" s="2">
        <v>25750</v>
      </c>
      <c r="B102">
        <v>5357.0770000000002</v>
      </c>
      <c r="G102" s="2"/>
      <c r="I102" s="2">
        <v>26481</v>
      </c>
      <c r="J102">
        <v>5752.6790842282398</v>
      </c>
      <c r="L102" s="2"/>
      <c r="P102" s="2">
        <v>24412</v>
      </c>
      <c r="Q102">
        <v>477.3</v>
      </c>
      <c r="R102">
        <f t="shared" si="5"/>
        <v>4.6310525742014441E-2</v>
      </c>
      <c r="U102" s="2">
        <v>20029</v>
      </c>
      <c r="V102">
        <v>26.78</v>
      </c>
      <c r="W102">
        <f t="shared" si="6"/>
        <v>-2.6104806918469947E-3</v>
      </c>
      <c r="Y102" s="2">
        <f t="shared" si="7"/>
        <v>24412</v>
      </c>
      <c r="Z102">
        <f t="shared" si="8"/>
        <v>4.6310525742014441E-2</v>
      </c>
      <c r="AA102">
        <f t="shared" si="9"/>
        <v>-2.6104806918469947E-3</v>
      </c>
      <c r="AD102" s="2">
        <v>20576</v>
      </c>
      <c r="AE102">
        <v>9.6655027560950124E-3</v>
      </c>
    </row>
    <row r="103" spans="1:31" x14ac:dyDescent="0.25">
      <c r="A103" s="2">
        <v>25842</v>
      </c>
      <c r="B103">
        <v>5299.6719999999996</v>
      </c>
      <c r="G103" s="2"/>
      <c r="I103" s="2">
        <v>26573</v>
      </c>
      <c r="J103">
        <v>5796.1329440783602</v>
      </c>
      <c r="L103" s="2"/>
      <c r="P103" s="2">
        <v>24442</v>
      </c>
      <c r="Q103">
        <v>480.2</v>
      </c>
      <c r="R103">
        <f t="shared" si="5"/>
        <v>4.471683878179622E-2</v>
      </c>
      <c r="U103" s="2">
        <v>20059</v>
      </c>
      <c r="V103">
        <v>26.77</v>
      </c>
      <c r="W103">
        <f t="shared" si="6"/>
        <v>-3.7285650951384142E-3</v>
      </c>
      <c r="Y103" s="2">
        <f t="shared" si="7"/>
        <v>24442</v>
      </c>
      <c r="Z103">
        <f t="shared" si="8"/>
        <v>4.471683878179622E-2</v>
      </c>
      <c r="AA103">
        <f t="shared" si="9"/>
        <v>-3.7285650951384142E-3</v>
      </c>
      <c r="AD103" s="2">
        <v>20607</v>
      </c>
      <c r="AE103">
        <v>1.6339019258075016E-2</v>
      </c>
    </row>
    <row r="104" spans="1:31" x14ac:dyDescent="0.25">
      <c r="A104" s="2">
        <v>25934</v>
      </c>
      <c r="B104">
        <v>5443.6189999999997</v>
      </c>
      <c r="G104" s="2"/>
      <c r="I104" s="2">
        <v>26665</v>
      </c>
      <c r="J104">
        <v>5841.0329158676304</v>
      </c>
      <c r="L104" s="2"/>
      <c r="P104" s="2">
        <v>24473</v>
      </c>
      <c r="Q104">
        <v>481.6</v>
      </c>
      <c r="R104">
        <f t="shared" si="5"/>
        <v>4.1549002912872446E-2</v>
      </c>
      <c r="U104" s="2">
        <v>20090</v>
      </c>
      <c r="V104">
        <v>26.77</v>
      </c>
      <c r="W104">
        <f t="shared" si="6"/>
        <v>-6.3303134499568259E-3</v>
      </c>
      <c r="Y104" s="2">
        <f t="shared" si="7"/>
        <v>24473</v>
      </c>
      <c r="Z104">
        <f t="shared" si="8"/>
        <v>4.1549002912872446E-2</v>
      </c>
      <c r="AA104">
        <f t="shared" si="9"/>
        <v>-6.3303134499568259E-3</v>
      </c>
      <c r="AD104" s="2">
        <v>20637</v>
      </c>
      <c r="AE104">
        <v>1.9612099460219135E-2</v>
      </c>
    </row>
    <row r="105" spans="1:31" x14ac:dyDescent="0.25">
      <c r="A105" s="2">
        <v>26024</v>
      </c>
      <c r="B105">
        <v>5473.0590000000002</v>
      </c>
      <c r="G105" s="2"/>
      <c r="I105" s="2">
        <v>26755</v>
      </c>
      <c r="J105">
        <v>5889.3928121928602</v>
      </c>
      <c r="L105" s="2"/>
      <c r="P105" s="2">
        <v>24504</v>
      </c>
      <c r="Q105">
        <v>485.1</v>
      </c>
      <c r="R105">
        <f t="shared" si="5"/>
        <v>4.3178234914861946E-2</v>
      </c>
      <c r="U105" s="2">
        <v>20121</v>
      </c>
      <c r="V105">
        <v>26.82</v>
      </c>
      <c r="W105">
        <f t="shared" si="6"/>
        <v>-6.318549176381083E-3</v>
      </c>
      <c r="Y105" s="2">
        <f t="shared" si="7"/>
        <v>24504</v>
      </c>
      <c r="Z105">
        <f t="shared" si="8"/>
        <v>4.3178234914861946E-2</v>
      </c>
      <c r="AA105">
        <f t="shared" si="9"/>
        <v>-6.318549176381083E-3</v>
      </c>
      <c r="AD105" s="2">
        <v>20668</v>
      </c>
      <c r="AE105">
        <v>2.1840586817168717E-2</v>
      </c>
    </row>
    <row r="106" spans="1:31" x14ac:dyDescent="0.25">
      <c r="A106" s="2">
        <v>26115</v>
      </c>
      <c r="B106">
        <v>5518.0720000000001</v>
      </c>
      <c r="G106" s="2"/>
      <c r="I106" s="2">
        <v>26846</v>
      </c>
      <c r="J106">
        <v>5939.38085289429</v>
      </c>
      <c r="L106" s="2"/>
      <c r="P106" s="2">
        <v>24532</v>
      </c>
      <c r="Q106">
        <v>489.7</v>
      </c>
      <c r="R106">
        <f t="shared" si="5"/>
        <v>4.7035527194254634E-2</v>
      </c>
      <c r="U106" s="2">
        <v>20149</v>
      </c>
      <c r="V106">
        <v>26.79</v>
      </c>
      <c r="W106">
        <f t="shared" si="6"/>
        <v>-5.2122232669900015E-3</v>
      </c>
      <c r="Y106" s="2">
        <f t="shared" si="7"/>
        <v>24532</v>
      </c>
      <c r="Z106">
        <f t="shared" si="8"/>
        <v>4.7035527194254634E-2</v>
      </c>
      <c r="AA106">
        <f t="shared" si="9"/>
        <v>-5.2122232669900015E-3</v>
      </c>
      <c r="AD106" s="2">
        <v>20699</v>
      </c>
      <c r="AE106">
        <v>1.8450707913116648E-2</v>
      </c>
    </row>
    <row r="107" spans="1:31" x14ac:dyDescent="0.25">
      <c r="A107" s="2">
        <v>26207</v>
      </c>
      <c r="B107">
        <v>5531.0320000000002</v>
      </c>
      <c r="G107" s="2"/>
      <c r="I107" s="2">
        <v>26938</v>
      </c>
      <c r="J107">
        <v>5991.0066670402903</v>
      </c>
      <c r="L107" s="2"/>
      <c r="P107" s="2">
        <v>24563</v>
      </c>
      <c r="Q107">
        <v>492.1</v>
      </c>
      <c r="R107">
        <f t="shared" si="5"/>
        <v>4.7439725071560801E-2</v>
      </c>
      <c r="U107" s="2">
        <v>20180</v>
      </c>
      <c r="V107">
        <v>26.79</v>
      </c>
      <c r="W107">
        <f t="shared" si="6"/>
        <v>-2.6095075385743627E-3</v>
      </c>
      <c r="Y107" s="2">
        <f t="shared" si="7"/>
        <v>24563</v>
      </c>
      <c r="Z107">
        <f t="shared" si="8"/>
        <v>4.7439725071560801E-2</v>
      </c>
      <c r="AA107">
        <f t="shared" si="9"/>
        <v>-2.6095075385743627E-3</v>
      </c>
      <c r="AD107" s="2">
        <v>20729</v>
      </c>
      <c r="AE107">
        <v>2.5401697082950925E-2</v>
      </c>
    </row>
    <row r="108" spans="1:31" x14ac:dyDescent="0.25">
      <c r="A108" s="2">
        <v>26299</v>
      </c>
      <c r="B108">
        <v>5632.6490000000003</v>
      </c>
      <c r="G108" s="2"/>
      <c r="I108" s="2">
        <v>27030</v>
      </c>
      <c r="J108">
        <v>6043.39712067245</v>
      </c>
      <c r="L108" s="2"/>
      <c r="P108" s="2">
        <v>24593</v>
      </c>
      <c r="Q108">
        <v>497.2</v>
      </c>
      <c r="R108">
        <f t="shared" si="5"/>
        <v>5.60469216064714E-2</v>
      </c>
      <c r="U108" s="2">
        <v>20210</v>
      </c>
      <c r="V108">
        <v>26.77</v>
      </c>
      <c r="W108">
        <f t="shared" si="6"/>
        <v>-5.9590492912460213E-3</v>
      </c>
      <c r="Y108" s="2">
        <f t="shared" si="7"/>
        <v>24593</v>
      </c>
      <c r="Z108">
        <f t="shared" si="8"/>
        <v>5.60469216064714E-2</v>
      </c>
      <c r="AA108">
        <f t="shared" si="9"/>
        <v>-5.9590492912460213E-3</v>
      </c>
      <c r="AD108" s="2">
        <v>20760</v>
      </c>
      <c r="AE108">
        <v>2.316705928153473E-2</v>
      </c>
    </row>
    <row r="109" spans="1:31" x14ac:dyDescent="0.25">
      <c r="A109" s="2">
        <v>26390</v>
      </c>
      <c r="B109">
        <v>5760.47</v>
      </c>
      <c r="G109" s="2"/>
      <c r="I109" s="2">
        <v>27120</v>
      </c>
      <c r="J109">
        <v>6095.98293638217</v>
      </c>
      <c r="L109" s="2"/>
      <c r="P109" s="2">
        <v>24624</v>
      </c>
      <c r="Q109">
        <v>502</v>
      </c>
      <c r="R109">
        <f t="shared" si="5"/>
        <v>6.3317487354352053E-2</v>
      </c>
      <c r="U109" s="2">
        <v>20241</v>
      </c>
      <c r="V109">
        <v>26.71</v>
      </c>
      <c r="W109">
        <f t="shared" si="6"/>
        <v>-8.5741438603488263E-3</v>
      </c>
      <c r="Y109" s="2">
        <f t="shared" si="7"/>
        <v>24624</v>
      </c>
      <c r="Z109">
        <f t="shared" si="8"/>
        <v>6.3317487354352053E-2</v>
      </c>
      <c r="AA109">
        <f t="shared" si="9"/>
        <v>-8.5741438603488263E-3</v>
      </c>
      <c r="AD109" s="2">
        <v>20790</v>
      </c>
      <c r="AE109">
        <v>2.7891716307925307E-2</v>
      </c>
    </row>
    <row r="110" spans="1:31" x14ac:dyDescent="0.25">
      <c r="A110" s="2">
        <v>26481</v>
      </c>
      <c r="B110">
        <v>5814.8540000000003</v>
      </c>
      <c r="G110" s="2"/>
      <c r="I110" s="2">
        <v>27211</v>
      </c>
      <c r="J110">
        <v>6147.6943091448702</v>
      </c>
      <c r="L110" s="2"/>
      <c r="P110" s="2">
        <v>24654</v>
      </c>
      <c r="Q110">
        <v>506.3</v>
      </c>
      <c r="R110">
        <f t="shared" si="5"/>
        <v>7.2483621726354919E-2</v>
      </c>
      <c r="U110" s="2">
        <v>20271</v>
      </c>
      <c r="V110">
        <v>26.76</v>
      </c>
      <c r="W110">
        <f t="shared" si="6"/>
        <v>-3.7299558350638584E-3</v>
      </c>
      <c r="Y110" s="2">
        <f t="shared" si="7"/>
        <v>24654</v>
      </c>
      <c r="Z110">
        <f t="shared" si="8"/>
        <v>7.2483621726354919E-2</v>
      </c>
      <c r="AA110">
        <f t="shared" si="9"/>
        <v>-3.7299558350638584E-3</v>
      </c>
      <c r="AD110" s="2">
        <v>20821</v>
      </c>
      <c r="AE110">
        <v>3.0828129361302192E-2</v>
      </c>
    </row>
    <row r="111" spans="1:31" x14ac:dyDescent="0.25">
      <c r="A111" s="2">
        <v>26573</v>
      </c>
      <c r="B111">
        <v>5912.22</v>
      </c>
      <c r="G111" s="2"/>
      <c r="I111" s="2">
        <v>27303</v>
      </c>
      <c r="J111">
        <v>6198.8162244063196</v>
      </c>
      <c r="L111" s="2"/>
      <c r="P111" s="2">
        <v>24685</v>
      </c>
      <c r="Q111">
        <v>510.8</v>
      </c>
      <c r="R111">
        <f t="shared" si="5"/>
        <v>7.7728759405577108E-2</v>
      </c>
      <c r="U111" s="2">
        <v>20302</v>
      </c>
      <c r="V111">
        <v>26.72</v>
      </c>
      <c r="W111">
        <f t="shared" si="6"/>
        <v>-4.8534722864288504E-3</v>
      </c>
      <c r="Y111" s="2">
        <f t="shared" si="7"/>
        <v>24685</v>
      </c>
      <c r="Z111">
        <f t="shared" si="8"/>
        <v>7.7728759405577108E-2</v>
      </c>
      <c r="AA111">
        <f t="shared" si="9"/>
        <v>-4.8534722864288504E-3</v>
      </c>
      <c r="AD111" s="2">
        <v>20852</v>
      </c>
      <c r="AE111">
        <v>3.439782960149973E-2</v>
      </c>
    </row>
    <row r="112" spans="1:31" x14ac:dyDescent="0.25">
      <c r="A112" s="2">
        <v>26665</v>
      </c>
      <c r="B112">
        <v>6058.5439999999999</v>
      </c>
      <c r="G112" s="2"/>
      <c r="I112" s="2">
        <v>27395</v>
      </c>
      <c r="J112">
        <v>6248.9172327205197</v>
      </c>
      <c r="L112" s="2"/>
      <c r="P112" s="2">
        <v>24716</v>
      </c>
      <c r="Q112">
        <v>514.70000000000005</v>
      </c>
      <c r="R112">
        <f t="shared" si="5"/>
        <v>7.9427651732615345E-2</v>
      </c>
      <c r="U112" s="2">
        <v>20333</v>
      </c>
      <c r="V112">
        <v>26.85</v>
      </c>
      <c r="W112">
        <f t="shared" si="6"/>
        <v>1.4908687070058768E-3</v>
      </c>
      <c r="Y112" s="2">
        <f t="shared" si="7"/>
        <v>24716</v>
      </c>
      <c r="Z112">
        <f t="shared" si="8"/>
        <v>7.9427651732615345E-2</v>
      </c>
      <c r="AA112">
        <f t="shared" si="9"/>
        <v>1.4908687070058768E-3</v>
      </c>
      <c r="AD112" s="2">
        <v>20880</v>
      </c>
      <c r="AE112">
        <v>3.5437498070886253E-2</v>
      </c>
    </row>
    <row r="113" spans="1:31" x14ac:dyDescent="0.25">
      <c r="A113" s="2">
        <v>26755</v>
      </c>
      <c r="B113">
        <v>6124.5060000000003</v>
      </c>
      <c r="G113" s="2"/>
      <c r="I113" s="2">
        <v>27485</v>
      </c>
      <c r="J113">
        <v>6298.4327116076802</v>
      </c>
      <c r="L113" s="2"/>
      <c r="P113" s="2">
        <v>24746</v>
      </c>
      <c r="Q113">
        <v>518.20000000000005</v>
      </c>
      <c r="R113">
        <f t="shared" si="5"/>
        <v>8.5573864689773238E-2</v>
      </c>
      <c r="U113" s="2">
        <v>20363</v>
      </c>
      <c r="V113">
        <v>26.82</v>
      </c>
      <c r="W113">
        <f t="shared" si="6"/>
        <v>3.7355291850875716E-3</v>
      </c>
      <c r="Y113" s="2">
        <f t="shared" si="7"/>
        <v>24746</v>
      </c>
      <c r="Z113">
        <f t="shared" si="8"/>
        <v>8.5573864689773238E-2</v>
      </c>
      <c r="AA113">
        <f t="shared" si="9"/>
        <v>3.7355291850875716E-3</v>
      </c>
      <c r="AD113" s="2">
        <v>20911</v>
      </c>
      <c r="AE113">
        <v>3.6460473133578031E-2</v>
      </c>
    </row>
    <row r="114" spans="1:31" x14ac:dyDescent="0.25">
      <c r="A114" s="2">
        <v>26846</v>
      </c>
      <c r="B114">
        <v>6092.3010000000004</v>
      </c>
      <c r="G114" s="2"/>
      <c r="I114" s="2">
        <v>27576</v>
      </c>
      <c r="J114">
        <v>6347.6753165197297</v>
      </c>
      <c r="L114" s="2"/>
      <c r="P114" s="2">
        <v>24777</v>
      </c>
      <c r="Q114">
        <v>521.20000000000005</v>
      </c>
      <c r="R114">
        <f t="shared" si="5"/>
        <v>8.7988621238839215E-2</v>
      </c>
      <c r="U114" s="2">
        <v>20394</v>
      </c>
      <c r="V114">
        <v>26.88</v>
      </c>
      <c r="W114">
        <f t="shared" si="6"/>
        <v>3.7271753919219108E-3</v>
      </c>
      <c r="Y114" s="2">
        <f t="shared" si="7"/>
        <v>24777</v>
      </c>
      <c r="Z114">
        <f t="shared" si="8"/>
        <v>8.7988621238839215E-2</v>
      </c>
      <c r="AA114">
        <f t="shared" si="9"/>
        <v>3.7271753919219108E-3</v>
      </c>
      <c r="AD114" s="2">
        <v>20941</v>
      </c>
      <c r="AE114">
        <v>3.5257149886847472E-2</v>
      </c>
    </row>
    <row r="115" spans="1:31" x14ac:dyDescent="0.25">
      <c r="A115" s="2">
        <v>26938</v>
      </c>
      <c r="B115">
        <v>6150.1310000000003</v>
      </c>
      <c r="G115" s="2"/>
      <c r="I115" s="2">
        <v>27668</v>
      </c>
      <c r="J115">
        <v>6396.9195958252503</v>
      </c>
      <c r="L115" s="2"/>
      <c r="P115" s="2">
        <v>24807</v>
      </c>
      <c r="Q115">
        <v>524.79999999999995</v>
      </c>
      <c r="R115">
        <f t="shared" si="5"/>
        <v>8.8814553842726518E-2</v>
      </c>
      <c r="U115" s="2">
        <v>20424</v>
      </c>
      <c r="V115">
        <v>26.87</v>
      </c>
      <c r="W115">
        <f t="shared" si="6"/>
        <v>3.7285650951384142E-3</v>
      </c>
      <c r="Y115" s="2">
        <f t="shared" si="7"/>
        <v>24807</v>
      </c>
      <c r="Z115">
        <f t="shared" si="8"/>
        <v>8.8814553842726518E-2</v>
      </c>
      <c r="AA115">
        <f t="shared" si="9"/>
        <v>3.7285650951384142E-3</v>
      </c>
      <c r="AD115" s="2">
        <v>20972</v>
      </c>
      <c r="AE115">
        <v>3.4748338538496348E-2</v>
      </c>
    </row>
    <row r="116" spans="1:31" x14ac:dyDescent="0.25">
      <c r="A116" s="2">
        <v>27030</v>
      </c>
      <c r="B116">
        <v>6097.2579999999998</v>
      </c>
      <c r="G116" s="2"/>
      <c r="I116" s="2">
        <v>27760</v>
      </c>
      <c r="J116">
        <v>6445.5884796049804</v>
      </c>
      <c r="L116" s="2"/>
      <c r="P116" s="2">
        <v>24838</v>
      </c>
      <c r="Q116">
        <v>527.4</v>
      </c>
      <c r="R116">
        <f t="shared" si="5"/>
        <v>9.0845379924575198E-2</v>
      </c>
      <c r="U116" s="2">
        <v>20455</v>
      </c>
      <c r="V116">
        <v>26.83</v>
      </c>
      <c r="W116">
        <f t="shared" si="6"/>
        <v>2.2388069052712289E-3</v>
      </c>
      <c r="Y116" s="2">
        <f t="shared" si="7"/>
        <v>24838</v>
      </c>
      <c r="Z116">
        <f t="shared" si="8"/>
        <v>9.0845379924575198E-2</v>
      </c>
      <c r="AA116">
        <f t="shared" si="9"/>
        <v>2.2388069052712289E-3</v>
      </c>
      <c r="AD116" s="2">
        <v>21002</v>
      </c>
      <c r="AE116">
        <v>3.2446970405774156E-2</v>
      </c>
    </row>
    <row r="117" spans="1:31" x14ac:dyDescent="0.25">
      <c r="A117" s="2">
        <v>27120</v>
      </c>
      <c r="B117">
        <v>6111.7510000000002</v>
      </c>
      <c r="G117" s="2"/>
      <c r="I117" s="2">
        <v>27851</v>
      </c>
      <c r="J117">
        <v>6494.4295660852304</v>
      </c>
      <c r="L117" s="2"/>
      <c r="P117" s="2">
        <v>24869</v>
      </c>
      <c r="Q117">
        <v>530.4</v>
      </c>
      <c r="R117">
        <f t="shared" si="5"/>
        <v>8.9276383620481958E-2</v>
      </c>
      <c r="U117" s="2">
        <v>20486</v>
      </c>
      <c r="V117">
        <v>26.86</v>
      </c>
      <c r="W117">
        <f t="shared" si="6"/>
        <v>1.490313241559349E-3</v>
      </c>
      <c r="Y117" s="2">
        <f t="shared" si="7"/>
        <v>24869</v>
      </c>
      <c r="Z117">
        <f t="shared" si="8"/>
        <v>8.9276383620481958E-2</v>
      </c>
      <c r="AA117">
        <f t="shared" si="9"/>
        <v>1.490313241559349E-3</v>
      </c>
      <c r="AD117" s="2">
        <v>21033</v>
      </c>
      <c r="AE117">
        <v>3.4901905542758627E-2</v>
      </c>
    </row>
    <row r="118" spans="1:31" x14ac:dyDescent="0.25">
      <c r="A118" s="2">
        <v>27211</v>
      </c>
      <c r="B118">
        <v>6053.9780000000001</v>
      </c>
      <c r="G118" s="2"/>
      <c r="I118" s="2">
        <v>27942</v>
      </c>
      <c r="J118">
        <v>6544.3713527317504</v>
      </c>
      <c r="L118" s="2"/>
      <c r="P118" s="2">
        <v>24898</v>
      </c>
      <c r="Q118">
        <v>533.20000000000005</v>
      </c>
      <c r="R118">
        <f t="shared" si="5"/>
        <v>8.5103629596281927E-2</v>
      </c>
      <c r="U118" s="2">
        <v>20515</v>
      </c>
      <c r="V118">
        <v>26.89</v>
      </c>
      <c r="W118">
        <f t="shared" si="6"/>
        <v>3.7257867242561638E-3</v>
      </c>
      <c r="Y118" s="2">
        <f t="shared" si="7"/>
        <v>24898</v>
      </c>
      <c r="Z118">
        <f t="shared" si="8"/>
        <v>8.5103629596281927E-2</v>
      </c>
      <c r="AA118">
        <f t="shared" si="9"/>
        <v>3.7257867242561638E-3</v>
      </c>
      <c r="AD118" s="2">
        <v>21064</v>
      </c>
      <c r="AE118">
        <v>3.4851739957528771E-2</v>
      </c>
    </row>
    <row r="119" spans="1:31" x14ac:dyDescent="0.25">
      <c r="A119" s="2">
        <v>27303</v>
      </c>
      <c r="B119">
        <v>6030.4639999999999</v>
      </c>
      <c r="G119" s="2"/>
      <c r="I119" s="2">
        <v>28034</v>
      </c>
      <c r="J119">
        <v>6594.9370873778798</v>
      </c>
      <c r="L119" s="2"/>
      <c r="P119" s="2">
        <v>24929</v>
      </c>
      <c r="Q119">
        <v>535.70000000000005</v>
      </c>
      <c r="R119">
        <f t="shared" si="5"/>
        <v>8.4892355014981824E-2</v>
      </c>
      <c r="U119" s="2">
        <v>20546</v>
      </c>
      <c r="V119">
        <v>26.93</v>
      </c>
      <c r="W119">
        <f t="shared" si="6"/>
        <v>5.2122232669900015E-3</v>
      </c>
      <c r="Y119" s="2">
        <f t="shared" si="7"/>
        <v>24929</v>
      </c>
      <c r="Z119">
        <f t="shared" si="8"/>
        <v>8.4892355014981824E-2</v>
      </c>
      <c r="AA119">
        <f t="shared" si="9"/>
        <v>5.2122232669900015E-3</v>
      </c>
      <c r="AD119" s="2">
        <v>21094</v>
      </c>
      <c r="AE119">
        <v>2.9018693889035774E-2</v>
      </c>
    </row>
    <row r="120" spans="1:31" x14ac:dyDescent="0.25">
      <c r="A120" s="2">
        <v>27395</v>
      </c>
      <c r="B120">
        <v>5957.0349999999999</v>
      </c>
      <c r="G120" s="2"/>
      <c r="I120" s="2">
        <v>28126</v>
      </c>
      <c r="J120">
        <v>6647.49169893012</v>
      </c>
      <c r="L120" s="2"/>
      <c r="P120" s="2">
        <v>24959</v>
      </c>
      <c r="Q120">
        <v>538.9</v>
      </c>
      <c r="R120">
        <f t="shared" si="5"/>
        <v>8.053766530289419E-2</v>
      </c>
      <c r="U120" s="2">
        <v>20576</v>
      </c>
      <c r="V120">
        <v>27.03</v>
      </c>
      <c r="W120">
        <f t="shared" si="6"/>
        <v>9.6655027560950124E-3</v>
      </c>
      <c r="Y120" s="2">
        <f t="shared" si="7"/>
        <v>24959</v>
      </c>
      <c r="Z120">
        <f t="shared" si="8"/>
        <v>8.053766530289419E-2</v>
      </c>
      <c r="AA120">
        <f t="shared" si="9"/>
        <v>9.6655027560950124E-3</v>
      </c>
      <c r="AD120" s="2">
        <v>21125</v>
      </c>
      <c r="AE120">
        <v>3.2191620929613141E-2</v>
      </c>
    </row>
    <row r="121" spans="1:31" x14ac:dyDescent="0.25">
      <c r="A121" s="2">
        <v>27485</v>
      </c>
      <c r="B121">
        <v>5999.61</v>
      </c>
      <c r="G121" s="2"/>
      <c r="I121" s="2">
        <v>28216</v>
      </c>
      <c r="J121">
        <v>6701.7160628849697</v>
      </c>
      <c r="L121" s="2"/>
      <c r="P121" s="2">
        <v>24990</v>
      </c>
      <c r="Q121">
        <v>542.6</v>
      </c>
      <c r="R121">
        <f t="shared" si="5"/>
        <v>7.7772280533102922E-2</v>
      </c>
      <c r="U121" s="2">
        <v>20607</v>
      </c>
      <c r="V121">
        <v>27.15</v>
      </c>
      <c r="W121">
        <f t="shared" si="6"/>
        <v>1.6339019258075016E-2</v>
      </c>
      <c r="Y121" s="2">
        <f t="shared" si="7"/>
        <v>24990</v>
      </c>
      <c r="Z121">
        <f t="shared" si="8"/>
        <v>7.7772280533102922E-2</v>
      </c>
      <c r="AA121">
        <f t="shared" si="9"/>
        <v>1.6339019258075016E-2</v>
      </c>
      <c r="AD121" s="2">
        <v>21155</v>
      </c>
      <c r="AE121">
        <v>2.9948762354621294E-2</v>
      </c>
    </row>
    <row r="122" spans="1:31" x14ac:dyDescent="0.25">
      <c r="A122" s="2">
        <v>27576</v>
      </c>
      <c r="B122">
        <v>6102.326</v>
      </c>
      <c r="G122" s="2"/>
      <c r="I122" s="2">
        <v>28307</v>
      </c>
      <c r="J122">
        <v>6757.0967562430997</v>
      </c>
      <c r="L122" s="2"/>
      <c r="P122" s="2">
        <v>25020</v>
      </c>
      <c r="Q122">
        <v>545.6</v>
      </c>
      <c r="R122">
        <f t="shared" si="5"/>
        <v>7.4756727553388913E-2</v>
      </c>
      <c r="U122" s="2">
        <v>20637</v>
      </c>
      <c r="V122">
        <v>27.29</v>
      </c>
      <c r="W122">
        <f t="shared" si="6"/>
        <v>1.9612099460219135E-2</v>
      </c>
      <c r="Y122" s="2">
        <f t="shared" si="7"/>
        <v>25020</v>
      </c>
      <c r="Z122">
        <f t="shared" si="8"/>
        <v>7.4756727553388913E-2</v>
      </c>
      <c r="AA122">
        <f t="shared" si="9"/>
        <v>1.9612099460219135E-2</v>
      </c>
      <c r="AD122" s="2">
        <v>21186</v>
      </c>
      <c r="AE122">
        <v>3.4455548293609972E-2</v>
      </c>
    </row>
    <row r="123" spans="1:31" x14ac:dyDescent="0.25">
      <c r="A123" s="2">
        <v>27668</v>
      </c>
      <c r="B123">
        <v>6184.53</v>
      </c>
      <c r="G123" s="2"/>
      <c r="I123" s="2">
        <v>28399</v>
      </c>
      <c r="J123">
        <v>6814.1531570700299</v>
      </c>
      <c r="L123" s="2"/>
      <c r="P123" s="2">
        <v>25051</v>
      </c>
      <c r="Q123">
        <v>549.4</v>
      </c>
      <c r="R123">
        <f t="shared" si="5"/>
        <v>7.2848649502788909E-2</v>
      </c>
      <c r="U123" s="2">
        <v>20668</v>
      </c>
      <c r="V123">
        <v>27.31</v>
      </c>
      <c r="W123">
        <f t="shared" si="6"/>
        <v>2.1840586817168717E-2</v>
      </c>
      <c r="Y123" s="2">
        <f t="shared" si="7"/>
        <v>25051</v>
      </c>
      <c r="Z123">
        <f t="shared" si="8"/>
        <v>7.2848649502788909E-2</v>
      </c>
      <c r="AA123">
        <f t="shared" si="9"/>
        <v>2.1840586817168717E-2</v>
      </c>
      <c r="AD123" s="2">
        <v>21217</v>
      </c>
      <c r="AE123">
        <v>3.1861102068984071E-2</v>
      </c>
    </row>
    <row r="124" spans="1:31" x14ac:dyDescent="0.25">
      <c r="A124" s="2">
        <v>27760</v>
      </c>
      <c r="B124">
        <v>6323.6490000000003</v>
      </c>
      <c r="G124" s="2"/>
      <c r="I124" s="2">
        <v>28491</v>
      </c>
      <c r="J124">
        <v>6872.5753452798899</v>
      </c>
      <c r="L124" s="2"/>
      <c r="P124" s="2">
        <v>25082</v>
      </c>
      <c r="Q124">
        <v>553.6</v>
      </c>
      <c r="R124">
        <f t="shared" si="5"/>
        <v>7.2858197644750433E-2</v>
      </c>
      <c r="U124" s="2">
        <v>20699</v>
      </c>
      <c r="V124">
        <v>27.35</v>
      </c>
      <c r="W124">
        <f t="shared" si="6"/>
        <v>1.8450707913116648E-2</v>
      </c>
      <c r="Y124" s="2">
        <f t="shared" si="7"/>
        <v>25082</v>
      </c>
      <c r="Z124">
        <f t="shared" si="8"/>
        <v>7.2858197644750433E-2</v>
      </c>
      <c r="AA124">
        <f t="shared" si="9"/>
        <v>1.8450707913116648E-2</v>
      </c>
      <c r="AD124" s="2">
        <v>21245</v>
      </c>
      <c r="AE124">
        <v>3.5611025323183831E-2</v>
      </c>
    </row>
    <row r="125" spans="1:31" x14ac:dyDescent="0.25">
      <c r="A125" s="2">
        <v>27851</v>
      </c>
      <c r="B125">
        <v>6370.0249999999996</v>
      </c>
      <c r="G125" s="2"/>
      <c r="I125" s="2">
        <v>28581</v>
      </c>
      <c r="J125">
        <v>6931.9252413345803</v>
      </c>
      <c r="L125" s="2"/>
      <c r="P125" s="2">
        <v>25112</v>
      </c>
      <c r="Q125">
        <v>557.6</v>
      </c>
      <c r="R125">
        <f t="shared" si="5"/>
        <v>7.3280591318305E-2</v>
      </c>
      <c r="U125" s="2">
        <v>20729</v>
      </c>
      <c r="V125">
        <v>27.51</v>
      </c>
      <c r="W125">
        <f t="shared" si="6"/>
        <v>2.5401697082950925E-2</v>
      </c>
      <c r="Y125" s="2">
        <f t="shared" si="7"/>
        <v>25112</v>
      </c>
      <c r="Z125">
        <f t="shared" si="8"/>
        <v>7.3280591318305E-2</v>
      </c>
      <c r="AA125">
        <f t="shared" si="9"/>
        <v>2.5401697082950925E-2</v>
      </c>
      <c r="AD125" s="2">
        <v>21276</v>
      </c>
      <c r="AE125">
        <v>3.552334124625256E-2</v>
      </c>
    </row>
    <row r="126" spans="1:31" x14ac:dyDescent="0.25">
      <c r="A126" s="2">
        <v>27942</v>
      </c>
      <c r="B126">
        <v>6404.8950000000004</v>
      </c>
      <c r="G126" s="2"/>
      <c r="I126" s="2">
        <v>28672</v>
      </c>
      <c r="J126">
        <v>6992.7450868962496</v>
      </c>
      <c r="L126" s="2"/>
      <c r="P126" s="2">
        <v>25143</v>
      </c>
      <c r="Q126">
        <v>562.4</v>
      </c>
      <c r="R126">
        <f t="shared" si="5"/>
        <v>7.6079495245765294E-2</v>
      </c>
      <c r="U126" s="2">
        <v>20760</v>
      </c>
      <c r="V126">
        <v>27.51</v>
      </c>
      <c r="W126">
        <f t="shared" si="6"/>
        <v>2.316705928153473E-2</v>
      </c>
      <c r="Y126" s="2">
        <f t="shared" si="7"/>
        <v>25143</v>
      </c>
      <c r="Z126">
        <f t="shared" si="8"/>
        <v>7.6079495245765294E-2</v>
      </c>
      <c r="AA126">
        <f t="shared" si="9"/>
        <v>2.316705928153473E-2</v>
      </c>
      <c r="AD126" s="2">
        <v>21306</v>
      </c>
      <c r="AE126">
        <v>3.3020211028134128E-2</v>
      </c>
    </row>
    <row r="127" spans="1:31" x14ac:dyDescent="0.25">
      <c r="A127" s="2">
        <v>28034</v>
      </c>
      <c r="B127">
        <v>6451.1769999999997</v>
      </c>
      <c r="G127" s="2"/>
      <c r="I127" s="2">
        <v>28764</v>
      </c>
      <c r="J127">
        <v>7054.8409907845298</v>
      </c>
      <c r="L127" s="2"/>
      <c r="P127" s="2">
        <v>25173</v>
      </c>
      <c r="Q127">
        <v>566.79999999999995</v>
      </c>
      <c r="R127">
        <f t="shared" si="5"/>
        <v>7.6989270186646586E-2</v>
      </c>
      <c r="U127" s="2">
        <v>20790</v>
      </c>
      <c r="V127">
        <v>27.63</v>
      </c>
      <c r="W127">
        <f t="shared" si="6"/>
        <v>2.7891716307925307E-2</v>
      </c>
      <c r="Y127" s="2">
        <f t="shared" si="7"/>
        <v>25173</v>
      </c>
      <c r="Z127">
        <f t="shared" si="8"/>
        <v>7.6989270186646586E-2</v>
      </c>
      <c r="AA127">
        <f t="shared" si="9"/>
        <v>2.7891716307925307E-2</v>
      </c>
      <c r="AD127" s="2">
        <v>21337</v>
      </c>
      <c r="AE127">
        <v>2.8062171109814127E-2</v>
      </c>
    </row>
    <row r="128" spans="1:31" x14ac:dyDescent="0.25">
      <c r="A128" s="2">
        <v>28126</v>
      </c>
      <c r="B128">
        <v>6527.7030000000004</v>
      </c>
      <c r="G128" s="2"/>
      <c r="I128" s="2">
        <v>28856</v>
      </c>
      <c r="J128">
        <v>7119.0643988076299</v>
      </c>
      <c r="L128" s="2"/>
      <c r="P128" s="2">
        <v>25204</v>
      </c>
      <c r="Q128">
        <v>569.29999999999995</v>
      </c>
      <c r="R128">
        <f t="shared" si="5"/>
        <v>7.6448262037850157E-2</v>
      </c>
      <c r="U128" s="2">
        <v>20821</v>
      </c>
      <c r="V128">
        <v>27.67</v>
      </c>
      <c r="W128">
        <f t="shared" si="6"/>
        <v>3.0828129361302192E-2</v>
      </c>
      <c r="Y128" s="2">
        <f t="shared" si="7"/>
        <v>25204</v>
      </c>
      <c r="Z128">
        <f t="shared" si="8"/>
        <v>7.6448262037850157E-2</v>
      </c>
      <c r="AA128">
        <f t="shared" si="9"/>
        <v>3.0828129361302192E-2</v>
      </c>
      <c r="AD128" s="2">
        <v>21367</v>
      </c>
      <c r="AE128">
        <v>2.4528209352122854E-2</v>
      </c>
    </row>
    <row r="129" spans="1:31" x14ac:dyDescent="0.25">
      <c r="A129" s="2">
        <v>28216</v>
      </c>
      <c r="B129">
        <v>6654.4660000000003</v>
      </c>
      <c r="G129" s="2"/>
      <c r="I129" s="2">
        <v>28946</v>
      </c>
      <c r="J129">
        <v>7181.6448292312798</v>
      </c>
      <c r="L129" s="2"/>
      <c r="P129" s="2">
        <v>25235</v>
      </c>
      <c r="Q129">
        <v>571.9</v>
      </c>
      <c r="R129">
        <f t="shared" si="5"/>
        <v>7.5332712049617889E-2</v>
      </c>
      <c r="U129" s="2">
        <v>20852</v>
      </c>
      <c r="V129">
        <v>27.8</v>
      </c>
      <c r="W129">
        <f t="shared" si="6"/>
        <v>3.439782960149973E-2</v>
      </c>
      <c r="Y129" s="2">
        <f t="shared" si="7"/>
        <v>25235</v>
      </c>
      <c r="Z129">
        <f t="shared" si="8"/>
        <v>7.5332712049617889E-2</v>
      </c>
      <c r="AA129">
        <f t="shared" si="9"/>
        <v>3.439782960149973E-2</v>
      </c>
      <c r="AD129" s="2">
        <v>21398</v>
      </c>
      <c r="AE129">
        <v>2.3069880174965807E-2</v>
      </c>
    </row>
    <row r="130" spans="1:31" x14ac:dyDescent="0.25">
      <c r="A130" s="2">
        <v>28307</v>
      </c>
      <c r="B130">
        <v>6774.4570000000003</v>
      </c>
      <c r="G130" s="2"/>
      <c r="I130" s="2">
        <v>29037</v>
      </c>
      <c r="J130">
        <v>7241.2082450284097</v>
      </c>
      <c r="L130" s="2"/>
      <c r="P130" s="2">
        <v>25263</v>
      </c>
      <c r="Q130">
        <v>574.4</v>
      </c>
      <c r="R130">
        <f t="shared" si="5"/>
        <v>7.4429429429460292E-2</v>
      </c>
      <c r="U130" s="2">
        <v>20880</v>
      </c>
      <c r="V130">
        <v>27.86</v>
      </c>
      <c r="W130">
        <f t="shared" si="6"/>
        <v>3.5437498070886253E-2</v>
      </c>
      <c r="Y130" s="2">
        <f t="shared" si="7"/>
        <v>25263</v>
      </c>
      <c r="Z130">
        <f t="shared" si="8"/>
        <v>7.4429429429460292E-2</v>
      </c>
      <c r="AA130">
        <f t="shared" si="9"/>
        <v>3.5437498070886253E-2</v>
      </c>
      <c r="AD130" s="2">
        <v>21429</v>
      </c>
      <c r="AE130">
        <v>2.0619287202735759E-2</v>
      </c>
    </row>
    <row r="131" spans="1:31" x14ac:dyDescent="0.25">
      <c r="A131" s="2">
        <v>28399</v>
      </c>
      <c r="B131">
        <v>6774.5919999999996</v>
      </c>
      <c r="G131" s="2"/>
      <c r="I131" s="2">
        <v>29129</v>
      </c>
      <c r="J131">
        <v>7296.7818643585197</v>
      </c>
      <c r="L131" s="2"/>
      <c r="P131" s="2">
        <v>25294</v>
      </c>
      <c r="Q131">
        <v>575.70000000000005</v>
      </c>
      <c r="R131">
        <f t="shared" si="5"/>
        <v>7.2012388794849613E-2</v>
      </c>
      <c r="U131" s="2">
        <v>20911</v>
      </c>
      <c r="V131">
        <v>27.93</v>
      </c>
      <c r="W131">
        <f t="shared" si="6"/>
        <v>3.6460473133578031E-2</v>
      </c>
      <c r="Y131" s="2">
        <f t="shared" si="7"/>
        <v>25294</v>
      </c>
      <c r="Z131">
        <f t="shared" si="8"/>
        <v>7.2012388794849613E-2</v>
      </c>
      <c r="AA131">
        <f t="shared" si="9"/>
        <v>3.6460473133578031E-2</v>
      </c>
      <c r="AD131" s="2">
        <v>21459</v>
      </c>
      <c r="AE131">
        <v>2.0619287202735759E-2</v>
      </c>
    </row>
    <row r="132" spans="1:31" x14ac:dyDescent="0.25">
      <c r="A132" s="2">
        <v>28491</v>
      </c>
      <c r="B132">
        <v>6796.26</v>
      </c>
      <c r="G132" s="2"/>
      <c r="I132" s="2">
        <v>29221</v>
      </c>
      <c r="J132">
        <v>7347.1495491680898</v>
      </c>
      <c r="L132" s="2"/>
      <c r="P132" s="2">
        <v>25324</v>
      </c>
      <c r="Q132">
        <v>576.5</v>
      </c>
      <c r="R132">
        <f t="shared" si="5"/>
        <v>6.7445314769662978E-2</v>
      </c>
      <c r="U132" s="2">
        <v>20941</v>
      </c>
      <c r="V132">
        <v>28</v>
      </c>
      <c r="W132">
        <f t="shared" si="6"/>
        <v>3.5257149886847472E-2</v>
      </c>
      <c r="Y132" s="2">
        <f t="shared" si="7"/>
        <v>25324</v>
      </c>
      <c r="Z132">
        <f t="shared" si="8"/>
        <v>6.7445314769662978E-2</v>
      </c>
      <c r="AA132">
        <f t="shared" si="9"/>
        <v>3.5257149886847472E-2</v>
      </c>
      <c r="AD132" s="2">
        <v>21490</v>
      </c>
      <c r="AE132">
        <v>1.8829008152907889E-2</v>
      </c>
    </row>
    <row r="133" spans="1:31" x14ac:dyDescent="0.25">
      <c r="A133" s="2">
        <v>28581</v>
      </c>
      <c r="B133">
        <v>7058.92</v>
      </c>
      <c r="G133" s="2"/>
      <c r="I133" s="2">
        <v>29312</v>
      </c>
      <c r="J133">
        <v>7391.4670081180802</v>
      </c>
      <c r="L133" s="2"/>
      <c r="P133" s="2">
        <v>25355</v>
      </c>
      <c r="Q133">
        <v>578.5</v>
      </c>
      <c r="R133">
        <f t="shared" si="5"/>
        <v>6.4066146408899627E-2</v>
      </c>
      <c r="U133" s="2">
        <v>20972</v>
      </c>
      <c r="V133">
        <v>28.11</v>
      </c>
      <c r="W133">
        <f t="shared" si="6"/>
        <v>3.4748338538496348E-2</v>
      </c>
      <c r="Y133" s="2">
        <f t="shared" si="7"/>
        <v>25355</v>
      </c>
      <c r="Z133">
        <f t="shared" si="8"/>
        <v>6.4066146408899627E-2</v>
      </c>
      <c r="AA133">
        <f t="shared" si="9"/>
        <v>3.4748338538496348E-2</v>
      </c>
      <c r="AD133" s="2">
        <v>21520</v>
      </c>
      <c r="AE133">
        <v>1.7409910491312797E-2</v>
      </c>
    </row>
    <row r="134" spans="1:31" x14ac:dyDescent="0.25">
      <c r="A134" s="2">
        <v>28672</v>
      </c>
      <c r="B134">
        <v>7129.915</v>
      </c>
      <c r="G134" s="2"/>
      <c r="I134" s="2">
        <v>29403</v>
      </c>
      <c r="J134">
        <v>7429.8679451473299</v>
      </c>
      <c r="L134" s="2"/>
      <c r="P134" s="2">
        <v>25385</v>
      </c>
      <c r="Q134">
        <v>579.5</v>
      </c>
      <c r="R134">
        <f t="shared" si="5"/>
        <v>6.027955625055359E-2</v>
      </c>
      <c r="U134" s="2">
        <v>21002</v>
      </c>
      <c r="V134">
        <v>28.19</v>
      </c>
      <c r="W134">
        <f t="shared" si="6"/>
        <v>3.2446970405774156E-2</v>
      </c>
      <c r="Y134" s="2">
        <f t="shared" si="7"/>
        <v>25385</v>
      </c>
      <c r="Z134">
        <f t="shared" si="8"/>
        <v>6.027955625055359E-2</v>
      </c>
      <c r="AA134">
        <f t="shared" si="9"/>
        <v>3.2446970405774156E-2</v>
      </c>
      <c r="AD134" s="2">
        <v>21551</v>
      </c>
      <c r="AE134">
        <v>1.2836256040868133E-2</v>
      </c>
    </row>
    <row r="135" spans="1:31" x14ac:dyDescent="0.25">
      <c r="A135" s="2">
        <v>28764</v>
      </c>
      <c r="B135">
        <v>7225.75</v>
      </c>
      <c r="G135" s="2"/>
      <c r="I135" s="2">
        <v>29495</v>
      </c>
      <c r="J135">
        <v>7470.0081315671796</v>
      </c>
      <c r="L135" s="2"/>
      <c r="P135" s="2">
        <v>25416</v>
      </c>
      <c r="Q135">
        <v>580.1</v>
      </c>
      <c r="R135">
        <f t="shared" si="5"/>
        <v>5.4373728810845456E-2</v>
      </c>
      <c r="U135" s="2">
        <v>21033</v>
      </c>
      <c r="V135">
        <v>28.28</v>
      </c>
      <c r="W135">
        <f t="shared" si="6"/>
        <v>3.4901905542758627E-2</v>
      </c>
      <c r="Y135" s="2">
        <f t="shared" si="7"/>
        <v>25416</v>
      </c>
      <c r="Z135">
        <f t="shared" si="8"/>
        <v>5.4373728810845456E-2</v>
      </c>
      <c r="AA135">
        <f t="shared" si="9"/>
        <v>3.4901905542758627E-2</v>
      </c>
      <c r="AD135" s="2">
        <v>21582</v>
      </c>
      <c r="AE135">
        <v>1.039870722089864E-2</v>
      </c>
    </row>
    <row r="136" spans="1:31" x14ac:dyDescent="0.25">
      <c r="A136" s="2">
        <v>28856</v>
      </c>
      <c r="B136">
        <v>7238.7269999999999</v>
      </c>
      <c r="G136" s="2"/>
      <c r="I136" s="2">
        <v>29587</v>
      </c>
      <c r="J136">
        <v>7512.1112993364504</v>
      </c>
      <c r="L136" s="2"/>
      <c r="P136" s="2">
        <v>25447</v>
      </c>
      <c r="Q136">
        <v>582.1</v>
      </c>
      <c r="R136">
        <f t="shared" si="5"/>
        <v>5.0199849974230659E-2</v>
      </c>
      <c r="U136" s="2">
        <v>21064</v>
      </c>
      <c r="V136">
        <v>28.32</v>
      </c>
      <c r="W136">
        <f t="shared" si="6"/>
        <v>3.4851739957528771E-2</v>
      </c>
      <c r="Y136" s="2">
        <f t="shared" si="7"/>
        <v>25447</v>
      </c>
      <c r="Z136">
        <f t="shared" si="8"/>
        <v>5.0199849974230659E-2</v>
      </c>
      <c r="AA136">
        <f t="shared" si="9"/>
        <v>3.4851739957528771E-2</v>
      </c>
      <c r="AD136" s="2">
        <v>21610</v>
      </c>
      <c r="AE136">
        <v>3.4578181064155444E-3</v>
      </c>
    </row>
    <row r="137" spans="1:31" x14ac:dyDescent="0.25">
      <c r="A137" s="2">
        <v>28946</v>
      </c>
      <c r="B137">
        <v>7246.4539999999997</v>
      </c>
      <c r="G137" s="2"/>
      <c r="I137" s="2">
        <v>29677</v>
      </c>
      <c r="J137">
        <v>7560.5392279807402</v>
      </c>
      <c r="L137" s="2"/>
      <c r="P137" s="2">
        <v>25477</v>
      </c>
      <c r="Q137">
        <v>583.4</v>
      </c>
      <c r="R137">
        <f t="shared" si="5"/>
        <v>4.5231197987306793E-2</v>
      </c>
      <c r="U137" s="2">
        <v>21094</v>
      </c>
      <c r="V137">
        <v>28.32</v>
      </c>
      <c r="W137">
        <f t="shared" si="6"/>
        <v>2.9018693889035774E-2</v>
      </c>
      <c r="Y137" s="2">
        <f t="shared" si="7"/>
        <v>25477</v>
      </c>
      <c r="Z137">
        <f t="shared" si="8"/>
        <v>4.5231197987306793E-2</v>
      </c>
      <c r="AA137">
        <f t="shared" si="9"/>
        <v>2.9018693889035774E-2</v>
      </c>
      <c r="AD137" s="2">
        <v>21641</v>
      </c>
      <c r="AE137">
        <v>1.3812156891983562E-3</v>
      </c>
    </row>
    <row r="138" spans="1:31" x14ac:dyDescent="0.25">
      <c r="A138" s="2">
        <v>29037</v>
      </c>
      <c r="B138">
        <v>7300.2809999999999</v>
      </c>
      <c r="G138" s="2"/>
      <c r="I138" s="2">
        <v>29768</v>
      </c>
      <c r="J138">
        <v>7611.8807925211904</v>
      </c>
      <c r="L138" s="2"/>
      <c r="P138" s="2">
        <v>25508</v>
      </c>
      <c r="Q138">
        <v>585.4</v>
      </c>
      <c r="R138">
        <f t="shared" si="5"/>
        <v>4.0082033761329683E-2</v>
      </c>
      <c r="U138" s="2">
        <v>21125</v>
      </c>
      <c r="V138">
        <v>28.41</v>
      </c>
      <c r="W138">
        <f t="shared" si="6"/>
        <v>3.2191620929613141E-2</v>
      </c>
      <c r="Y138" s="2">
        <f t="shared" si="7"/>
        <v>25508</v>
      </c>
      <c r="Z138">
        <f t="shared" si="8"/>
        <v>4.0082033761329683E-2</v>
      </c>
      <c r="AA138">
        <f t="shared" si="9"/>
        <v>3.2191620929613141E-2</v>
      </c>
      <c r="AD138" s="2">
        <v>21671</v>
      </c>
      <c r="AE138">
        <v>3.4494687532573565E-3</v>
      </c>
    </row>
    <row r="139" spans="1:31" x14ac:dyDescent="0.25">
      <c r="A139" s="2">
        <v>29129</v>
      </c>
      <c r="B139">
        <v>7318.5349999999999</v>
      </c>
      <c r="G139" s="2"/>
      <c r="I139" s="2">
        <v>29860</v>
      </c>
      <c r="J139">
        <v>7666.1192595472003</v>
      </c>
      <c r="L139" s="2"/>
      <c r="P139" s="2">
        <v>25538</v>
      </c>
      <c r="Q139">
        <v>587.9</v>
      </c>
      <c r="R139">
        <f t="shared" si="5"/>
        <v>3.6550357591683458E-2</v>
      </c>
      <c r="U139" s="2">
        <v>21155</v>
      </c>
      <c r="V139">
        <v>28.47</v>
      </c>
      <c r="W139">
        <f t="shared" si="6"/>
        <v>2.9948762354621294E-2</v>
      </c>
      <c r="Y139" s="2">
        <f t="shared" si="7"/>
        <v>25538</v>
      </c>
      <c r="Z139">
        <f t="shared" si="8"/>
        <v>3.6550357591683458E-2</v>
      </c>
      <c r="AA139">
        <f t="shared" si="9"/>
        <v>2.9948762354621294E-2</v>
      </c>
      <c r="AD139" s="2">
        <v>21702</v>
      </c>
      <c r="AE139">
        <v>6.8942017292772384E-3</v>
      </c>
    </row>
    <row r="140" spans="1:31" x14ac:dyDescent="0.25">
      <c r="A140" s="2">
        <v>29221</v>
      </c>
      <c r="B140">
        <v>7341.5569999999998</v>
      </c>
      <c r="G140" s="2"/>
      <c r="I140" s="2">
        <v>29952</v>
      </c>
      <c r="J140">
        <v>7722.48979824056</v>
      </c>
      <c r="L140" s="2"/>
      <c r="P140" s="2">
        <v>25569</v>
      </c>
      <c r="Q140">
        <v>589.6</v>
      </c>
      <c r="R140">
        <f t="shared" si="5"/>
        <v>3.5036804918090247E-2</v>
      </c>
      <c r="U140" s="2">
        <v>21186</v>
      </c>
      <c r="V140">
        <v>28.64</v>
      </c>
      <c r="W140">
        <f t="shared" si="6"/>
        <v>3.4455548293609972E-2</v>
      </c>
      <c r="Y140" s="2">
        <f t="shared" si="7"/>
        <v>25569</v>
      </c>
      <c r="Z140">
        <f t="shared" si="8"/>
        <v>3.5036804918090247E-2</v>
      </c>
      <c r="AA140">
        <f t="shared" si="9"/>
        <v>3.4455548293609972E-2</v>
      </c>
      <c r="AD140" s="2">
        <v>21732</v>
      </c>
      <c r="AE140">
        <v>8.9593983183573478E-3</v>
      </c>
    </row>
    <row r="141" spans="1:31" x14ac:dyDescent="0.25">
      <c r="A141" s="2">
        <v>29312</v>
      </c>
      <c r="B141">
        <v>7190.2889999999998</v>
      </c>
      <c r="G141" s="2"/>
      <c r="I141" s="2">
        <v>30042</v>
      </c>
      <c r="J141">
        <v>7780.3755499427498</v>
      </c>
      <c r="L141" s="2"/>
      <c r="P141" s="2">
        <v>25600</v>
      </c>
      <c r="Q141">
        <v>586.29999999999995</v>
      </c>
      <c r="R141">
        <f t="shared" si="5"/>
        <v>2.4867453048898369E-2</v>
      </c>
      <c r="U141" s="2">
        <v>21217</v>
      </c>
      <c r="V141">
        <v>28.7</v>
      </c>
      <c r="W141">
        <f t="shared" si="6"/>
        <v>3.1861102068984071E-2</v>
      </c>
      <c r="Y141" s="2">
        <f t="shared" si="7"/>
        <v>25600</v>
      </c>
      <c r="Z141">
        <f t="shared" si="8"/>
        <v>2.4867453048898369E-2</v>
      </c>
      <c r="AA141">
        <f t="shared" si="9"/>
        <v>3.1861102068984071E-2</v>
      </c>
      <c r="AD141" s="2">
        <v>21763</v>
      </c>
      <c r="AE141">
        <v>8.2588218913017819E-3</v>
      </c>
    </row>
    <row r="142" spans="1:31" x14ac:dyDescent="0.25">
      <c r="A142" s="2">
        <v>29403</v>
      </c>
      <c r="B142">
        <v>7181.7430000000004</v>
      </c>
      <c r="G142" s="2"/>
      <c r="I142" s="2">
        <v>30133</v>
      </c>
      <c r="J142">
        <v>7839.48437655408</v>
      </c>
      <c r="L142" s="2"/>
      <c r="P142" s="2">
        <v>25628</v>
      </c>
      <c r="Q142">
        <v>587.29999999999995</v>
      </c>
      <c r="R142">
        <f t="shared" si="5"/>
        <v>2.2209744794459141E-2</v>
      </c>
      <c r="U142" s="2">
        <v>21245</v>
      </c>
      <c r="V142">
        <v>28.87</v>
      </c>
      <c r="W142">
        <f t="shared" si="6"/>
        <v>3.5611025323183831E-2</v>
      </c>
      <c r="Y142" s="2">
        <f t="shared" si="7"/>
        <v>25628</v>
      </c>
      <c r="Z142">
        <f t="shared" si="8"/>
        <v>2.2209744794459141E-2</v>
      </c>
      <c r="AA142">
        <f t="shared" si="9"/>
        <v>3.5611025323183831E-2</v>
      </c>
      <c r="AD142" s="2">
        <v>21794</v>
      </c>
      <c r="AE142">
        <v>1.1692017649610698E-2</v>
      </c>
    </row>
    <row r="143" spans="1:31" x14ac:dyDescent="0.25">
      <c r="A143" s="2">
        <v>29495</v>
      </c>
      <c r="B143">
        <v>7315.6769999999997</v>
      </c>
      <c r="G143" s="2"/>
      <c r="I143" s="2">
        <v>30225</v>
      </c>
      <c r="J143">
        <v>7899.9301127336403</v>
      </c>
      <c r="L143" s="2"/>
      <c r="P143" s="2">
        <v>25659</v>
      </c>
      <c r="Q143">
        <v>588.4</v>
      </c>
      <c r="R143">
        <f t="shared" si="5"/>
        <v>2.1820297045518799E-2</v>
      </c>
      <c r="U143" s="2">
        <v>21276</v>
      </c>
      <c r="V143">
        <v>28.94</v>
      </c>
      <c r="W143">
        <f t="shared" si="6"/>
        <v>3.552334124625256E-2</v>
      </c>
      <c r="Y143" s="2">
        <f t="shared" si="7"/>
        <v>25659</v>
      </c>
      <c r="Z143">
        <f t="shared" si="8"/>
        <v>2.1820297045518799E-2</v>
      </c>
      <c r="AA143">
        <f t="shared" si="9"/>
        <v>3.552334124625256E-2</v>
      </c>
      <c r="AD143" s="2">
        <v>21824</v>
      </c>
      <c r="AE143">
        <v>1.5104990245850658E-2</v>
      </c>
    </row>
    <row r="144" spans="1:31" x14ac:dyDescent="0.25">
      <c r="A144" s="2">
        <v>29587</v>
      </c>
      <c r="B144">
        <v>7459.0219999999999</v>
      </c>
      <c r="G144" s="2"/>
      <c r="I144" s="2">
        <v>30317</v>
      </c>
      <c r="J144">
        <v>7960.3048117895696</v>
      </c>
      <c r="L144" s="2"/>
      <c r="P144" s="2">
        <v>25689</v>
      </c>
      <c r="Q144">
        <v>591.5</v>
      </c>
      <c r="R144">
        <f t="shared" si="5"/>
        <v>2.5686343709327986E-2</v>
      </c>
      <c r="U144" s="2">
        <v>21306</v>
      </c>
      <c r="V144">
        <v>28.94</v>
      </c>
      <c r="W144">
        <f t="shared" si="6"/>
        <v>3.3020211028134128E-2</v>
      </c>
      <c r="Y144" s="2">
        <f t="shared" si="7"/>
        <v>25689</v>
      </c>
      <c r="Z144">
        <f t="shared" si="8"/>
        <v>2.5686343709327986E-2</v>
      </c>
      <c r="AA144">
        <f t="shared" si="9"/>
        <v>3.3020211028134128E-2</v>
      </c>
      <c r="AD144" s="2">
        <v>21855</v>
      </c>
      <c r="AE144">
        <v>1.3722342255101161E-2</v>
      </c>
    </row>
    <row r="145" spans="1:31" x14ac:dyDescent="0.25">
      <c r="A145" s="2">
        <v>29677</v>
      </c>
      <c r="B145">
        <v>7403.7449999999999</v>
      </c>
      <c r="G145" s="2"/>
      <c r="I145" s="2">
        <v>30407</v>
      </c>
      <c r="J145">
        <v>8022.2961828797997</v>
      </c>
      <c r="L145" s="2"/>
      <c r="P145" s="2">
        <v>25720</v>
      </c>
      <c r="Q145">
        <v>595.20000000000005</v>
      </c>
      <c r="R145">
        <f t="shared" si="5"/>
        <v>2.8458936885150443E-2</v>
      </c>
      <c r="U145" s="2">
        <v>21337</v>
      </c>
      <c r="V145">
        <v>28.91</v>
      </c>
      <c r="W145">
        <f t="shared" si="6"/>
        <v>2.8062171109814127E-2</v>
      </c>
      <c r="Y145" s="2">
        <f t="shared" si="7"/>
        <v>25720</v>
      </c>
      <c r="Z145">
        <f t="shared" si="8"/>
        <v>2.8458936885150443E-2</v>
      </c>
      <c r="AA145">
        <f t="shared" si="9"/>
        <v>2.8062171109814127E-2</v>
      </c>
      <c r="AD145" s="2">
        <v>21885</v>
      </c>
      <c r="AE145">
        <v>1.5073940784644524E-2</v>
      </c>
    </row>
    <row r="146" spans="1:31" x14ac:dyDescent="0.25">
      <c r="A146" s="2">
        <v>29768</v>
      </c>
      <c r="B146">
        <v>7492.4049999999997</v>
      </c>
      <c r="G146" s="2"/>
      <c r="I146" s="2">
        <v>30498</v>
      </c>
      <c r="J146">
        <v>8086.2177289398696</v>
      </c>
      <c r="L146" s="2"/>
      <c r="P146" s="2">
        <v>25750</v>
      </c>
      <c r="Q146">
        <v>599.1</v>
      </c>
      <c r="R146">
        <f t="shared" si="5"/>
        <v>3.3262866310073136E-2</v>
      </c>
      <c r="U146" s="2">
        <v>21367</v>
      </c>
      <c r="V146">
        <v>28.89</v>
      </c>
      <c r="W146">
        <f t="shared" si="6"/>
        <v>2.4528209352122854E-2</v>
      </c>
      <c r="Y146" s="2">
        <f t="shared" si="7"/>
        <v>25750</v>
      </c>
      <c r="Z146">
        <f t="shared" si="8"/>
        <v>3.3262866310073136E-2</v>
      </c>
      <c r="AA146">
        <f t="shared" si="9"/>
        <v>2.4528209352122854E-2</v>
      </c>
      <c r="AD146" s="2">
        <v>21916</v>
      </c>
      <c r="AE146">
        <v>1.2333147077216111E-2</v>
      </c>
    </row>
    <row r="147" spans="1:31" x14ac:dyDescent="0.25">
      <c r="A147" s="2">
        <v>29860</v>
      </c>
      <c r="B147">
        <v>7410.768</v>
      </c>
      <c r="G147" s="2"/>
      <c r="I147" s="2">
        <v>30590</v>
      </c>
      <c r="J147">
        <v>8152.8993099266499</v>
      </c>
      <c r="L147" s="2"/>
      <c r="P147" s="2">
        <v>25781</v>
      </c>
      <c r="Q147">
        <v>604.9</v>
      </c>
      <c r="R147">
        <f t="shared" si="5"/>
        <v>4.1862652640849873E-2</v>
      </c>
      <c r="U147" s="2">
        <v>21398</v>
      </c>
      <c r="V147">
        <v>28.94</v>
      </c>
      <c r="W147">
        <f t="shared" si="6"/>
        <v>2.3069880174965807E-2</v>
      </c>
      <c r="Y147" s="2">
        <f t="shared" si="7"/>
        <v>25781</v>
      </c>
      <c r="Z147">
        <f t="shared" si="8"/>
        <v>4.1862652640849873E-2</v>
      </c>
      <c r="AA147">
        <f t="shared" si="9"/>
        <v>2.3069880174965807E-2</v>
      </c>
      <c r="AD147" s="2">
        <v>21947</v>
      </c>
      <c r="AE147">
        <v>1.4038922579429514E-2</v>
      </c>
    </row>
    <row r="148" spans="1:31" x14ac:dyDescent="0.25">
      <c r="A148" s="2">
        <v>29952</v>
      </c>
      <c r="B148">
        <v>7295.6310000000003</v>
      </c>
      <c r="G148" s="2"/>
      <c r="I148" s="2">
        <v>30682</v>
      </c>
      <c r="J148">
        <v>8222.3718697575096</v>
      </c>
      <c r="L148" s="2"/>
      <c r="P148" s="2">
        <v>25812</v>
      </c>
      <c r="Q148">
        <v>611.20000000000005</v>
      </c>
      <c r="R148">
        <f t="shared" ref="R148:R211" si="10">LN(Q148)-LN(Q136)</f>
        <v>4.8781983574620824E-2</v>
      </c>
      <c r="U148" s="2">
        <v>21429</v>
      </c>
      <c r="V148">
        <v>28.91</v>
      </c>
      <c r="W148">
        <f t="shared" ref="W148:W211" si="11">LN(V148)-LN(V136)</f>
        <v>2.0619287202735759E-2</v>
      </c>
      <c r="Y148" s="2">
        <f t="shared" si="7"/>
        <v>25812</v>
      </c>
      <c r="Z148">
        <f t="shared" si="8"/>
        <v>4.8781983574620824E-2</v>
      </c>
      <c r="AA148">
        <f t="shared" si="9"/>
        <v>2.0619287202735759E-2</v>
      </c>
      <c r="AD148" s="2">
        <v>21976</v>
      </c>
      <c r="AE148">
        <v>1.5073940784644524E-2</v>
      </c>
    </row>
    <row r="149" spans="1:31" x14ac:dyDescent="0.25">
      <c r="A149" s="2">
        <v>30042</v>
      </c>
      <c r="B149">
        <v>7328.9120000000003</v>
      </c>
      <c r="G149" s="2"/>
      <c r="I149" s="2">
        <v>30773</v>
      </c>
      <c r="J149">
        <v>8294.6552337152607</v>
      </c>
      <c r="L149" s="2"/>
      <c r="P149" s="2">
        <v>25842</v>
      </c>
      <c r="Q149">
        <v>616.4</v>
      </c>
      <c r="R149">
        <f t="shared" si="10"/>
        <v>5.5023046012339094E-2</v>
      </c>
      <c r="U149" s="2">
        <v>21459</v>
      </c>
      <c r="V149">
        <v>28.91</v>
      </c>
      <c r="W149">
        <f t="shared" si="11"/>
        <v>2.0619287202735759E-2</v>
      </c>
      <c r="Y149" s="2">
        <f t="shared" ref="Y149:Y212" si="12">P149</f>
        <v>25842</v>
      </c>
      <c r="Z149">
        <f t="shared" ref="Z149:Z212" si="13">R149</f>
        <v>5.5023046012339094E-2</v>
      </c>
      <c r="AA149">
        <f t="shared" ref="AA149:AA212" si="14">W149</f>
        <v>2.0619287202735759E-2</v>
      </c>
      <c r="AD149" s="2">
        <v>22007</v>
      </c>
      <c r="AE149">
        <v>1.9139340210697409E-2</v>
      </c>
    </row>
    <row r="150" spans="1:31" x14ac:dyDescent="0.25">
      <c r="A150" s="2">
        <v>30133</v>
      </c>
      <c r="B150">
        <v>7300.8959999999997</v>
      </c>
      <c r="G150" s="2"/>
      <c r="I150" s="2">
        <v>30864</v>
      </c>
      <c r="J150">
        <v>8368.8418660052994</v>
      </c>
      <c r="L150" s="2"/>
      <c r="P150" s="2">
        <v>25873</v>
      </c>
      <c r="Q150">
        <v>621.1</v>
      </c>
      <c r="R150">
        <f t="shared" si="10"/>
        <v>5.9196725307471887E-2</v>
      </c>
      <c r="U150" s="2">
        <v>21490</v>
      </c>
      <c r="V150">
        <v>28.95</v>
      </c>
      <c r="W150">
        <f t="shared" si="11"/>
        <v>1.8829008152907889E-2</v>
      </c>
      <c r="Y150" s="2">
        <f t="shared" si="12"/>
        <v>25873</v>
      </c>
      <c r="Z150">
        <f t="shared" si="13"/>
        <v>5.9196725307471887E-2</v>
      </c>
      <c r="AA150">
        <f t="shared" si="14"/>
        <v>1.8829008152907889E-2</v>
      </c>
      <c r="AD150" s="2">
        <v>22037</v>
      </c>
      <c r="AE150">
        <v>1.8086143907790397E-2</v>
      </c>
    </row>
    <row r="151" spans="1:31" x14ac:dyDescent="0.25">
      <c r="A151" s="2">
        <v>30225</v>
      </c>
      <c r="B151">
        <v>7303.817</v>
      </c>
      <c r="G151" s="2"/>
      <c r="I151" s="2">
        <v>30956</v>
      </c>
      <c r="J151">
        <v>8444.4889968935004</v>
      </c>
      <c r="L151" s="2"/>
      <c r="P151" s="2">
        <v>25903</v>
      </c>
      <c r="Q151">
        <v>626.5</v>
      </c>
      <c r="R151">
        <f t="shared" si="10"/>
        <v>6.3591908927913998E-2</v>
      </c>
      <c r="U151" s="2">
        <v>21520</v>
      </c>
      <c r="V151">
        <v>28.97</v>
      </c>
      <c r="W151">
        <f t="shared" si="11"/>
        <v>1.7409910491312797E-2</v>
      </c>
      <c r="Y151" s="2">
        <f t="shared" si="12"/>
        <v>25903</v>
      </c>
      <c r="Z151">
        <f t="shared" si="13"/>
        <v>6.3591908927913998E-2</v>
      </c>
      <c r="AA151">
        <f t="shared" si="14"/>
        <v>1.7409910491312797E-2</v>
      </c>
      <c r="AD151" s="2">
        <v>22068</v>
      </c>
      <c r="AE151">
        <v>1.7030384355968042E-2</v>
      </c>
    </row>
    <row r="152" spans="1:31" x14ac:dyDescent="0.25">
      <c r="A152" s="2">
        <v>30317</v>
      </c>
      <c r="B152">
        <v>7400.0659999999998</v>
      </c>
      <c r="G152" s="2"/>
      <c r="I152" s="2">
        <v>31048</v>
      </c>
      <c r="J152">
        <v>8520.7765009578397</v>
      </c>
      <c r="L152" s="2"/>
      <c r="P152" s="2">
        <v>25934</v>
      </c>
      <c r="Q152">
        <v>632.9</v>
      </c>
      <c r="R152">
        <f t="shared" si="10"/>
        <v>7.0868090906133219E-2</v>
      </c>
      <c r="U152" s="2">
        <v>21551</v>
      </c>
      <c r="V152">
        <v>29.01</v>
      </c>
      <c r="W152">
        <f t="shared" si="11"/>
        <v>1.2836256040868133E-2</v>
      </c>
      <c r="Y152" s="2">
        <f t="shared" si="12"/>
        <v>25934</v>
      </c>
      <c r="Z152">
        <f t="shared" si="13"/>
        <v>7.0868090906133219E-2</v>
      </c>
      <c r="AA152">
        <f t="shared" si="14"/>
        <v>1.2836256040868133E-2</v>
      </c>
      <c r="AD152" s="2">
        <v>22098</v>
      </c>
      <c r="AE152">
        <v>1.3628831055605861E-2</v>
      </c>
    </row>
    <row r="153" spans="1:31" x14ac:dyDescent="0.25">
      <c r="A153" s="2">
        <v>30407</v>
      </c>
      <c r="B153">
        <v>7568.4560000000001</v>
      </c>
      <c r="G153" s="2"/>
      <c r="I153" s="2">
        <v>31138</v>
      </c>
      <c r="J153">
        <v>8597.5295245828293</v>
      </c>
      <c r="L153" s="2"/>
      <c r="P153" s="2">
        <v>25965</v>
      </c>
      <c r="Q153">
        <v>641</v>
      </c>
      <c r="R153">
        <f t="shared" si="10"/>
        <v>8.9197852950500867E-2</v>
      </c>
      <c r="U153" s="2">
        <v>21582</v>
      </c>
      <c r="V153">
        <v>29</v>
      </c>
      <c r="W153">
        <f t="shared" si="11"/>
        <v>1.039870722089864E-2</v>
      </c>
      <c r="Y153" s="2">
        <f t="shared" si="12"/>
        <v>25965</v>
      </c>
      <c r="Z153">
        <f t="shared" si="13"/>
        <v>8.9197852950500867E-2</v>
      </c>
      <c r="AA153">
        <f t="shared" si="14"/>
        <v>1.039870722089864E-2</v>
      </c>
      <c r="AD153" s="2">
        <v>22129</v>
      </c>
      <c r="AE153">
        <v>1.4628599018860378E-2</v>
      </c>
    </row>
    <row r="154" spans="1:31" x14ac:dyDescent="0.25">
      <c r="A154" s="2">
        <v>30498</v>
      </c>
      <c r="B154">
        <v>7719.7460000000001</v>
      </c>
      <c r="G154" s="2"/>
      <c r="I154" s="2">
        <v>31229</v>
      </c>
      <c r="J154">
        <v>8674.3184594828508</v>
      </c>
      <c r="L154" s="2"/>
      <c r="P154" s="2">
        <v>25993</v>
      </c>
      <c r="Q154">
        <v>649.9</v>
      </c>
      <c r="R154">
        <f t="shared" si="10"/>
        <v>0.1012827423718301</v>
      </c>
      <c r="U154" s="2">
        <v>21610</v>
      </c>
      <c r="V154">
        <v>28.97</v>
      </c>
      <c r="W154">
        <f t="shared" si="11"/>
        <v>3.4578181064155444E-3</v>
      </c>
      <c r="Y154" s="2">
        <f t="shared" si="12"/>
        <v>25993</v>
      </c>
      <c r="Z154">
        <f t="shared" si="13"/>
        <v>0.1012827423718301</v>
      </c>
      <c r="AA154">
        <f t="shared" si="14"/>
        <v>3.4578181064155444E-3</v>
      </c>
      <c r="AD154" s="2">
        <v>22160</v>
      </c>
      <c r="AE154">
        <v>1.2232568435634583E-2</v>
      </c>
    </row>
    <row r="155" spans="1:31" x14ac:dyDescent="0.25">
      <c r="A155" s="2">
        <v>30590</v>
      </c>
      <c r="B155">
        <v>7880.7939999999999</v>
      </c>
      <c r="G155" s="2"/>
      <c r="I155" s="2">
        <v>31321</v>
      </c>
      <c r="J155">
        <v>8750.7024282110197</v>
      </c>
      <c r="L155" s="2"/>
      <c r="P155" s="2">
        <v>26024</v>
      </c>
      <c r="Q155">
        <v>658.4</v>
      </c>
      <c r="R155">
        <f t="shared" si="10"/>
        <v>0.11240566063557722</v>
      </c>
      <c r="U155" s="2">
        <v>21641</v>
      </c>
      <c r="V155">
        <v>28.98</v>
      </c>
      <c r="W155">
        <f t="shared" si="11"/>
        <v>1.3812156891983562E-3</v>
      </c>
      <c r="Y155" s="2">
        <f t="shared" si="12"/>
        <v>26024</v>
      </c>
      <c r="Z155">
        <f t="shared" si="13"/>
        <v>0.11240566063557722</v>
      </c>
      <c r="AA155">
        <f t="shared" si="14"/>
        <v>1.3812156891983562E-3</v>
      </c>
      <c r="AD155" s="2">
        <v>22190</v>
      </c>
      <c r="AE155">
        <v>1.3536585717533356E-2</v>
      </c>
    </row>
    <row r="156" spans="1:31" x14ac:dyDescent="0.25">
      <c r="A156" s="2">
        <v>30682</v>
      </c>
      <c r="B156">
        <v>8034.8469999999998</v>
      </c>
      <c r="G156" s="2"/>
      <c r="I156" s="2">
        <v>31413</v>
      </c>
      <c r="J156">
        <v>8826.4531322180101</v>
      </c>
      <c r="L156" s="2"/>
      <c r="P156" s="2">
        <v>26054</v>
      </c>
      <c r="Q156">
        <v>666.7</v>
      </c>
      <c r="R156">
        <f t="shared" si="10"/>
        <v>0.11967848620557309</v>
      </c>
      <c r="U156" s="2">
        <v>21671</v>
      </c>
      <c r="V156">
        <v>29.04</v>
      </c>
      <c r="W156">
        <f t="shared" si="11"/>
        <v>3.4494687532573565E-3</v>
      </c>
      <c r="Y156" s="2">
        <f t="shared" si="12"/>
        <v>26054</v>
      </c>
      <c r="Z156">
        <f t="shared" si="13"/>
        <v>0.11967848620557309</v>
      </c>
      <c r="AA156">
        <f t="shared" si="14"/>
        <v>3.4494687532573565E-3</v>
      </c>
      <c r="AD156" s="2">
        <v>22221</v>
      </c>
      <c r="AE156">
        <v>1.4544480981757424E-2</v>
      </c>
    </row>
    <row r="157" spans="1:31" x14ac:dyDescent="0.25">
      <c r="A157" s="2">
        <v>30773</v>
      </c>
      <c r="B157">
        <v>8173.67</v>
      </c>
      <c r="G157" s="2"/>
      <c r="I157" s="2">
        <v>31503</v>
      </c>
      <c r="J157">
        <v>8901.6849937789702</v>
      </c>
      <c r="L157" s="2"/>
      <c r="P157" s="2">
        <v>26085</v>
      </c>
      <c r="Q157">
        <v>673</v>
      </c>
      <c r="R157">
        <f t="shared" si="10"/>
        <v>0.12284784612584598</v>
      </c>
      <c r="U157" s="2">
        <v>21702</v>
      </c>
      <c r="V157">
        <v>29.11</v>
      </c>
      <c r="W157">
        <f t="shared" si="11"/>
        <v>6.8942017292772384E-3</v>
      </c>
      <c r="Y157" s="2">
        <f t="shared" si="12"/>
        <v>26085</v>
      </c>
      <c r="Z157">
        <f t="shared" si="13"/>
        <v>0.12284784612584598</v>
      </c>
      <c r="AA157">
        <f t="shared" si="14"/>
        <v>6.8942017292772384E-3</v>
      </c>
      <c r="AD157" s="2">
        <v>22251</v>
      </c>
      <c r="AE157">
        <v>1.3509155124076244E-2</v>
      </c>
    </row>
    <row r="158" spans="1:31" x14ac:dyDescent="0.25">
      <c r="A158" s="2">
        <v>30864</v>
      </c>
      <c r="B158">
        <v>8252.4650000000001</v>
      </c>
      <c r="G158" s="2"/>
      <c r="I158" s="2">
        <v>31594</v>
      </c>
      <c r="J158">
        <v>8976.7388140116891</v>
      </c>
      <c r="L158" s="2"/>
      <c r="P158" s="2">
        <v>26115</v>
      </c>
      <c r="Q158">
        <v>679.6</v>
      </c>
      <c r="R158">
        <f t="shared" si="10"/>
        <v>0.126075860707898</v>
      </c>
      <c r="U158" s="2">
        <v>21732</v>
      </c>
      <c r="V158">
        <v>29.15</v>
      </c>
      <c r="W158">
        <f t="shared" si="11"/>
        <v>8.9593983183573478E-3</v>
      </c>
      <c r="Y158" s="2">
        <f t="shared" si="12"/>
        <v>26115</v>
      </c>
      <c r="Z158">
        <f t="shared" si="13"/>
        <v>0.126075860707898</v>
      </c>
      <c r="AA158">
        <f t="shared" si="14"/>
        <v>8.9593983183573478E-3</v>
      </c>
      <c r="AD158" s="2">
        <v>22282</v>
      </c>
      <c r="AE158">
        <v>1.587603012503136E-2</v>
      </c>
    </row>
    <row r="159" spans="1:31" x14ac:dyDescent="0.25">
      <c r="A159" s="2">
        <v>30956</v>
      </c>
      <c r="B159">
        <v>8320.1990000000005</v>
      </c>
      <c r="G159" s="2"/>
      <c r="I159" s="2">
        <v>31686</v>
      </c>
      <c r="J159">
        <v>9051.4472595712105</v>
      </c>
      <c r="L159" s="2"/>
      <c r="P159" s="2">
        <v>26146</v>
      </c>
      <c r="Q159">
        <v>685.5</v>
      </c>
      <c r="R159">
        <f t="shared" si="10"/>
        <v>0.12508534388950032</v>
      </c>
      <c r="U159" s="2">
        <v>21763</v>
      </c>
      <c r="V159">
        <v>29.18</v>
      </c>
      <c r="W159">
        <f t="shared" si="11"/>
        <v>8.2588218913017819E-3</v>
      </c>
      <c r="Y159" s="2">
        <f t="shared" si="12"/>
        <v>26146</v>
      </c>
      <c r="Z159">
        <f t="shared" si="13"/>
        <v>0.12508534388950032</v>
      </c>
      <c r="AA159">
        <f t="shared" si="14"/>
        <v>8.2588218913017819E-3</v>
      </c>
      <c r="AD159" s="2">
        <v>22313</v>
      </c>
      <c r="AE159">
        <v>1.451502276965666E-2</v>
      </c>
    </row>
    <row r="160" spans="1:31" x14ac:dyDescent="0.25">
      <c r="A160" s="2">
        <v>31048</v>
      </c>
      <c r="B160">
        <v>8400.82</v>
      </c>
      <c r="G160" s="2"/>
      <c r="I160" s="2">
        <v>31778</v>
      </c>
      <c r="J160">
        <v>9125.7076023261798</v>
      </c>
      <c r="L160" s="2"/>
      <c r="P160" s="2">
        <v>26177</v>
      </c>
      <c r="Q160">
        <v>692.5</v>
      </c>
      <c r="R160">
        <f t="shared" si="10"/>
        <v>0.12488400020918267</v>
      </c>
      <c r="U160" s="2">
        <v>21794</v>
      </c>
      <c r="V160">
        <v>29.25</v>
      </c>
      <c r="W160">
        <f t="shared" si="11"/>
        <v>1.1692017649610698E-2</v>
      </c>
      <c r="Y160" s="2">
        <f t="shared" si="12"/>
        <v>26177</v>
      </c>
      <c r="Z160">
        <f t="shared" si="13"/>
        <v>0.12488400020918267</v>
      </c>
      <c r="AA160">
        <f t="shared" si="14"/>
        <v>1.1692017649610698E-2</v>
      </c>
      <c r="AD160" s="2">
        <v>22341</v>
      </c>
      <c r="AE160">
        <v>1.451502276965666E-2</v>
      </c>
    </row>
    <row r="161" spans="1:31" x14ac:dyDescent="0.25">
      <c r="A161" s="2">
        <v>31138</v>
      </c>
      <c r="B161">
        <v>8474.7870000000003</v>
      </c>
      <c r="G161" s="2"/>
      <c r="I161" s="2">
        <v>31868</v>
      </c>
      <c r="J161">
        <v>9199.5073840751902</v>
      </c>
      <c r="L161" s="2"/>
      <c r="P161" s="2">
        <v>26207</v>
      </c>
      <c r="Q161">
        <v>698.4</v>
      </c>
      <c r="R161">
        <f t="shared" si="10"/>
        <v>0.12489590107943194</v>
      </c>
      <c r="U161" s="2">
        <v>21824</v>
      </c>
      <c r="V161">
        <v>29.35</v>
      </c>
      <c r="W161">
        <f t="shared" si="11"/>
        <v>1.5104990245850658E-2</v>
      </c>
      <c r="Y161" s="2">
        <f t="shared" si="12"/>
        <v>26207</v>
      </c>
      <c r="Z161">
        <f t="shared" si="13"/>
        <v>0.12489590107943194</v>
      </c>
      <c r="AA161">
        <f t="shared" si="14"/>
        <v>1.5104990245850658E-2</v>
      </c>
      <c r="AD161" s="2">
        <v>22372</v>
      </c>
      <c r="AE161">
        <v>9.0986305867462036E-3</v>
      </c>
    </row>
    <row r="162" spans="1:31" x14ac:dyDescent="0.25">
      <c r="A162" s="2">
        <v>31229</v>
      </c>
      <c r="B162">
        <v>8604.2199999999993</v>
      </c>
      <c r="G162" s="2"/>
      <c r="I162" s="2">
        <v>31959</v>
      </c>
      <c r="J162">
        <v>9272.9344276729298</v>
      </c>
      <c r="L162" s="2"/>
      <c r="P162" s="2">
        <v>26238</v>
      </c>
      <c r="Q162">
        <v>704.6</v>
      </c>
      <c r="R162">
        <f t="shared" si="10"/>
        <v>0.1261381663418808</v>
      </c>
      <c r="U162" s="2">
        <v>21855</v>
      </c>
      <c r="V162">
        <v>29.35</v>
      </c>
      <c r="W162">
        <f t="shared" si="11"/>
        <v>1.3722342255101161E-2</v>
      </c>
      <c r="Y162" s="2">
        <f t="shared" si="12"/>
        <v>26238</v>
      </c>
      <c r="Z162">
        <f t="shared" si="13"/>
        <v>0.1261381663418808</v>
      </c>
      <c r="AA162">
        <f t="shared" si="14"/>
        <v>1.3722342255101161E-2</v>
      </c>
      <c r="AD162" s="2">
        <v>22402</v>
      </c>
      <c r="AE162">
        <v>9.0894414711746307E-3</v>
      </c>
    </row>
    <row r="163" spans="1:31" x14ac:dyDescent="0.25">
      <c r="A163" s="2">
        <v>31321</v>
      </c>
      <c r="B163">
        <v>8668.1880000000001</v>
      </c>
      <c r="G163" s="2"/>
      <c r="I163" s="2">
        <v>32051</v>
      </c>
      <c r="J163">
        <v>9346.6996271071293</v>
      </c>
      <c r="L163" s="2"/>
      <c r="P163" s="2">
        <v>26268</v>
      </c>
      <c r="Q163">
        <v>710.3</v>
      </c>
      <c r="R163">
        <f t="shared" si="10"/>
        <v>0.12553864166764139</v>
      </c>
      <c r="U163" s="2">
        <v>21885</v>
      </c>
      <c r="V163">
        <v>29.41</v>
      </c>
      <c r="W163">
        <f t="shared" si="11"/>
        <v>1.5073940784644524E-2</v>
      </c>
      <c r="Y163" s="2">
        <f t="shared" si="12"/>
        <v>26268</v>
      </c>
      <c r="Z163">
        <f t="shared" si="13"/>
        <v>0.12553864166764139</v>
      </c>
      <c r="AA163">
        <f t="shared" si="14"/>
        <v>1.5073940784644524E-2</v>
      </c>
      <c r="AD163" s="2">
        <v>22433</v>
      </c>
      <c r="AE163">
        <v>7.7376332220602251E-3</v>
      </c>
    </row>
    <row r="164" spans="1:31" x14ac:dyDescent="0.25">
      <c r="A164" s="2">
        <v>31413</v>
      </c>
      <c r="B164">
        <v>8749.1270000000004</v>
      </c>
      <c r="G164" s="2"/>
      <c r="I164" s="2">
        <v>32143</v>
      </c>
      <c r="J164">
        <v>9420.1194505723397</v>
      </c>
      <c r="L164" s="2"/>
      <c r="P164" s="2">
        <v>26299</v>
      </c>
      <c r="Q164">
        <v>717.7</v>
      </c>
      <c r="R164">
        <f t="shared" si="10"/>
        <v>0.125739222654766</v>
      </c>
      <c r="U164" s="2">
        <v>21916</v>
      </c>
      <c r="V164">
        <v>29.37</v>
      </c>
      <c r="W164">
        <f t="shared" si="11"/>
        <v>1.2333147077216111E-2</v>
      </c>
      <c r="Y164" s="2">
        <f t="shared" si="12"/>
        <v>26299</v>
      </c>
      <c r="Z164">
        <f t="shared" si="13"/>
        <v>0.125739222654766</v>
      </c>
      <c r="AA164">
        <f t="shared" si="14"/>
        <v>1.2333147077216111E-2</v>
      </c>
      <c r="AD164" s="2">
        <v>22463</v>
      </c>
      <c r="AE164">
        <v>1.2443409254169424E-2</v>
      </c>
    </row>
    <row r="165" spans="1:31" x14ac:dyDescent="0.25">
      <c r="A165" s="2">
        <v>31503</v>
      </c>
      <c r="B165">
        <v>8788.5239999999994</v>
      </c>
      <c r="G165" s="2"/>
      <c r="I165" s="2">
        <v>32234</v>
      </c>
      <c r="J165">
        <v>9494.0348938158295</v>
      </c>
      <c r="L165" s="2"/>
      <c r="P165" s="2">
        <v>26330</v>
      </c>
      <c r="Q165">
        <v>725.7</v>
      </c>
      <c r="R165">
        <f t="shared" si="10"/>
        <v>0.12410724936342188</v>
      </c>
      <c r="U165" s="2">
        <v>21947</v>
      </c>
      <c r="V165">
        <v>29.41</v>
      </c>
      <c r="W165">
        <f t="shared" si="11"/>
        <v>1.4038922579429514E-2</v>
      </c>
      <c r="Y165" s="2">
        <f t="shared" si="12"/>
        <v>26330</v>
      </c>
      <c r="Z165">
        <f t="shared" si="13"/>
        <v>0.12410724936342188</v>
      </c>
      <c r="AA165">
        <f t="shared" si="14"/>
        <v>1.4038922579429514E-2</v>
      </c>
      <c r="AD165" s="2">
        <v>22494</v>
      </c>
      <c r="AE165">
        <v>1.1083236877982294E-2</v>
      </c>
    </row>
    <row r="166" spans="1:31" x14ac:dyDescent="0.25">
      <c r="A166" s="2">
        <v>31594</v>
      </c>
      <c r="B166">
        <v>8872.6010000000006</v>
      </c>
      <c r="G166" s="2"/>
      <c r="I166" s="2">
        <v>32325</v>
      </c>
      <c r="J166">
        <v>9568.0992974425608</v>
      </c>
      <c r="L166" s="2"/>
      <c r="P166" s="2">
        <v>26359</v>
      </c>
      <c r="Q166">
        <v>733.5</v>
      </c>
      <c r="R166">
        <f t="shared" si="10"/>
        <v>0.12100909268273252</v>
      </c>
      <c r="U166" s="2">
        <v>21976</v>
      </c>
      <c r="V166">
        <v>29.41</v>
      </c>
      <c r="W166">
        <f t="shared" si="11"/>
        <v>1.5073940784644524E-2</v>
      </c>
      <c r="Y166" s="2">
        <f t="shared" si="12"/>
        <v>26359</v>
      </c>
      <c r="Z166">
        <f t="shared" si="13"/>
        <v>0.12100909268273252</v>
      </c>
      <c r="AA166">
        <f t="shared" si="14"/>
        <v>1.5073940784644524E-2</v>
      </c>
      <c r="AD166" s="2">
        <v>22525</v>
      </c>
      <c r="AE166">
        <v>1.2418350560951641E-2</v>
      </c>
    </row>
    <row r="167" spans="1:31" x14ac:dyDescent="0.25">
      <c r="A167" s="2">
        <v>31686</v>
      </c>
      <c r="B167">
        <v>8920.1929999999993</v>
      </c>
      <c r="G167" s="2"/>
      <c r="I167" s="2">
        <v>32417</v>
      </c>
      <c r="J167">
        <v>9642.5938575384207</v>
      </c>
      <c r="L167" s="2"/>
      <c r="P167" s="2">
        <v>26390</v>
      </c>
      <c r="Q167">
        <v>738.4</v>
      </c>
      <c r="R167">
        <f t="shared" si="10"/>
        <v>0.11467303382578198</v>
      </c>
      <c r="U167" s="2">
        <v>22007</v>
      </c>
      <c r="V167">
        <v>29.54</v>
      </c>
      <c r="W167">
        <f t="shared" si="11"/>
        <v>1.9139340210697409E-2</v>
      </c>
      <c r="Y167" s="2">
        <f t="shared" si="12"/>
        <v>26390</v>
      </c>
      <c r="Z167">
        <f t="shared" si="13"/>
        <v>0.11467303382578198</v>
      </c>
      <c r="AA167">
        <f t="shared" si="14"/>
        <v>1.9139340210697409E-2</v>
      </c>
      <c r="AD167" s="2">
        <v>22555</v>
      </c>
      <c r="AE167">
        <v>7.7013606828129078E-3</v>
      </c>
    </row>
    <row r="168" spans="1:31" x14ac:dyDescent="0.25">
      <c r="A168" s="2">
        <v>31778</v>
      </c>
      <c r="B168">
        <v>8986.3670000000002</v>
      </c>
      <c r="G168" s="2"/>
      <c r="I168" s="2">
        <v>32509</v>
      </c>
      <c r="J168">
        <v>9717.0802178389804</v>
      </c>
      <c r="L168" s="2"/>
      <c r="P168" s="2">
        <v>26420</v>
      </c>
      <c r="Q168">
        <v>743.3</v>
      </c>
      <c r="R168">
        <f t="shared" si="10"/>
        <v>0.10875956210723281</v>
      </c>
      <c r="U168" s="2">
        <v>22037</v>
      </c>
      <c r="V168">
        <v>29.57</v>
      </c>
      <c r="W168">
        <f t="shared" si="11"/>
        <v>1.8086143907790397E-2</v>
      </c>
      <c r="Y168" s="2">
        <f t="shared" si="12"/>
        <v>26420</v>
      </c>
      <c r="Z168">
        <f t="shared" si="13"/>
        <v>0.10875956210723281</v>
      </c>
      <c r="AA168">
        <f t="shared" si="14"/>
        <v>1.8086143907790397E-2</v>
      </c>
      <c r="AD168" s="2">
        <v>22586</v>
      </c>
      <c r="AE168">
        <v>6.6934654185888398E-3</v>
      </c>
    </row>
    <row r="169" spans="1:31" x14ac:dyDescent="0.25">
      <c r="A169" s="2">
        <v>31868</v>
      </c>
      <c r="B169">
        <v>9083.2559999999994</v>
      </c>
      <c r="G169" s="2"/>
      <c r="I169" s="2">
        <v>32599</v>
      </c>
      <c r="J169">
        <v>9791.5381887860494</v>
      </c>
      <c r="L169" s="2"/>
      <c r="P169" s="2">
        <v>26451</v>
      </c>
      <c r="Q169">
        <v>749.7</v>
      </c>
      <c r="R169">
        <f t="shared" si="10"/>
        <v>0.10792779686428844</v>
      </c>
      <c r="U169" s="2">
        <v>22068</v>
      </c>
      <c r="V169">
        <v>29.61</v>
      </c>
      <c r="W169">
        <f t="shared" si="11"/>
        <v>1.7030384355968042E-2</v>
      </c>
      <c r="Y169" s="2">
        <f t="shared" si="12"/>
        <v>26451</v>
      </c>
      <c r="Z169">
        <f t="shared" si="13"/>
        <v>0.10792779686428844</v>
      </c>
      <c r="AA169">
        <f t="shared" si="14"/>
        <v>1.7030384355968042E-2</v>
      </c>
      <c r="AD169" s="2">
        <v>22616</v>
      </c>
      <c r="AE169">
        <v>6.6867517622957173E-3</v>
      </c>
    </row>
    <row r="170" spans="1:31" x14ac:dyDescent="0.25">
      <c r="A170" s="2">
        <v>31959</v>
      </c>
      <c r="B170">
        <v>9162.0239999999994</v>
      </c>
      <c r="G170" s="2"/>
      <c r="I170" s="2">
        <v>32690</v>
      </c>
      <c r="J170">
        <v>9856.6894163714405</v>
      </c>
      <c r="L170" s="2"/>
      <c r="P170" s="2">
        <v>26481</v>
      </c>
      <c r="Q170">
        <v>759.5</v>
      </c>
      <c r="R170">
        <f t="shared" si="10"/>
        <v>0.11115593223805043</v>
      </c>
      <c r="U170" s="2">
        <v>22098</v>
      </c>
      <c r="V170">
        <v>29.55</v>
      </c>
      <c r="W170">
        <f t="shared" si="11"/>
        <v>1.3628831055605861E-2</v>
      </c>
      <c r="Y170" s="2">
        <f t="shared" si="12"/>
        <v>26481</v>
      </c>
      <c r="Z170">
        <f t="shared" si="13"/>
        <v>0.11115593223805043</v>
      </c>
      <c r="AA170">
        <f t="shared" si="14"/>
        <v>1.3628831055605861E-2</v>
      </c>
      <c r="AD170" s="2">
        <v>22647</v>
      </c>
      <c r="AE170">
        <v>6.6800515603735455E-3</v>
      </c>
    </row>
    <row r="171" spans="1:31" x14ac:dyDescent="0.25">
      <c r="A171" s="2">
        <v>32051</v>
      </c>
      <c r="B171">
        <v>9319.3320000000003</v>
      </c>
      <c r="G171" s="2"/>
      <c r="I171" s="2">
        <v>32782</v>
      </c>
      <c r="J171">
        <v>9932.2786332210308</v>
      </c>
      <c r="L171" s="2"/>
      <c r="P171" s="2">
        <v>26512</v>
      </c>
      <c r="Q171">
        <v>768.7</v>
      </c>
      <c r="R171">
        <f t="shared" si="10"/>
        <v>0.11455227735271745</v>
      </c>
      <c r="U171" s="2">
        <v>22129</v>
      </c>
      <c r="V171">
        <v>29.61</v>
      </c>
      <c r="W171">
        <f t="shared" si="11"/>
        <v>1.4628599018860378E-2</v>
      </c>
      <c r="Y171" s="2">
        <f t="shared" si="12"/>
        <v>26512</v>
      </c>
      <c r="Z171">
        <f t="shared" si="13"/>
        <v>0.11455227735271745</v>
      </c>
      <c r="AA171">
        <f t="shared" si="14"/>
        <v>1.4628599018860378E-2</v>
      </c>
      <c r="AD171" s="2">
        <v>22678</v>
      </c>
      <c r="AE171">
        <v>9.0075671580822636E-3</v>
      </c>
    </row>
    <row r="172" spans="1:31" x14ac:dyDescent="0.25">
      <c r="A172" s="2">
        <v>32143</v>
      </c>
      <c r="B172">
        <v>9367.5020000000004</v>
      </c>
      <c r="G172" s="2"/>
      <c r="I172" s="2">
        <v>32874</v>
      </c>
      <c r="J172">
        <v>10006.5685180611</v>
      </c>
      <c r="L172" s="2"/>
      <c r="P172" s="2">
        <v>26543</v>
      </c>
      <c r="Q172">
        <v>778.3</v>
      </c>
      <c r="R172">
        <f t="shared" si="10"/>
        <v>0.11680381590384847</v>
      </c>
      <c r="U172" s="2">
        <v>22160</v>
      </c>
      <c r="V172">
        <v>29.61</v>
      </c>
      <c r="W172">
        <f t="shared" si="11"/>
        <v>1.2232568435634583E-2</v>
      </c>
      <c r="Y172" s="2">
        <f t="shared" si="12"/>
        <v>26543</v>
      </c>
      <c r="Z172">
        <f t="shared" si="13"/>
        <v>0.11680381590384847</v>
      </c>
      <c r="AA172">
        <f t="shared" si="14"/>
        <v>1.2232568435634583E-2</v>
      </c>
      <c r="AD172" s="2">
        <v>22706</v>
      </c>
      <c r="AE172">
        <v>1.0998277835409631E-2</v>
      </c>
    </row>
    <row r="173" spans="1:31" x14ac:dyDescent="0.25">
      <c r="A173" s="2">
        <v>32234</v>
      </c>
      <c r="B173">
        <v>9490.5939999999991</v>
      </c>
      <c r="G173" s="2"/>
      <c r="I173" s="2">
        <v>32964</v>
      </c>
      <c r="J173">
        <v>10079.1936834267</v>
      </c>
      <c r="L173" s="2"/>
      <c r="P173" s="2">
        <v>26573</v>
      </c>
      <c r="Q173">
        <v>786.9</v>
      </c>
      <c r="R173">
        <f t="shared" si="10"/>
        <v>0.11930917101554517</v>
      </c>
      <c r="U173" s="2">
        <v>22190</v>
      </c>
      <c r="V173">
        <v>29.75</v>
      </c>
      <c r="W173">
        <f t="shared" si="11"/>
        <v>1.3536585717533356E-2</v>
      </c>
      <c r="Y173" s="2">
        <f t="shared" si="12"/>
        <v>26573</v>
      </c>
      <c r="Z173">
        <f t="shared" si="13"/>
        <v>0.11930917101554517</v>
      </c>
      <c r="AA173">
        <f t="shared" si="14"/>
        <v>1.3536585717533356E-2</v>
      </c>
      <c r="AD173" s="2">
        <v>22737</v>
      </c>
      <c r="AE173">
        <v>1.3329087708600529E-2</v>
      </c>
    </row>
    <row r="174" spans="1:31" x14ac:dyDescent="0.25">
      <c r="A174" s="2">
        <v>32325</v>
      </c>
      <c r="B174">
        <v>9546.2060000000001</v>
      </c>
      <c r="G174" s="2"/>
      <c r="I174" s="2">
        <v>33055</v>
      </c>
      <c r="J174">
        <v>10149.425927599599</v>
      </c>
      <c r="L174" s="2"/>
      <c r="P174" s="2">
        <v>26604</v>
      </c>
      <c r="Q174">
        <v>793.9</v>
      </c>
      <c r="R174">
        <f t="shared" si="10"/>
        <v>0.11932724282393004</v>
      </c>
      <c r="U174" s="2">
        <v>22221</v>
      </c>
      <c r="V174">
        <v>29.78</v>
      </c>
      <c r="W174">
        <f t="shared" si="11"/>
        <v>1.4544480981757424E-2</v>
      </c>
      <c r="Y174" s="2">
        <f t="shared" si="12"/>
        <v>26604</v>
      </c>
      <c r="Z174">
        <f t="shared" si="13"/>
        <v>0.11932724282393004</v>
      </c>
      <c r="AA174">
        <f t="shared" si="14"/>
        <v>1.4544480981757424E-2</v>
      </c>
      <c r="AD174" s="2">
        <v>22767</v>
      </c>
      <c r="AE174">
        <v>1.3315775975772048E-2</v>
      </c>
    </row>
    <row r="175" spans="1:31" x14ac:dyDescent="0.25">
      <c r="A175" s="2">
        <v>32417</v>
      </c>
      <c r="B175">
        <v>9673.4050000000007</v>
      </c>
      <c r="G175" s="2"/>
      <c r="I175" s="2">
        <v>33147</v>
      </c>
      <c r="J175">
        <v>10217.225625724201</v>
      </c>
      <c r="L175" s="2"/>
      <c r="P175" s="2">
        <v>26634</v>
      </c>
      <c r="Q175">
        <v>802.3</v>
      </c>
      <c r="R175">
        <f t="shared" si="10"/>
        <v>0.121795186755846</v>
      </c>
      <c r="U175" s="2">
        <v>22251</v>
      </c>
      <c r="V175">
        <v>29.81</v>
      </c>
      <c r="W175">
        <f t="shared" si="11"/>
        <v>1.3509155124076244E-2</v>
      </c>
      <c r="Y175" s="2">
        <f t="shared" si="12"/>
        <v>26634</v>
      </c>
      <c r="Z175">
        <f t="shared" si="13"/>
        <v>0.121795186755846</v>
      </c>
      <c r="AA175">
        <f t="shared" si="14"/>
        <v>1.3509155124076244E-2</v>
      </c>
      <c r="AD175" s="2">
        <v>22798</v>
      </c>
      <c r="AE175">
        <v>1.2323220063020113E-2</v>
      </c>
    </row>
    <row r="176" spans="1:31" x14ac:dyDescent="0.25">
      <c r="A176" s="2">
        <v>32509</v>
      </c>
      <c r="B176">
        <v>9771.7250000000004</v>
      </c>
      <c r="G176" s="2"/>
      <c r="I176" s="2">
        <v>33239</v>
      </c>
      <c r="J176">
        <v>10283.0108799635</v>
      </c>
      <c r="L176" s="2"/>
      <c r="P176" s="2">
        <v>26665</v>
      </c>
      <c r="Q176">
        <v>810.3</v>
      </c>
      <c r="R176">
        <f t="shared" si="10"/>
        <v>0.12135289503065394</v>
      </c>
      <c r="U176" s="2">
        <v>22282</v>
      </c>
      <c r="V176">
        <v>29.84</v>
      </c>
      <c r="W176">
        <f t="shared" si="11"/>
        <v>1.587603012503136E-2</v>
      </c>
      <c r="Y176" s="2">
        <f t="shared" si="12"/>
        <v>26665</v>
      </c>
      <c r="Z176">
        <f t="shared" si="13"/>
        <v>0.12135289503065394</v>
      </c>
      <c r="AA176">
        <f t="shared" si="14"/>
        <v>1.587603012503136E-2</v>
      </c>
      <c r="AD176" s="2">
        <v>22828</v>
      </c>
      <c r="AE176">
        <v>9.9768037383167751E-3</v>
      </c>
    </row>
    <row r="177" spans="1:31" x14ac:dyDescent="0.25">
      <c r="A177" s="2">
        <v>32599</v>
      </c>
      <c r="B177">
        <v>9846.2929999999997</v>
      </c>
      <c r="G177" s="2"/>
      <c r="I177" s="2">
        <v>33329</v>
      </c>
      <c r="J177">
        <v>10346.859532717501</v>
      </c>
      <c r="L177" s="2"/>
      <c r="P177" s="2">
        <v>26696</v>
      </c>
      <c r="Q177">
        <v>814.1</v>
      </c>
      <c r="R177">
        <f t="shared" si="10"/>
        <v>0.11494650229584025</v>
      </c>
      <c r="U177" s="2">
        <v>22313</v>
      </c>
      <c r="V177">
        <v>29.84</v>
      </c>
      <c r="W177">
        <f t="shared" si="11"/>
        <v>1.451502276965666E-2</v>
      </c>
      <c r="Y177" s="2">
        <f t="shared" si="12"/>
        <v>26696</v>
      </c>
      <c r="Z177">
        <f t="shared" si="13"/>
        <v>0.11494650229584025</v>
      </c>
      <c r="AA177">
        <f t="shared" si="14"/>
        <v>1.451502276965666E-2</v>
      </c>
      <c r="AD177" s="2">
        <v>22859</v>
      </c>
      <c r="AE177">
        <v>1.1292049577765528E-2</v>
      </c>
    </row>
    <row r="178" spans="1:31" x14ac:dyDescent="0.25">
      <c r="A178" s="2">
        <v>32690</v>
      </c>
      <c r="B178">
        <v>9919.2279999999992</v>
      </c>
      <c r="G178" s="2"/>
      <c r="I178" s="2">
        <v>33420</v>
      </c>
      <c r="J178">
        <v>10409.3841214269</v>
      </c>
      <c r="L178" s="2"/>
      <c r="P178" s="2">
        <v>26724</v>
      </c>
      <c r="Q178">
        <v>815.3</v>
      </c>
      <c r="R178">
        <f t="shared" si="10"/>
        <v>0.10572854608582904</v>
      </c>
      <c r="U178" s="2">
        <v>22341</v>
      </c>
      <c r="V178">
        <v>29.84</v>
      </c>
      <c r="W178">
        <f t="shared" si="11"/>
        <v>1.451502276965666E-2</v>
      </c>
      <c r="Y178" s="2">
        <f t="shared" si="12"/>
        <v>26724</v>
      </c>
      <c r="Z178">
        <f t="shared" si="13"/>
        <v>0.10572854608582904</v>
      </c>
      <c r="AA178">
        <f t="shared" si="14"/>
        <v>1.451502276965666E-2</v>
      </c>
      <c r="AD178" s="2">
        <v>22890</v>
      </c>
      <c r="AE178">
        <v>1.4569794156694904E-2</v>
      </c>
    </row>
    <row r="179" spans="1:31" x14ac:dyDescent="0.25">
      <c r="A179" s="2">
        <v>32782</v>
      </c>
      <c r="B179">
        <v>9938.7669999999998</v>
      </c>
      <c r="G179" s="2"/>
      <c r="I179" s="2">
        <v>33512</v>
      </c>
      <c r="J179">
        <v>10471.642872615999</v>
      </c>
      <c r="L179" s="2"/>
      <c r="P179" s="2">
        <v>26755</v>
      </c>
      <c r="Q179">
        <v>819.7</v>
      </c>
      <c r="R179">
        <f t="shared" si="10"/>
        <v>0.1044527364703427</v>
      </c>
      <c r="U179" s="2">
        <v>22372</v>
      </c>
      <c r="V179">
        <v>29.81</v>
      </c>
      <c r="W179">
        <f t="shared" si="11"/>
        <v>9.0986305867462036E-3</v>
      </c>
      <c r="Y179" s="2">
        <f t="shared" si="12"/>
        <v>26755</v>
      </c>
      <c r="Z179">
        <f t="shared" si="13"/>
        <v>0.1044527364703427</v>
      </c>
      <c r="AA179">
        <f t="shared" si="14"/>
        <v>9.0986305867462036E-3</v>
      </c>
      <c r="AD179" s="2">
        <v>22920</v>
      </c>
      <c r="AE179">
        <v>1.3254004493175042E-2</v>
      </c>
    </row>
    <row r="180" spans="1:31" x14ac:dyDescent="0.25">
      <c r="A180" s="2">
        <v>32874</v>
      </c>
      <c r="B180">
        <v>10047.386</v>
      </c>
      <c r="G180" s="2"/>
      <c r="I180" s="2">
        <v>33604</v>
      </c>
      <c r="J180">
        <v>10533.754722186601</v>
      </c>
      <c r="L180" s="2"/>
      <c r="P180" s="2">
        <v>26785</v>
      </c>
      <c r="Q180">
        <v>826.8</v>
      </c>
      <c r="R180">
        <f t="shared" si="10"/>
        <v>0.10646309607636528</v>
      </c>
      <c r="U180" s="2">
        <v>22402</v>
      </c>
      <c r="V180">
        <v>29.84</v>
      </c>
      <c r="W180">
        <f t="shared" si="11"/>
        <v>9.0894414711746307E-3</v>
      </c>
      <c r="Y180" s="2">
        <f t="shared" si="12"/>
        <v>26785</v>
      </c>
      <c r="Z180">
        <f t="shared" si="13"/>
        <v>0.10646309607636528</v>
      </c>
      <c r="AA180">
        <f t="shared" si="14"/>
        <v>9.0894414711746307E-3</v>
      </c>
      <c r="AD180" s="2">
        <v>22951</v>
      </c>
      <c r="AE180">
        <v>1.3254004493175042E-2</v>
      </c>
    </row>
    <row r="181" spans="1:31" x14ac:dyDescent="0.25">
      <c r="A181" s="2">
        <v>32964</v>
      </c>
      <c r="B181">
        <v>10083.855</v>
      </c>
      <c r="G181" s="2"/>
      <c r="I181" s="2">
        <v>33695</v>
      </c>
      <c r="J181">
        <v>10596.596075537</v>
      </c>
      <c r="L181" s="2"/>
      <c r="P181" s="2">
        <v>26816</v>
      </c>
      <c r="Q181">
        <v>833.3</v>
      </c>
      <c r="R181">
        <f t="shared" si="10"/>
        <v>0.10572059487914487</v>
      </c>
      <c r="U181" s="2">
        <v>22433</v>
      </c>
      <c r="V181">
        <v>29.84</v>
      </c>
      <c r="W181">
        <f t="shared" si="11"/>
        <v>7.7376332220602251E-3</v>
      </c>
      <c r="Y181" s="2">
        <f t="shared" si="12"/>
        <v>26816</v>
      </c>
      <c r="Z181">
        <f t="shared" si="13"/>
        <v>0.10572059487914487</v>
      </c>
      <c r="AA181">
        <f t="shared" si="14"/>
        <v>7.7376332220602251E-3</v>
      </c>
      <c r="AD181" s="2">
        <v>22981</v>
      </c>
      <c r="AE181">
        <v>1.2253837715351157E-2</v>
      </c>
    </row>
    <row r="182" spans="1:31" x14ac:dyDescent="0.25">
      <c r="A182" s="2">
        <v>33055</v>
      </c>
      <c r="B182">
        <v>10090.569</v>
      </c>
      <c r="G182" s="2"/>
      <c r="I182" s="2">
        <v>33786</v>
      </c>
      <c r="J182">
        <v>10660.7625260649</v>
      </c>
      <c r="L182" s="2"/>
      <c r="P182" s="2">
        <v>26846</v>
      </c>
      <c r="Q182">
        <v>836.5</v>
      </c>
      <c r="R182">
        <f t="shared" si="10"/>
        <v>9.6566198391051294E-2</v>
      </c>
      <c r="U182" s="2">
        <v>22463</v>
      </c>
      <c r="V182">
        <v>29.92</v>
      </c>
      <c r="W182">
        <f t="shared" si="11"/>
        <v>1.2443409254169424E-2</v>
      </c>
      <c r="Y182" s="2">
        <f t="shared" si="12"/>
        <v>26846</v>
      </c>
      <c r="Z182">
        <f t="shared" si="13"/>
        <v>9.6566198391051294E-2</v>
      </c>
      <c r="AA182">
        <f t="shared" si="14"/>
        <v>1.2443409254169424E-2</v>
      </c>
      <c r="AD182" s="2">
        <v>23012</v>
      </c>
      <c r="AE182">
        <v>1.3227706097551195E-2</v>
      </c>
    </row>
    <row r="183" spans="1:31" x14ac:dyDescent="0.25">
      <c r="A183" s="2">
        <v>33147</v>
      </c>
      <c r="B183">
        <v>9998.7039999999997</v>
      </c>
      <c r="G183" s="2"/>
      <c r="I183" s="2">
        <v>33878</v>
      </c>
      <c r="J183">
        <v>10725.823702416399</v>
      </c>
      <c r="L183" s="2"/>
      <c r="P183" s="2">
        <v>26877</v>
      </c>
      <c r="Q183">
        <v>838.8</v>
      </c>
      <c r="R183">
        <f t="shared" si="10"/>
        <v>8.7271522672678792E-2</v>
      </c>
      <c r="U183" s="2">
        <v>22494</v>
      </c>
      <c r="V183">
        <v>29.94</v>
      </c>
      <c r="W183">
        <f t="shared" si="11"/>
        <v>1.1083236877982294E-2</v>
      </c>
      <c r="Y183" s="2">
        <f t="shared" si="12"/>
        <v>26877</v>
      </c>
      <c r="Z183">
        <f t="shared" si="13"/>
        <v>8.7271522672678792E-2</v>
      </c>
      <c r="AA183">
        <f t="shared" si="14"/>
        <v>1.1083236877982294E-2</v>
      </c>
      <c r="AD183" s="2">
        <v>23043</v>
      </c>
      <c r="AE183">
        <v>1.221338832480301E-2</v>
      </c>
    </row>
    <row r="184" spans="1:31" x14ac:dyDescent="0.25">
      <c r="A184" s="2">
        <v>33239</v>
      </c>
      <c r="B184">
        <v>9951.9159999999993</v>
      </c>
      <c r="G184" s="2"/>
      <c r="I184" s="2">
        <v>33970</v>
      </c>
      <c r="J184">
        <v>10791.841303819099</v>
      </c>
      <c r="L184" s="2"/>
      <c r="P184" s="2">
        <v>26908</v>
      </c>
      <c r="Q184">
        <v>839.3</v>
      </c>
      <c r="R184">
        <f t="shared" si="10"/>
        <v>7.545615712343956E-2</v>
      </c>
      <c r="U184" s="2">
        <v>22525</v>
      </c>
      <c r="V184">
        <v>29.98</v>
      </c>
      <c r="W184">
        <f t="shared" si="11"/>
        <v>1.2418350560951641E-2</v>
      </c>
      <c r="Y184" s="2">
        <f t="shared" si="12"/>
        <v>26908</v>
      </c>
      <c r="Z184">
        <f t="shared" si="13"/>
        <v>7.545615712343956E-2</v>
      </c>
      <c r="AA184">
        <f t="shared" si="14"/>
        <v>1.2418350560951641E-2</v>
      </c>
      <c r="AD184" s="2">
        <v>23071</v>
      </c>
      <c r="AE184">
        <v>1.1206445557608191E-2</v>
      </c>
    </row>
    <row r="185" spans="1:31" x14ac:dyDescent="0.25">
      <c r="A185" s="2">
        <v>33329</v>
      </c>
      <c r="B185">
        <v>10029.51</v>
      </c>
      <c r="G185" s="2"/>
      <c r="I185" s="2">
        <v>34060</v>
      </c>
      <c r="J185">
        <v>10859.658680230001</v>
      </c>
      <c r="L185" s="2"/>
      <c r="P185" s="2">
        <v>26938</v>
      </c>
      <c r="Q185">
        <v>842.6</v>
      </c>
      <c r="R185">
        <f t="shared" si="10"/>
        <v>6.8391174003978428E-2</v>
      </c>
      <c r="U185" s="2">
        <v>22555</v>
      </c>
      <c r="V185">
        <v>29.98</v>
      </c>
      <c r="W185">
        <f t="shared" si="11"/>
        <v>7.7013606828129078E-3</v>
      </c>
      <c r="Y185" s="2">
        <f t="shared" si="12"/>
        <v>26938</v>
      </c>
      <c r="Z185">
        <f t="shared" si="13"/>
        <v>6.8391174003978428E-2</v>
      </c>
      <c r="AA185">
        <f t="shared" si="14"/>
        <v>7.7013606828129078E-3</v>
      </c>
      <c r="AD185" s="2">
        <v>23102</v>
      </c>
      <c r="AE185">
        <v>8.8977354198651604E-3</v>
      </c>
    </row>
    <row r="186" spans="1:31" x14ac:dyDescent="0.25">
      <c r="A186" s="2">
        <v>33420</v>
      </c>
      <c r="B186">
        <v>10080.195</v>
      </c>
      <c r="G186" s="2"/>
      <c r="I186" s="2">
        <v>34151</v>
      </c>
      <c r="J186">
        <v>10928.482735745099</v>
      </c>
      <c r="L186" s="2"/>
      <c r="P186" s="2">
        <v>26969</v>
      </c>
      <c r="Q186">
        <v>848.9</v>
      </c>
      <c r="R186">
        <f t="shared" si="10"/>
        <v>6.6983885012854572E-2</v>
      </c>
      <c r="U186" s="2">
        <v>22586</v>
      </c>
      <c r="V186">
        <v>29.98</v>
      </c>
      <c r="W186">
        <f t="shared" si="11"/>
        <v>6.6934654185888398E-3</v>
      </c>
      <c r="Y186" s="2">
        <f t="shared" si="12"/>
        <v>26969</v>
      </c>
      <c r="Z186">
        <f t="shared" si="13"/>
        <v>6.6983885012854572E-2</v>
      </c>
      <c r="AA186">
        <f t="shared" si="14"/>
        <v>6.6934654185888398E-3</v>
      </c>
      <c r="AD186" s="2">
        <v>23132</v>
      </c>
      <c r="AE186">
        <v>8.8889474172457739E-3</v>
      </c>
    </row>
    <row r="187" spans="1:31" x14ac:dyDescent="0.25">
      <c r="A187" s="2">
        <v>33512</v>
      </c>
      <c r="B187">
        <v>10115.329</v>
      </c>
      <c r="G187" s="2"/>
      <c r="I187" s="2">
        <v>34243</v>
      </c>
      <c r="J187">
        <v>10998.2883989044</v>
      </c>
      <c r="L187" s="2"/>
      <c r="P187" s="2">
        <v>26999</v>
      </c>
      <c r="Q187">
        <v>855.5</v>
      </c>
      <c r="R187">
        <f t="shared" si="10"/>
        <v>6.4203490572637634E-2</v>
      </c>
      <c r="U187" s="2">
        <v>22616</v>
      </c>
      <c r="V187">
        <v>30.01</v>
      </c>
      <c r="W187">
        <f t="shared" si="11"/>
        <v>6.6867517622957173E-3</v>
      </c>
      <c r="Y187" s="2">
        <f t="shared" si="12"/>
        <v>26999</v>
      </c>
      <c r="Z187">
        <f t="shared" si="13"/>
        <v>6.4203490572637634E-2</v>
      </c>
      <c r="AA187">
        <f t="shared" si="14"/>
        <v>6.6867517622957173E-3</v>
      </c>
      <c r="AD187" s="2">
        <v>23163</v>
      </c>
      <c r="AE187">
        <v>1.3153757558740597E-2</v>
      </c>
    </row>
    <row r="188" spans="1:31" x14ac:dyDescent="0.25">
      <c r="A188" s="2">
        <v>33604</v>
      </c>
      <c r="B188">
        <v>10236.434999999999</v>
      </c>
      <c r="G188" s="2"/>
      <c r="I188" s="2">
        <v>34335</v>
      </c>
      <c r="J188">
        <v>11068.9471898393</v>
      </c>
      <c r="L188" s="2"/>
      <c r="P188" s="2">
        <v>27030</v>
      </c>
      <c r="Q188">
        <v>859.7</v>
      </c>
      <c r="R188">
        <f t="shared" si="10"/>
        <v>5.9178941713718736E-2</v>
      </c>
      <c r="U188" s="2">
        <v>22647</v>
      </c>
      <c r="V188">
        <v>30.04</v>
      </c>
      <c r="W188">
        <f t="shared" si="11"/>
        <v>6.6800515603735455E-3</v>
      </c>
      <c r="Y188" s="2">
        <f t="shared" si="12"/>
        <v>27030</v>
      </c>
      <c r="Z188">
        <f t="shared" si="13"/>
        <v>5.9178941713718736E-2</v>
      </c>
      <c r="AA188">
        <f t="shared" si="14"/>
        <v>6.6800515603735455E-3</v>
      </c>
      <c r="AD188" s="2">
        <v>23193</v>
      </c>
      <c r="AE188">
        <v>1.5432911787051307E-2</v>
      </c>
    </row>
    <row r="189" spans="1:31" x14ac:dyDescent="0.25">
      <c r="A189" s="2">
        <v>33695</v>
      </c>
      <c r="B189">
        <v>10347.429</v>
      </c>
      <c r="G189" s="2"/>
      <c r="I189" s="2">
        <v>34425</v>
      </c>
      <c r="J189">
        <v>11140.3435211017</v>
      </c>
      <c r="L189" s="2"/>
      <c r="P189" s="2">
        <v>27061</v>
      </c>
      <c r="Q189">
        <v>864.2</v>
      </c>
      <c r="R189">
        <f t="shared" si="10"/>
        <v>5.9721014917901272E-2</v>
      </c>
      <c r="U189" s="2">
        <v>22678</v>
      </c>
      <c r="V189">
        <v>30.11</v>
      </c>
      <c r="W189">
        <f t="shared" si="11"/>
        <v>9.0075671580822636E-3</v>
      </c>
      <c r="Y189" s="2">
        <f t="shared" si="12"/>
        <v>27061</v>
      </c>
      <c r="Z189">
        <f t="shared" si="13"/>
        <v>5.9721014917901272E-2</v>
      </c>
      <c r="AA189">
        <f t="shared" si="14"/>
        <v>9.0075671580822636E-3</v>
      </c>
      <c r="AD189" s="2">
        <v>23224</v>
      </c>
      <c r="AE189">
        <v>1.5402565683278802E-2</v>
      </c>
    </row>
    <row r="190" spans="1:31" x14ac:dyDescent="0.25">
      <c r="A190" s="2">
        <v>33786</v>
      </c>
      <c r="B190">
        <v>10449.673000000001</v>
      </c>
      <c r="G190" s="2"/>
      <c r="I190" s="2">
        <v>34516</v>
      </c>
      <c r="J190">
        <v>11213.206264654</v>
      </c>
      <c r="L190" s="2"/>
      <c r="P190" s="2">
        <v>27089</v>
      </c>
      <c r="Q190">
        <v>870.1</v>
      </c>
      <c r="R190">
        <f t="shared" si="10"/>
        <v>6.5052003903113942E-2</v>
      </c>
      <c r="U190" s="2">
        <v>22706</v>
      </c>
      <c r="V190">
        <v>30.17</v>
      </c>
      <c r="W190">
        <f t="shared" si="11"/>
        <v>1.0998277835409631E-2</v>
      </c>
      <c r="Y190" s="2">
        <f t="shared" si="12"/>
        <v>27089</v>
      </c>
      <c r="Z190">
        <f t="shared" si="13"/>
        <v>6.5052003903113942E-2</v>
      </c>
      <c r="AA190">
        <f t="shared" si="14"/>
        <v>1.0998277835409631E-2</v>
      </c>
      <c r="AD190" s="2">
        <v>23255</v>
      </c>
      <c r="AE190">
        <v>9.8136214483246498E-3</v>
      </c>
    </row>
    <row r="191" spans="1:31" x14ac:dyDescent="0.25">
      <c r="A191" s="2">
        <v>33878</v>
      </c>
      <c r="B191">
        <v>10558.647999999999</v>
      </c>
      <c r="G191" s="2"/>
      <c r="I191" s="2">
        <v>34608</v>
      </c>
      <c r="J191">
        <v>11287.170028853599</v>
      </c>
      <c r="L191" s="2"/>
      <c r="P191" s="2">
        <v>27120</v>
      </c>
      <c r="Q191">
        <v>872.9</v>
      </c>
      <c r="R191">
        <f t="shared" si="10"/>
        <v>6.2882582082319338E-2</v>
      </c>
      <c r="U191" s="2">
        <v>22737</v>
      </c>
      <c r="V191">
        <v>30.21</v>
      </c>
      <c r="W191">
        <f t="shared" si="11"/>
        <v>1.3329087708600529E-2</v>
      </c>
      <c r="Y191" s="2">
        <f t="shared" si="12"/>
        <v>27120</v>
      </c>
      <c r="Z191">
        <f t="shared" si="13"/>
        <v>6.2882582082319338E-2</v>
      </c>
      <c r="AA191">
        <f t="shared" si="14"/>
        <v>1.3329087708600529E-2</v>
      </c>
      <c r="AD191" s="2">
        <v>23285</v>
      </c>
      <c r="AE191">
        <v>1.2105497084899941E-2</v>
      </c>
    </row>
    <row r="192" spans="1:31" x14ac:dyDescent="0.25">
      <c r="A192" s="2">
        <v>33970</v>
      </c>
      <c r="B192">
        <v>10576.275</v>
      </c>
      <c r="G192" s="2"/>
      <c r="I192" s="2">
        <v>34700</v>
      </c>
      <c r="J192">
        <v>11361.822811563499</v>
      </c>
      <c r="L192" s="2"/>
      <c r="P192" s="2">
        <v>27150</v>
      </c>
      <c r="Q192">
        <v>874.6</v>
      </c>
      <c r="R192">
        <f t="shared" si="10"/>
        <v>5.6203811171207541E-2</v>
      </c>
      <c r="U192" s="2">
        <v>22767</v>
      </c>
      <c r="V192">
        <v>30.24</v>
      </c>
      <c r="W192">
        <f t="shared" si="11"/>
        <v>1.3315775975772048E-2</v>
      </c>
      <c r="Y192" s="2">
        <f t="shared" si="12"/>
        <v>27150</v>
      </c>
      <c r="Z192">
        <f t="shared" si="13"/>
        <v>5.6203811171207541E-2</v>
      </c>
      <c r="AA192">
        <f t="shared" si="14"/>
        <v>1.3315775975772048E-2</v>
      </c>
      <c r="AD192" s="2">
        <v>23316</v>
      </c>
      <c r="AE192">
        <v>1.3080631243106211E-2</v>
      </c>
    </row>
    <row r="193" spans="1:31" x14ac:dyDescent="0.25">
      <c r="A193" s="2">
        <v>34060</v>
      </c>
      <c r="B193">
        <v>10637.847</v>
      </c>
      <c r="G193" s="2"/>
      <c r="I193" s="2">
        <v>34790</v>
      </c>
      <c r="J193">
        <v>11437.846726697</v>
      </c>
      <c r="L193" s="2"/>
      <c r="P193" s="2">
        <v>27181</v>
      </c>
      <c r="Q193">
        <v>877.8</v>
      </c>
      <c r="R193">
        <f t="shared" si="10"/>
        <v>5.2025055865972725E-2</v>
      </c>
      <c r="U193" s="2">
        <v>22798</v>
      </c>
      <c r="V193">
        <v>30.21</v>
      </c>
      <c r="W193">
        <f t="shared" si="11"/>
        <v>1.2323220063020113E-2</v>
      </c>
      <c r="Y193" s="2">
        <f t="shared" si="12"/>
        <v>27181</v>
      </c>
      <c r="Z193">
        <f t="shared" si="13"/>
        <v>5.2025055865972725E-2</v>
      </c>
      <c r="AA193">
        <f t="shared" si="14"/>
        <v>1.2323220063020113E-2</v>
      </c>
      <c r="AD193" s="2">
        <v>23346</v>
      </c>
      <c r="AE193">
        <v>1.6324227988948614E-2</v>
      </c>
    </row>
    <row r="194" spans="1:31" x14ac:dyDescent="0.25">
      <c r="A194" s="2">
        <v>34151</v>
      </c>
      <c r="B194">
        <v>10688.606</v>
      </c>
      <c r="G194" s="2"/>
      <c r="I194" s="2">
        <v>34881</v>
      </c>
      <c r="J194">
        <v>11514.704122545099</v>
      </c>
      <c r="L194" s="2"/>
      <c r="P194" s="2">
        <v>27211</v>
      </c>
      <c r="Q194">
        <v>881.4</v>
      </c>
      <c r="R194">
        <f t="shared" si="10"/>
        <v>5.2285031981007535E-2</v>
      </c>
      <c r="U194" s="2">
        <v>22828</v>
      </c>
      <c r="V194">
        <v>30.22</v>
      </c>
      <c r="W194">
        <f t="shared" si="11"/>
        <v>9.9768037383167751E-3</v>
      </c>
      <c r="Y194" s="2">
        <f t="shared" si="12"/>
        <v>27211</v>
      </c>
      <c r="Z194">
        <f t="shared" si="13"/>
        <v>5.2285031981007535E-2</v>
      </c>
      <c r="AA194">
        <f t="shared" si="14"/>
        <v>9.9768037383167751E-3</v>
      </c>
      <c r="AD194" s="2">
        <v>23377</v>
      </c>
      <c r="AE194">
        <v>1.6292312151434896E-2</v>
      </c>
    </row>
    <row r="195" spans="1:31" x14ac:dyDescent="0.25">
      <c r="A195" s="2">
        <v>34243</v>
      </c>
      <c r="B195">
        <v>10833.986999999999</v>
      </c>
      <c r="G195" s="2"/>
      <c r="I195" s="2">
        <v>34973</v>
      </c>
      <c r="J195">
        <v>11593.611621701</v>
      </c>
      <c r="L195" s="2"/>
      <c r="P195" s="2">
        <v>27242</v>
      </c>
      <c r="Q195">
        <v>884.1</v>
      </c>
      <c r="R195">
        <f t="shared" si="10"/>
        <v>5.2597879383993629E-2</v>
      </c>
      <c r="U195" s="2">
        <v>22859</v>
      </c>
      <c r="V195">
        <v>30.28</v>
      </c>
      <c r="W195">
        <f t="shared" si="11"/>
        <v>1.1292049577765528E-2</v>
      </c>
      <c r="Y195" s="2">
        <f t="shared" si="12"/>
        <v>27242</v>
      </c>
      <c r="Z195">
        <f t="shared" si="13"/>
        <v>5.2597879383993629E-2</v>
      </c>
      <c r="AA195">
        <f t="shared" si="14"/>
        <v>1.1292049577765528E-2</v>
      </c>
      <c r="AD195" s="2">
        <v>23408</v>
      </c>
      <c r="AE195">
        <v>1.4009025325579572E-2</v>
      </c>
    </row>
    <row r="196" spans="1:31" x14ac:dyDescent="0.25">
      <c r="A196" s="2">
        <v>34335</v>
      </c>
      <c r="B196">
        <v>10939.116</v>
      </c>
      <c r="G196" s="2"/>
      <c r="I196" s="2">
        <v>35065</v>
      </c>
      <c r="J196">
        <v>11674.2162330146</v>
      </c>
      <c r="L196" s="2"/>
      <c r="P196" s="2">
        <v>27273</v>
      </c>
      <c r="Q196">
        <v>887.9</v>
      </c>
      <c r="R196">
        <f t="shared" si="10"/>
        <v>5.6290912949499727E-2</v>
      </c>
      <c r="U196" s="2">
        <v>22890</v>
      </c>
      <c r="V196">
        <v>30.42</v>
      </c>
      <c r="W196">
        <f t="shared" si="11"/>
        <v>1.4569794156694904E-2</v>
      </c>
      <c r="Y196" s="2">
        <f t="shared" si="12"/>
        <v>27273</v>
      </c>
      <c r="Z196">
        <f t="shared" si="13"/>
        <v>5.6290912949499727E-2</v>
      </c>
      <c r="AA196">
        <f t="shared" si="14"/>
        <v>1.4569794156694904E-2</v>
      </c>
      <c r="AD196" s="2">
        <v>23437</v>
      </c>
      <c r="AE196">
        <v>1.3995346416341814E-2</v>
      </c>
    </row>
    <row r="197" spans="1:31" x14ac:dyDescent="0.25">
      <c r="A197" s="2">
        <v>34425</v>
      </c>
      <c r="B197">
        <v>11087.361000000001</v>
      </c>
      <c r="G197" s="2"/>
      <c r="I197" s="2">
        <v>35156</v>
      </c>
      <c r="J197">
        <v>11760.1139837713</v>
      </c>
      <c r="L197" s="2"/>
      <c r="P197" s="2">
        <v>27303</v>
      </c>
      <c r="Q197">
        <v>893.3</v>
      </c>
      <c r="R197">
        <f t="shared" si="10"/>
        <v>5.8430121162877491E-2</v>
      </c>
      <c r="U197" s="2">
        <v>22920</v>
      </c>
      <c r="V197">
        <v>30.38</v>
      </c>
      <c r="W197">
        <f t="shared" si="11"/>
        <v>1.3254004493175042E-2</v>
      </c>
      <c r="Y197" s="2">
        <f t="shared" si="12"/>
        <v>27303</v>
      </c>
      <c r="Z197">
        <f t="shared" si="13"/>
        <v>5.8430121162877491E-2</v>
      </c>
      <c r="AA197">
        <f t="shared" si="14"/>
        <v>1.3254004493175042E-2</v>
      </c>
      <c r="AD197" s="2">
        <v>23468</v>
      </c>
      <c r="AE197">
        <v>1.5302268312159306E-2</v>
      </c>
    </row>
    <row r="198" spans="1:31" x14ac:dyDescent="0.25">
      <c r="A198" s="2">
        <v>34516</v>
      </c>
      <c r="B198">
        <v>11152.175999999999</v>
      </c>
      <c r="G198" s="2"/>
      <c r="I198" s="2">
        <v>35247</v>
      </c>
      <c r="J198">
        <v>11852.4657305572</v>
      </c>
      <c r="L198" s="2"/>
      <c r="P198" s="2">
        <v>27334</v>
      </c>
      <c r="Q198">
        <v>898.6</v>
      </c>
      <c r="R198">
        <f t="shared" si="10"/>
        <v>5.689660289213716E-2</v>
      </c>
      <c r="U198" s="2">
        <v>22951</v>
      </c>
      <c r="V198">
        <v>30.38</v>
      </c>
      <c r="W198">
        <f t="shared" si="11"/>
        <v>1.3254004493175042E-2</v>
      </c>
      <c r="Y198" s="2">
        <f t="shared" si="12"/>
        <v>27334</v>
      </c>
      <c r="Z198">
        <f t="shared" si="13"/>
        <v>5.689660289213716E-2</v>
      </c>
      <c r="AA198">
        <f t="shared" si="14"/>
        <v>1.3254004493175042E-2</v>
      </c>
      <c r="AD198" s="2">
        <v>23498</v>
      </c>
      <c r="AE198">
        <v>1.5287336260144446E-2</v>
      </c>
    </row>
    <row r="199" spans="1:31" x14ac:dyDescent="0.25">
      <c r="A199" s="2">
        <v>34608</v>
      </c>
      <c r="B199">
        <v>11279.932000000001</v>
      </c>
      <c r="G199" s="2"/>
      <c r="I199" s="2">
        <v>35339</v>
      </c>
      <c r="J199">
        <v>11951.0779038253</v>
      </c>
      <c r="L199" s="2"/>
      <c r="P199" s="2">
        <v>27364</v>
      </c>
      <c r="Q199">
        <v>902.1</v>
      </c>
      <c r="R199">
        <f t="shared" si="10"/>
        <v>5.3039285330345187E-2</v>
      </c>
      <c r="U199" s="2">
        <v>22981</v>
      </c>
      <c r="V199">
        <v>30.38</v>
      </c>
      <c r="W199">
        <f t="shared" si="11"/>
        <v>1.2253837715351157E-2</v>
      </c>
      <c r="Y199" s="2">
        <f t="shared" si="12"/>
        <v>27364</v>
      </c>
      <c r="Z199">
        <f t="shared" si="13"/>
        <v>5.3039285330345187E-2</v>
      </c>
      <c r="AA199">
        <f t="shared" si="14"/>
        <v>1.2253837715351157E-2</v>
      </c>
      <c r="AD199" s="2">
        <v>23529</v>
      </c>
      <c r="AE199">
        <v>1.2982980155036739E-2</v>
      </c>
    </row>
    <row r="200" spans="1:31" x14ac:dyDescent="0.25">
      <c r="A200" s="2">
        <v>34700</v>
      </c>
      <c r="B200">
        <v>11319.950999999999</v>
      </c>
      <c r="G200" s="2"/>
      <c r="I200" s="2">
        <v>35431</v>
      </c>
      <c r="J200">
        <v>12055.7947404928</v>
      </c>
      <c r="L200" s="2"/>
      <c r="P200" s="2">
        <v>27395</v>
      </c>
      <c r="Q200">
        <v>906.3</v>
      </c>
      <c r="R200">
        <f t="shared" si="10"/>
        <v>5.2786885880337309E-2</v>
      </c>
      <c r="U200" s="2">
        <v>23012</v>
      </c>
      <c r="V200">
        <v>30.44</v>
      </c>
      <c r="W200">
        <f t="shared" si="11"/>
        <v>1.3227706097551195E-2</v>
      </c>
      <c r="Y200" s="2">
        <f t="shared" si="12"/>
        <v>27395</v>
      </c>
      <c r="Z200">
        <f t="shared" si="13"/>
        <v>5.2786885880337309E-2</v>
      </c>
      <c r="AA200">
        <f t="shared" si="14"/>
        <v>1.3227706097551195E-2</v>
      </c>
      <c r="AD200" s="2">
        <v>23559</v>
      </c>
      <c r="AE200">
        <v>1.0695289116747997E-2</v>
      </c>
    </row>
    <row r="201" spans="1:31" x14ac:dyDescent="0.25">
      <c r="A201" s="2">
        <v>34790</v>
      </c>
      <c r="B201">
        <v>11353.721</v>
      </c>
      <c r="G201" s="2"/>
      <c r="I201" s="2">
        <v>35521</v>
      </c>
      <c r="J201">
        <v>12165.991891985999</v>
      </c>
      <c r="L201" s="2"/>
      <c r="P201" s="2">
        <v>27426</v>
      </c>
      <c r="Q201">
        <v>914.1</v>
      </c>
      <c r="R201">
        <f t="shared" si="10"/>
        <v>5.6135751161940028E-2</v>
      </c>
      <c r="U201" s="2">
        <v>23043</v>
      </c>
      <c r="V201">
        <v>30.48</v>
      </c>
      <c r="W201">
        <f t="shared" si="11"/>
        <v>1.221338832480301E-2</v>
      </c>
      <c r="Y201" s="2">
        <f t="shared" si="12"/>
        <v>27426</v>
      </c>
      <c r="Z201">
        <f t="shared" si="13"/>
        <v>5.6135751161940028E-2</v>
      </c>
      <c r="AA201">
        <f t="shared" si="14"/>
        <v>1.221338832480301E-2</v>
      </c>
      <c r="AD201" s="2">
        <v>23590</v>
      </c>
      <c r="AE201">
        <v>9.7088141269612294E-3</v>
      </c>
    </row>
    <row r="202" spans="1:31" x14ac:dyDescent="0.25">
      <c r="A202" s="2">
        <v>34881</v>
      </c>
      <c r="B202">
        <v>11450.31</v>
      </c>
      <c r="G202" s="2"/>
      <c r="I202" s="2">
        <v>35612</v>
      </c>
      <c r="J202">
        <v>12282.139623589999</v>
      </c>
      <c r="L202" s="2"/>
      <c r="P202" s="2">
        <v>27454</v>
      </c>
      <c r="Q202">
        <v>925</v>
      </c>
      <c r="R202">
        <f t="shared" si="10"/>
        <v>6.1185589940445873E-2</v>
      </c>
      <c r="U202" s="2">
        <v>23071</v>
      </c>
      <c r="V202">
        <v>30.51</v>
      </c>
      <c r="W202">
        <f t="shared" si="11"/>
        <v>1.1206445557608191E-2</v>
      </c>
      <c r="Y202" s="2">
        <f t="shared" si="12"/>
        <v>27454</v>
      </c>
      <c r="Z202">
        <f t="shared" si="13"/>
        <v>6.1185589940445873E-2</v>
      </c>
      <c r="AA202">
        <f t="shared" si="14"/>
        <v>1.1206445557608191E-2</v>
      </c>
      <c r="AD202" s="2">
        <v>23621</v>
      </c>
      <c r="AE202">
        <v>1.1650617219975512E-2</v>
      </c>
    </row>
    <row r="203" spans="1:31" x14ac:dyDescent="0.25">
      <c r="A203" s="2">
        <v>34973</v>
      </c>
      <c r="B203">
        <v>11528.066999999999</v>
      </c>
      <c r="G203" s="2"/>
      <c r="I203" s="2">
        <v>35704</v>
      </c>
      <c r="J203">
        <v>12403.0914820984</v>
      </c>
      <c r="L203" s="2"/>
      <c r="P203" s="2">
        <v>27485</v>
      </c>
      <c r="Q203">
        <v>935.1</v>
      </c>
      <c r="R203">
        <f t="shared" si="10"/>
        <v>6.8832473700097374E-2</v>
      </c>
      <c r="U203" s="2">
        <v>23102</v>
      </c>
      <c r="V203">
        <v>30.48</v>
      </c>
      <c r="W203">
        <f t="shared" si="11"/>
        <v>8.8977354198651604E-3</v>
      </c>
      <c r="Y203" s="2">
        <f t="shared" si="12"/>
        <v>27485</v>
      </c>
      <c r="Z203">
        <f t="shared" si="13"/>
        <v>6.8832473700097374E-2</v>
      </c>
      <c r="AA203">
        <f t="shared" si="14"/>
        <v>8.8977354198651604E-3</v>
      </c>
      <c r="AD203" s="2">
        <v>23651</v>
      </c>
      <c r="AE203">
        <v>1.1960705057664001E-2</v>
      </c>
    </row>
    <row r="204" spans="1:31" x14ac:dyDescent="0.25">
      <c r="A204" s="2">
        <v>35065</v>
      </c>
      <c r="B204">
        <v>11614.418</v>
      </c>
      <c r="G204" s="2"/>
      <c r="I204" s="2">
        <v>35796</v>
      </c>
      <c r="J204">
        <v>12528.530888617101</v>
      </c>
      <c r="L204" s="2"/>
      <c r="P204" s="2">
        <v>27515</v>
      </c>
      <c r="Q204">
        <v>947.9</v>
      </c>
      <c r="R204">
        <f t="shared" si="10"/>
        <v>8.0482372480175535E-2</v>
      </c>
      <c r="U204" s="2">
        <v>23132</v>
      </c>
      <c r="V204">
        <v>30.51</v>
      </c>
      <c r="W204">
        <f t="shared" si="11"/>
        <v>8.8889474172457739E-3</v>
      </c>
      <c r="Y204" s="2">
        <f t="shared" si="12"/>
        <v>27515</v>
      </c>
      <c r="Z204">
        <f t="shared" si="13"/>
        <v>8.0482372480175535E-2</v>
      </c>
      <c r="AA204">
        <f t="shared" si="14"/>
        <v>8.8889474172457739E-3</v>
      </c>
      <c r="AD204" s="2">
        <v>23682</v>
      </c>
      <c r="AE204">
        <v>1.3873427871955002E-2</v>
      </c>
    </row>
    <row r="205" spans="1:31" x14ac:dyDescent="0.25">
      <c r="A205" s="2">
        <v>35156</v>
      </c>
      <c r="B205">
        <v>11808.14</v>
      </c>
      <c r="G205" s="2"/>
      <c r="I205" s="2">
        <v>35886</v>
      </c>
      <c r="J205">
        <v>12658.992515858499</v>
      </c>
      <c r="L205" s="2"/>
      <c r="P205" s="2">
        <v>27546</v>
      </c>
      <c r="Q205">
        <v>963</v>
      </c>
      <c r="R205">
        <f t="shared" si="10"/>
        <v>9.2634634543991901E-2</v>
      </c>
      <c r="U205" s="2">
        <v>23163</v>
      </c>
      <c r="V205">
        <v>30.61</v>
      </c>
      <c r="W205">
        <f t="shared" si="11"/>
        <v>1.3153757558740597E-2</v>
      </c>
      <c r="Y205" s="2">
        <f t="shared" si="12"/>
        <v>27546</v>
      </c>
      <c r="Z205">
        <f t="shared" si="13"/>
        <v>9.2634634543991901E-2</v>
      </c>
      <c r="AA205">
        <f t="shared" si="14"/>
        <v>1.3153757558740597E-2</v>
      </c>
      <c r="AD205" s="2">
        <v>23712</v>
      </c>
      <c r="AE205">
        <v>1.1910651025835328E-2</v>
      </c>
    </row>
    <row r="206" spans="1:31" x14ac:dyDescent="0.25">
      <c r="A206" s="2">
        <v>35247</v>
      </c>
      <c r="B206">
        <v>11914.063</v>
      </c>
      <c r="G206" s="2"/>
      <c r="I206" s="2">
        <v>35977</v>
      </c>
      <c r="J206">
        <v>12792.9199179481</v>
      </c>
      <c r="L206" s="2"/>
      <c r="P206" s="2">
        <v>27576</v>
      </c>
      <c r="Q206">
        <v>975.1</v>
      </c>
      <c r="R206">
        <f t="shared" si="10"/>
        <v>0.10102847743318666</v>
      </c>
      <c r="U206" s="2">
        <v>23193</v>
      </c>
      <c r="V206">
        <v>30.69</v>
      </c>
      <c r="W206">
        <f t="shared" si="11"/>
        <v>1.5432911787051307E-2</v>
      </c>
      <c r="Y206" s="2">
        <f t="shared" si="12"/>
        <v>27576</v>
      </c>
      <c r="Z206">
        <f t="shared" si="13"/>
        <v>0.10102847743318666</v>
      </c>
      <c r="AA206">
        <f t="shared" si="14"/>
        <v>1.5432911787051307E-2</v>
      </c>
      <c r="AD206" s="2">
        <v>23743</v>
      </c>
      <c r="AE206">
        <v>1.0929070532190277E-2</v>
      </c>
    </row>
    <row r="207" spans="1:31" x14ac:dyDescent="0.25">
      <c r="A207" s="2">
        <v>35339</v>
      </c>
      <c r="B207">
        <v>12037.775</v>
      </c>
      <c r="G207" s="2"/>
      <c r="I207" s="2">
        <v>36069</v>
      </c>
      <c r="J207">
        <v>12930.4541860306</v>
      </c>
      <c r="L207" s="2"/>
      <c r="P207" s="2">
        <v>27607</v>
      </c>
      <c r="Q207">
        <v>983.1</v>
      </c>
      <c r="R207">
        <f t="shared" si="10"/>
        <v>0.10614066596111993</v>
      </c>
      <c r="U207" s="2">
        <v>23224</v>
      </c>
      <c r="V207">
        <v>30.75</v>
      </c>
      <c r="W207">
        <f t="shared" si="11"/>
        <v>1.5402565683278802E-2</v>
      </c>
      <c r="Y207" s="2">
        <f t="shared" si="12"/>
        <v>27607</v>
      </c>
      <c r="Z207">
        <f t="shared" si="13"/>
        <v>0.10614066596111993</v>
      </c>
      <c r="AA207">
        <f t="shared" si="14"/>
        <v>1.5402565683278802E-2</v>
      </c>
      <c r="AD207" s="2">
        <v>23774</v>
      </c>
      <c r="AE207">
        <v>1.1899159533085069E-2</v>
      </c>
    </row>
    <row r="208" spans="1:31" x14ac:dyDescent="0.25">
      <c r="A208" s="2">
        <v>35431</v>
      </c>
      <c r="B208">
        <v>12115.472</v>
      </c>
      <c r="G208" s="2"/>
      <c r="I208" s="2">
        <v>36161</v>
      </c>
      <c r="J208">
        <v>13071.535334705301</v>
      </c>
      <c r="L208" s="2"/>
      <c r="P208" s="2">
        <v>27638</v>
      </c>
      <c r="Q208">
        <v>991.5</v>
      </c>
      <c r="R208">
        <f t="shared" si="10"/>
        <v>0.11035982392156907</v>
      </c>
      <c r="U208" s="2">
        <v>23255</v>
      </c>
      <c r="V208">
        <v>30.72</v>
      </c>
      <c r="W208">
        <f t="shared" si="11"/>
        <v>9.8136214483246498E-3</v>
      </c>
      <c r="Y208" s="2">
        <f t="shared" si="12"/>
        <v>27638</v>
      </c>
      <c r="Z208">
        <f t="shared" si="13"/>
        <v>0.11035982392156907</v>
      </c>
      <c r="AA208">
        <f t="shared" si="14"/>
        <v>9.8136214483246498E-3</v>
      </c>
      <c r="AD208" s="2">
        <v>23802</v>
      </c>
      <c r="AE208">
        <v>1.1887690193394196E-2</v>
      </c>
    </row>
    <row r="209" spans="1:31" x14ac:dyDescent="0.25">
      <c r="A209" s="2">
        <v>35521</v>
      </c>
      <c r="B209">
        <v>12317.221</v>
      </c>
      <c r="G209" s="2"/>
      <c r="I209" s="2">
        <v>36251</v>
      </c>
      <c r="J209">
        <v>13215.1800243332</v>
      </c>
      <c r="L209" s="2"/>
      <c r="P209" s="2">
        <v>27668</v>
      </c>
      <c r="Q209">
        <v>997.8</v>
      </c>
      <c r="R209">
        <f t="shared" si="10"/>
        <v>0.11063038471914322</v>
      </c>
      <c r="U209" s="2">
        <v>23285</v>
      </c>
      <c r="V209">
        <v>30.75</v>
      </c>
      <c r="W209">
        <f t="shared" si="11"/>
        <v>1.2105497084899941E-2</v>
      </c>
      <c r="Y209" s="2">
        <f t="shared" si="12"/>
        <v>27668</v>
      </c>
      <c r="Z209">
        <f t="shared" si="13"/>
        <v>0.11063038471914322</v>
      </c>
      <c r="AA209">
        <f t="shared" si="14"/>
        <v>1.2105497084899941E-2</v>
      </c>
      <c r="AD209" s="2">
        <v>23833</v>
      </c>
      <c r="AE209">
        <v>1.3797748174281477E-2</v>
      </c>
    </row>
    <row r="210" spans="1:31" x14ac:dyDescent="0.25">
      <c r="A210" s="2">
        <v>35612</v>
      </c>
      <c r="B210">
        <v>12471.01</v>
      </c>
      <c r="G210" s="2"/>
      <c r="I210" s="2">
        <v>36342</v>
      </c>
      <c r="J210">
        <v>13360.999676380199</v>
      </c>
      <c r="L210" s="2"/>
      <c r="P210" s="2">
        <v>27699</v>
      </c>
      <c r="Q210">
        <v>1006.9</v>
      </c>
      <c r="R210">
        <f t="shared" si="10"/>
        <v>0.11379358628550929</v>
      </c>
      <c r="U210" s="2">
        <v>23316</v>
      </c>
      <c r="V210">
        <v>30.78</v>
      </c>
      <c r="W210">
        <f t="shared" si="11"/>
        <v>1.3080631243106211E-2</v>
      </c>
      <c r="Y210" s="2">
        <f t="shared" si="12"/>
        <v>27699</v>
      </c>
      <c r="Z210">
        <f t="shared" si="13"/>
        <v>0.11379358628550929</v>
      </c>
      <c r="AA210">
        <f t="shared" si="14"/>
        <v>1.3080631243106211E-2</v>
      </c>
      <c r="AD210" s="2">
        <v>23863</v>
      </c>
      <c r="AE210">
        <v>1.6010588560479988E-2</v>
      </c>
    </row>
    <row r="211" spans="1:31" x14ac:dyDescent="0.25">
      <c r="A211" s="2">
        <v>35704</v>
      </c>
      <c r="B211">
        <v>12577.495000000001</v>
      </c>
      <c r="G211" s="2"/>
      <c r="I211" s="2">
        <v>36434</v>
      </c>
      <c r="J211">
        <v>13508.997005237999</v>
      </c>
      <c r="L211" s="2"/>
      <c r="P211" s="2">
        <v>27729</v>
      </c>
      <c r="Q211">
        <v>1016.2</v>
      </c>
      <c r="R211">
        <f t="shared" si="10"/>
        <v>0.1191000804970388</v>
      </c>
      <c r="U211" s="2">
        <v>23346</v>
      </c>
      <c r="V211">
        <v>30.88</v>
      </c>
      <c r="W211">
        <f t="shared" si="11"/>
        <v>1.6324227988948614E-2</v>
      </c>
      <c r="Y211" s="2">
        <f t="shared" si="12"/>
        <v>27729</v>
      </c>
      <c r="Z211">
        <f t="shared" si="13"/>
        <v>0.1191000804970388</v>
      </c>
      <c r="AA211">
        <f t="shared" si="14"/>
        <v>1.6324227988948614E-2</v>
      </c>
      <c r="AD211" s="2">
        <v>23894</v>
      </c>
      <c r="AE211">
        <v>1.916379311516847E-2</v>
      </c>
    </row>
    <row r="212" spans="1:31" x14ac:dyDescent="0.25">
      <c r="A212" s="2">
        <v>35796</v>
      </c>
      <c r="B212">
        <v>12703.742</v>
      </c>
      <c r="G212" s="2"/>
      <c r="I212" s="2">
        <v>36526</v>
      </c>
      <c r="J212">
        <v>13657.9097184455</v>
      </c>
      <c r="L212" s="2"/>
      <c r="P212" s="2">
        <v>27760</v>
      </c>
      <c r="Q212">
        <v>1026.5999999999999</v>
      </c>
      <c r="R212">
        <f t="shared" ref="R212:R275" si="15">LN(Q212)-LN(Q200)</f>
        <v>0.12463727306546701</v>
      </c>
      <c r="U212" s="2">
        <v>23377</v>
      </c>
      <c r="V212">
        <v>30.94</v>
      </c>
      <c r="W212">
        <f t="shared" ref="W212:W275" si="16">LN(V212)-LN(V200)</f>
        <v>1.6292312151434896E-2</v>
      </c>
      <c r="Y212" s="2">
        <f t="shared" si="12"/>
        <v>27760</v>
      </c>
      <c r="Z212">
        <f t="shared" si="13"/>
        <v>0.12463727306546701</v>
      </c>
      <c r="AA212">
        <f t="shared" si="14"/>
        <v>1.6292312151434896E-2</v>
      </c>
      <c r="AD212" s="2">
        <v>23924</v>
      </c>
      <c r="AE212">
        <v>1.7891851079103294E-2</v>
      </c>
    </row>
    <row r="213" spans="1:31" x14ac:dyDescent="0.25">
      <c r="A213" s="2">
        <v>35886</v>
      </c>
      <c r="B213">
        <v>12821.339</v>
      </c>
      <c r="G213" s="2"/>
      <c r="I213" s="2">
        <v>36617</v>
      </c>
      <c r="J213">
        <v>13802.557909996</v>
      </c>
      <c r="L213" s="2"/>
      <c r="P213" s="2">
        <v>27791</v>
      </c>
      <c r="Q213">
        <v>1040.3</v>
      </c>
      <c r="R213">
        <f t="shared" si="15"/>
        <v>0.12932443741707633</v>
      </c>
      <c r="U213" s="2">
        <v>23408</v>
      </c>
      <c r="V213">
        <v>30.91</v>
      </c>
      <c r="W213">
        <f t="shared" si="16"/>
        <v>1.4009025325579572E-2</v>
      </c>
      <c r="Y213" s="2">
        <f t="shared" ref="Y213:Y276" si="17">P213</f>
        <v>27791</v>
      </c>
      <c r="Z213">
        <f t="shared" ref="Z213:Z276" si="18">R213</f>
        <v>0.12932443741707633</v>
      </c>
      <c r="AA213">
        <f t="shared" ref="AA213:AA276" si="19">W213</f>
        <v>1.4009025325579572E-2</v>
      </c>
      <c r="AD213" s="2">
        <v>23955</v>
      </c>
      <c r="AE213">
        <v>1.5974780607734385E-2</v>
      </c>
    </row>
    <row r="214" spans="1:31" x14ac:dyDescent="0.25">
      <c r="A214" s="2">
        <v>35977</v>
      </c>
      <c r="B214">
        <v>12982.752</v>
      </c>
      <c r="G214" s="2"/>
      <c r="I214" s="2">
        <v>36708</v>
      </c>
      <c r="J214">
        <v>13940.660485459901</v>
      </c>
      <c r="L214" s="2"/>
      <c r="P214" s="2">
        <v>27820</v>
      </c>
      <c r="Q214">
        <v>1050</v>
      </c>
      <c r="R214">
        <f t="shared" si="15"/>
        <v>0.12675170563914406</v>
      </c>
      <c r="U214" s="2">
        <v>23437</v>
      </c>
      <c r="V214">
        <v>30.94</v>
      </c>
      <c r="W214">
        <f t="shared" si="16"/>
        <v>1.3995346416341814E-2</v>
      </c>
      <c r="Y214" s="2">
        <f t="shared" si="17"/>
        <v>27820</v>
      </c>
      <c r="Z214">
        <f t="shared" si="18"/>
        <v>0.12675170563914406</v>
      </c>
      <c r="AA214">
        <f t="shared" si="19"/>
        <v>1.3995346416341814E-2</v>
      </c>
      <c r="AD214" s="2">
        <v>23986</v>
      </c>
      <c r="AE214">
        <v>1.7225306281879238E-2</v>
      </c>
    </row>
    <row r="215" spans="1:31" x14ac:dyDescent="0.25">
      <c r="A215" s="2">
        <v>36069</v>
      </c>
      <c r="B215">
        <v>13191.67</v>
      </c>
      <c r="G215" s="2"/>
      <c r="I215" s="2">
        <v>36800</v>
      </c>
      <c r="J215">
        <v>14071.401933454301</v>
      </c>
      <c r="L215" s="2"/>
      <c r="P215" s="2">
        <v>27851</v>
      </c>
      <c r="Q215">
        <v>1060.8</v>
      </c>
      <c r="R215">
        <f t="shared" si="15"/>
        <v>0.1261251439901967</v>
      </c>
      <c r="U215" s="2">
        <v>23468</v>
      </c>
      <c r="V215">
        <v>30.95</v>
      </c>
      <c r="W215">
        <f t="shared" si="16"/>
        <v>1.5302268312159306E-2</v>
      </c>
      <c r="Y215" s="2">
        <f t="shared" si="17"/>
        <v>27851</v>
      </c>
      <c r="Z215">
        <f t="shared" si="18"/>
        <v>0.1261251439901967</v>
      </c>
      <c r="AA215">
        <f t="shared" si="19"/>
        <v>1.5302268312159306E-2</v>
      </c>
      <c r="AD215" s="2">
        <v>24016</v>
      </c>
      <c r="AE215">
        <v>1.6887449279994637E-2</v>
      </c>
    </row>
    <row r="216" spans="1:31" x14ac:dyDescent="0.25">
      <c r="A216" s="2">
        <v>36161</v>
      </c>
      <c r="B216">
        <v>13315.597</v>
      </c>
      <c r="G216" s="2"/>
      <c r="I216" s="2">
        <v>36892</v>
      </c>
      <c r="J216">
        <v>14194.9820611178</v>
      </c>
      <c r="L216" s="2"/>
      <c r="P216" s="2">
        <v>27881</v>
      </c>
      <c r="Q216">
        <v>1072.0999999999999</v>
      </c>
      <c r="R216">
        <f t="shared" si="15"/>
        <v>0.12312560940319806</v>
      </c>
      <c r="U216" s="2">
        <v>23498</v>
      </c>
      <c r="V216">
        <v>30.98</v>
      </c>
      <c r="W216">
        <f t="shared" si="16"/>
        <v>1.5287336260144446E-2</v>
      </c>
      <c r="Y216" s="2">
        <f t="shared" si="17"/>
        <v>27881</v>
      </c>
      <c r="Z216">
        <f t="shared" si="18"/>
        <v>0.12312560940319806</v>
      </c>
      <c r="AA216">
        <f t="shared" si="19"/>
        <v>1.5287336260144446E-2</v>
      </c>
      <c r="AD216" s="2">
        <v>24047</v>
      </c>
      <c r="AE216">
        <v>1.7154169056012858E-2</v>
      </c>
    </row>
    <row r="217" spans="1:31" x14ac:dyDescent="0.25">
      <c r="A217" s="2">
        <v>36251</v>
      </c>
      <c r="B217">
        <v>13426.748</v>
      </c>
      <c r="G217" s="2"/>
      <c r="I217" s="2">
        <v>36982</v>
      </c>
      <c r="J217">
        <v>14311.5397227867</v>
      </c>
      <c r="L217" s="2"/>
      <c r="P217" s="2">
        <v>27912</v>
      </c>
      <c r="Q217">
        <v>1077.5999999999999</v>
      </c>
      <c r="R217">
        <f t="shared" si="15"/>
        <v>0.11243821329802817</v>
      </c>
      <c r="U217" s="2">
        <v>23529</v>
      </c>
      <c r="V217">
        <v>31.01</v>
      </c>
      <c r="W217">
        <f t="shared" si="16"/>
        <v>1.2982980155036739E-2</v>
      </c>
      <c r="Y217" s="2">
        <f t="shared" si="17"/>
        <v>27912</v>
      </c>
      <c r="Z217">
        <f t="shared" si="18"/>
        <v>0.11243821329802817</v>
      </c>
      <c r="AA217">
        <f t="shared" si="19"/>
        <v>1.2982980155036739E-2</v>
      </c>
      <c r="AD217" s="2">
        <v>24077</v>
      </c>
      <c r="AE217">
        <v>1.9018005835761631E-2</v>
      </c>
    </row>
    <row r="218" spans="1:31" x14ac:dyDescent="0.25">
      <c r="A218" s="2">
        <v>36342</v>
      </c>
      <c r="B218">
        <v>13604.771000000001</v>
      </c>
      <c r="G218" s="2"/>
      <c r="I218" s="2">
        <v>37073</v>
      </c>
      <c r="J218">
        <v>14421.2693108566</v>
      </c>
      <c r="L218" s="2"/>
      <c r="P218" s="2">
        <v>27942</v>
      </c>
      <c r="Q218">
        <v>1086.3</v>
      </c>
      <c r="R218">
        <f t="shared" si="15"/>
        <v>0.10799267559863157</v>
      </c>
      <c r="U218" s="2">
        <v>23559</v>
      </c>
      <c r="V218">
        <v>31.02</v>
      </c>
      <c r="W218">
        <f t="shared" si="16"/>
        <v>1.0695289116747997E-2</v>
      </c>
      <c r="Y218" s="2">
        <f t="shared" si="17"/>
        <v>27942</v>
      </c>
      <c r="Z218">
        <f t="shared" si="18"/>
        <v>0.10799267559863157</v>
      </c>
      <c r="AA218">
        <f t="shared" si="19"/>
        <v>1.0695289116747997E-2</v>
      </c>
      <c r="AD218" s="2">
        <v>24108</v>
      </c>
      <c r="AE218">
        <v>1.899993824490398E-2</v>
      </c>
    </row>
    <row r="219" spans="1:31" x14ac:dyDescent="0.25">
      <c r="A219" s="2">
        <v>36434</v>
      </c>
      <c r="B219">
        <v>13827.98</v>
      </c>
      <c r="G219" s="2"/>
      <c r="I219" s="2">
        <v>37165</v>
      </c>
      <c r="J219">
        <v>14525.225668496099</v>
      </c>
      <c r="L219" s="2"/>
      <c r="P219" s="2">
        <v>27973</v>
      </c>
      <c r="Q219">
        <v>1098.7</v>
      </c>
      <c r="R219">
        <f t="shared" si="15"/>
        <v>0.11117209733395672</v>
      </c>
      <c r="U219" s="2">
        <v>23590</v>
      </c>
      <c r="V219">
        <v>31.05</v>
      </c>
      <c r="W219">
        <f t="shared" si="16"/>
        <v>9.7088141269612294E-3</v>
      </c>
      <c r="Y219" s="2">
        <f t="shared" si="17"/>
        <v>27973</v>
      </c>
      <c r="Z219">
        <f t="shared" si="18"/>
        <v>0.11117209733395672</v>
      </c>
      <c r="AA219">
        <f t="shared" si="19"/>
        <v>9.7088141269612294E-3</v>
      </c>
      <c r="AD219" s="2">
        <v>24139</v>
      </c>
      <c r="AE219">
        <v>2.5253867321203494E-2</v>
      </c>
    </row>
    <row r="220" spans="1:31" x14ac:dyDescent="0.25">
      <c r="A220" s="2">
        <v>36526</v>
      </c>
      <c r="B220">
        <v>13878.147000000001</v>
      </c>
      <c r="G220" s="2"/>
      <c r="I220" s="2">
        <v>37257</v>
      </c>
      <c r="J220">
        <v>14624.003345475099</v>
      </c>
      <c r="L220" s="2"/>
      <c r="P220" s="2">
        <v>28004</v>
      </c>
      <c r="Q220">
        <v>1110.8</v>
      </c>
      <c r="R220">
        <f t="shared" si="15"/>
        <v>0.1136168074727939</v>
      </c>
      <c r="U220" s="2">
        <v>23621</v>
      </c>
      <c r="V220">
        <v>31.08</v>
      </c>
      <c r="W220">
        <f t="shared" si="16"/>
        <v>1.1650617219975512E-2</v>
      </c>
      <c r="Y220" s="2">
        <f t="shared" si="17"/>
        <v>28004</v>
      </c>
      <c r="Z220">
        <f t="shared" si="18"/>
        <v>0.1136168074727939</v>
      </c>
      <c r="AA220">
        <f t="shared" si="19"/>
        <v>1.1650617219975512E-2</v>
      </c>
      <c r="AD220" s="2">
        <v>24167</v>
      </c>
      <c r="AE220">
        <v>2.7407606225922976E-2</v>
      </c>
    </row>
    <row r="221" spans="1:31" x14ac:dyDescent="0.25">
      <c r="A221" s="2">
        <v>36617</v>
      </c>
      <c r="B221">
        <v>14130.907999999999</v>
      </c>
      <c r="G221" s="2"/>
      <c r="I221" s="2">
        <v>37347</v>
      </c>
      <c r="J221">
        <v>14719.4389010747</v>
      </c>
      <c r="L221" s="2"/>
      <c r="P221" s="2">
        <v>28034</v>
      </c>
      <c r="Q221">
        <v>1125</v>
      </c>
      <c r="R221">
        <f t="shared" si="15"/>
        <v>0.1199854592115841</v>
      </c>
      <c r="U221" s="2">
        <v>23651</v>
      </c>
      <c r="V221">
        <v>31.12</v>
      </c>
      <c r="W221">
        <f t="shared" si="16"/>
        <v>1.1960705057664001E-2</v>
      </c>
      <c r="Y221" s="2">
        <f t="shared" si="17"/>
        <v>28034</v>
      </c>
      <c r="Z221">
        <f t="shared" si="18"/>
        <v>0.1199854592115841</v>
      </c>
      <c r="AA221">
        <f t="shared" si="19"/>
        <v>1.1960705057664001E-2</v>
      </c>
      <c r="AD221" s="2">
        <v>24198</v>
      </c>
      <c r="AE221">
        <v>2.8277096096861687E-2</v>
      </c>
    </row>
    <row r="222" spans="1:31" x14ac:dyDescent="0.25">
      <c r="A222" s="2">
        <v>36708</v>
      </c>
      <c r="B222">
        <v>14145.312</v>
      </c>
      <c r="G222" s="2"/>
      <c r="I222" s="2">
        <v>37438</v>
      </c>
      <c r="J222">
        <v>14813.102098646201</v>
      </c>
      <c r="L222" s="2"/>
      <c r="P222" s="2">
        <v>28065</v>
      </c>
      <c r="Q222">
        <v>1138.2</v>
      </c>
      <c r="R222">
        <f t="shared" si="15"/>
        <v>0.12257176324745522</v>
      </c>
      <c r="U222" s="2">
        <v>23682</v>
      </c>
      <c r="V222">
        <v>31.21</v>
      </c>
      <c r="W222">
        <f t="shared" si="16"/>
        <v>1.3873427871955002E-2</v>
      </c>
      <c r="Y222" s="2">
        <f t="shared" si="17"/>
        <v>28065</v>
      </c>
      <c r="Z222">
        <f t="shared" si="18"/>
        <v>0.12257176324745522</v>
      </c>
      <c r="AA222">
        <f t="shared" si="19"/>
        <v>1.3873427871955002E-2</v>
      </c>
      <c r="AD222" s="2">
        <v>24228</v>
      </c>
      <c r="AE222">
        <v>2.726159739770706E-2</v>
      </c>
    </row>
    <row r="223" spans="1:31" x14ac:dyDescent="0.25">
      <c r="A223" s="2">
        <v>36800</v>
      </c>
      <c r="B223">
        <v>14229.764999999999</v>
      </c>
      <c r="G223" s="2"/>
      <c r="I223" s="2">
        <v>37530</v>
      </c>
      <c r="J223">
        <v>14905.535686048999</v>
      </c>
      <c r="L223" s="2"/>
      <c r="P223" s="2">
        <v>28095</v>
      </c>
      <c r="Q223">
        <v>1152</v>
      </c>
      <c r="R223">
        <f t="shared" si="15"/>
        <v>0.12542938209620491</v>
      </c>
      <c r="U223" s="2">
        <v>23712</v>
      </c>
      <c r="V223">
        <v>31.25</v>
      </c>
      <c r="W223">
        <f t="shared" si="16"/>
        <v>1.1910651025835328E-2</v>
      </c>
      <c r="Y223" s="2">
        <f t="shared" si="17"/>
        <v>28095</v>
      </c>
      <c r="Z223">
        <f t="shared" si="18"/>
        <v>0.12542938209620491</v>
      </c>
      <c r="AA223">
        <f t="shared" si="19"/>
        <v>1.1910651025835328E-2</v>
      </c>
      <c r="AD223" s="2">
        <v>24259</v>
      </c>
      <c r="AE223">
        <v>2.406742202196277E-2</v>
      </c>
    </row>
    <row r="224" spans="1:31" x14ac:dyDescent="0.25">
      <c r="A224" s="2">
        <v>36892</v>
      </c>
      <c r="B224">
        <v>14183.12</v>
      </c>
      <c r="G224" s="2"/>
      <c r="I224" s="2">
        <v>37622</v>
      </c>
      <c r="J224">
        <v>14997.837108045</v>
      </c>
      <c r="L224" s="2"/>
      <c r="P224" s="2">
        <v>28126</v>
      </c>
      <c r="Q224">
        <v>1165.2</v>
      </c>
      <c r="R224">
        <f t="shared" si="15"/>
        <v>0.12664037495907632</v>
      </c>
      <c r="U224" s="2">
        <v>23743</v>
      </c>
      <c r="V224">
        <v>31.28</v>
      </c>
      <c r="W224">
        <f t="shared" si="16"/>
        <v>1.0929070532190277E-2</v>
      </c>
      <c r="Y224" s="2">
        <f t="shared" si="17"/>
        <v>28126</v>
      </c>
      <c r="Z224">
        <f t="shared" si="18"/>
        <v>0.12664037495907632</v>
      </c>
      <c r="AA224">
        <f t="shared" si="19"/>
        <v>1.0929070532190277E-2</v>
      </c>
      <c r="AD224" s="2">
        <v>24289</v>
      </c>
      <c r="AE224">
        <v>2.7176434322603082E-2</v>
      </c>
    </row>
    <row r="225" spans="1:31" x14ac:dyDescent="0.25">
      <c r="A225" s="2">
        <v>36982</v>
      </c>
      <c r="B225">
        <v>14271.694</v>
      </c>
      <c r="G225" s="2"/>
      <c r="I225" s="2">
        <v>37712</v>
      </c>
      <c r="J225">
        <v>15090.8073863259</v>
      </c>
      <c r="L225" s="2"/>
      <c r="P225" s="2">
        <v>28157</v>
      </c>
      <c r="Q225">
        <v>1177.5999999999999</v>
      </c>
      <c r="R225">
        <f t="shared" si="15"/>
        <v>0.12396933589776182</v>
      </c>
      <c r="U225" s="2">
        <v>23774</v>
      </c>
      <c r="V225">
        <v>31.28</v>
      </c>
      <c r="W225">
        <f t="shared" si="16"/>
        <v>1.1899159533085069E-2</v>
      </c>
      <c r="Y225" s="2">
        <f t="shared" si="17"/>
        <v>28157</v>
      </c>
      <c r="Z225">
        <f t="shared" si="18"/>
        <v>0.12396933589776182</v>
      </c>
      <c r="AA225">
        <f t="shared" si="19"/>
        <v>1.1899159533085069E-2</v>
      </c>
      <c r="AD225" s="2">
        <v>24320</v>
      </c>
      <c r="AE225">
        <v>3.4271266735217853E-2</v>
      </c>
    </row>
    <row r="226" spans="1:31" x14ac:dyDescent="0.25">
      <c r="A226" s="2">
        <v>37073</v>
      </c>
      <c r="B226">
        <v>14214.516</v>
      </c>
      <c r="G226" s="2"/>
      <c r="I226" s="2">
        <v>37803</v>
      </c>
      <c r="J226">
        <v>15183.877363796601</v>
      </c>
      <c r="L226" s="2"/>
      <c r="P226" s="2">
        <v>28185</v>
      </c>
      <c r="Q226">
        <v>1188.5</v>
      </c>
      <c r="R226">
        <f t="shared" si="15"/>
        <v>0.12390184364867984</v>
      </c>
      <c r="U226" s="2">
        <v>23802</v>
      </c>
      <c r="V226">
        <v>31.31</v>
      </c>
      <c r="W226">
        <f t="shared" si="16"/>
        <v>1.1887690193394196E-2</v>
      </c>
      <c r="Y226" s="2">
        <f t="shared" si="17"/>
        <v>28185</v>
      </c>
      <c r="Z226">
        <f t="shared" si="18"/>
        <v>0.12390184364867984</v>
      </c>
      <c r="AA226">
        <f t="shared" si="19"/>
        <v>1.1887690193394196E-2</v>
      </c>
      <c r="AD226" s="2">
        <v>24351</v>
      </c>
      <c r="AE226">
        <v>3.5113130299934792E-2</v>
      </c>
    </row>
    <row r="227" spans="1:31" x14ac:dyDescent="0.25">
      <c r="A227" s="2">
        <v>37165</v>
      </c>
      <c r="B227">
        <v>14253.574000000001</v>
      </c>
      <c r="G227" s="2"/>
      <c r="I227" s="2">
        <v>37895</v>
      </c>
      <c r="J227">
        <v>15278.388684793301</v>
      </c>
      <c r="L227" s="2"/>
      <c r="P227" s="2">
        <v>28216</v>
      </c>
      <c r="Q227">
        <v>1199.5999999999999</v>
      </c>
      <c r="R227">
        <f t="shared" si="15"/>
        <v>0.12296482744325576</v>
      </c>
      <c r="U227" s="2">
        <v>23833</v>
      </c>
      <c r="V227">
        <v>31.38</v>
      </c>
      <c r="W227">
        <f t="shared" si="16"/>
        <v>1.3797748174281477E-2</v>
      </c>
      <c r="Y227" s="2">
        <f t="shared" si="17"/>
        <v>28216</v>
      </c>
      <c r="Z227">
        <f t="shared" si="18"/>
        <v>0.12296482744325576</v>
      </c>
      <c r="AA227">
        <f t="shared" si="19"/>
        <v>1.3797748174281477E-2</v>
      </c>
      <c r="AD227" s="2">
        <v>24381</v>
      </c>
      <c r="AE227">
        <v>3.7213596340434307E-2</v>
      </c>
    </row>
    <row r="228" spans="1:31" x14ac:dyDescent="0.25">
      <c r="A228" s="2">
        <v>37257</v>
      </c>
      <c r="B228">
        <v>14372.785</v>
      </c>
      <c r="G228" s="2"/>
      <c r="I228" s="2">
        <v>37987</v>
      </c>
      <c r="J228">
        <v>15374.838882758801</v>
      </c>
      <c r="L228" s="2"/>
      <c r="P228" s="2">
        <v>28246</v>
      </c>
      <c r="Q228">
        <v>1209</v>
      </c>
      <c r="R228">
        <f t="shared" si="15"/>
        <v>0.12017422975259873</v>
      </c>
      <c r="U228" s="2">
        <v>23863</v>
      </c>
      <c r="V228">
        <v>31.48</v>
      </c>
      <c r="W228">
        <f t="shared" si="16"/>
        <v>1.6010588560479988E-2</v>
      </c>
      <c r="Y228" s="2">
        <f t="shared" si="17"/>
        <v>28246</v>
      </c>
      <c r="Z228">
        <f t="shared" si="18"/>
        <v>0.12017422975259873</v>
      </c>
      <c r="AA228">
        <f t="shared" si="19"/>
        <v>1.6010588560479988E-2</v>
      </c>
      <c r="AD228" s="2">
        <v>24412</v>
      </c>
      <c r="AE228">
        <v>3.4971844849278177E-2</v>
      </c>
    </row>
    <row r="229" spans="1:31" x14ac:dyDescent="0.25">
      <c r="A229" s="2">
        <v>37347</v>
      </c>
      <c r="B229">
        <v>14460.848</v>
      </c>
      <c r="G229" s="2"/>
      <c r="I229" s="2">
        <v>38078</v>
      </c>
      <c r="J229">
        <v>15472.9941240382</v>
      </c>
      <c r="L229" s="2"/>
      <c r="P229" s="2">
        <v>28277</v>
      </c>
      <c r="Q229">
        <v>1217.8</v>
      </c>
      <c r="R229">
        <f t="shared" si="15"/>
        <v>0.12230960607831953</v>
      </c>
      <c r="U229" s="2">
        <v>23894</v>
      </c>
      <c r="V229">
        <v>31.61</v>
      </c>
      <c r="W229">
        <f t="shared" si="16"/>
        <v>1.916379311516847E-2</v>
      </c>
      <c r="Y229" s="2">
        <f t="shared" si="17"/>
        <v>28277</v>
      </c>
      <c r="Z229">
        <f t="shared" si="18"/>
        <v>0.12230960607831953</v>
      </c>
      <c r="AA229">
        <f t="shared" si="19"/>
        <v>1.916379311516847E-2</v>
      </c>
      <c r="AD229" s="2">
        <v>24442</v>
      </c>
      <c r="AE229">
        <v>3.3042993790696862E-2</v>
      </c>
    </row>
    <row r="230" spans="1:31" x14ac:dyDescent="0.25">
      <c r="A230" s="2">
        <v>37438</v>
      </c>
      <c r="B230">
        <v>14519.633</v>
      </c>
      <c r="G230" s="2"/>
      <c r="I230" s="2">
        <v>38169</v>
      </c>
      <c r="J230">
        <v>15573.526926168999</v>
      </c>
      <c r="L230" s="2"/>
      <c r="P230" s="2">
        <v>28307</v>
      </c>
      <c r="Q230">
        <v>1226.7</v>
      </c>
      <c r="R230">
        <f t="shared" si="15"/>
        <v>0.1215502105990014</v>
      </c>
      <c r="U230" s="2">
        <v>23924</v>
      </c>
      <c r="V230">
        <v>31.58</v>
      </c>
      <c r="W230">
        <f t="shared" si="16"/>
        <v>1.7891851079103294E-2</v>
      </c>
      <c r="Y230" s="2">
        <f t="shared" si="17"/>
        <v>28307</v>
      </c>
      <c r="Z230">
        <f t="shared" si="18"/>
        <v>0.1215502105990014</v>
      </c>
      <c r="AA230">
        <f t="shared" si="19"/>
        <v>1.7891851079103294E-2</v>
      </c>
      <c r="AD230" s="2">
        <v>24473</v>
      </c>
      <c r="AE230">
        <v>3.1493803849311774E-2</v>
      </c>
    </row>
    <row r="231" spans="1:31" x14ac:dyDescent="0.25">
      <c r="A231" s="2">
        <v>37530</v>
      </c>
      <c r="B231">
        <v>14537.58</v>
      </c>
      <c r="G231" s="2"/>
      <c r="I231" s="2">
        <v>38261</v>
      </c>
      <c r="J231">
        <v>15675.5586240754</v>
      </c>
      <c r="L231" s="2"/>
      <c r="P231" s="2">
        <v>28338</v>
      </c>
      <c r="Q231">
        <v>1237</v>
      </c>
      <c r="R231">
        <f t="shared" si="15"/>
        <v>0.11856143068565217</v>
      </c>
      <c r="U231" s="2">
        <v>23955</v>
      </c>
      <c r="V231">
        <v>31.55</v>
      </c>
      <c r="W231">
        <f t="shared" si="16"/>
        <v>1.5974780607734385E-2</v>
      </c>
      <c r="Y231" s="2">
        <f t="shared" si="17"/>
        <v>28338</v>
      </c>
      <c r="Z231">
        <f t="shared" si="18"/>
        <v>0.11856143068565217</v>
      </c>
      <c r="AA231">
        <f t="shared" si="19"/>
        <v>1.5974780607734385E-2</v>
      </c>
      <c r="AD231" s="2">
        <v>24504</v>
      </c>
      <c r="AE231">
        <v>2.8274778468166506E-2</v>
      </c>
    </row>
    <row r="232" spans="1:31" x14ac:dyDescent="0.25">
      <c r="A232" s="2">
        <v>37622</v>
      </c>
      <c r="B232">
        <v>14614.141</v>
      </c>
      <c r="G232" s="2"/>
      <c r="I232" s="2">
        <v>38353</v>
      </c>
      <c r="J232">
        <v>15775.796136923</v>
      </c>
      <c r="L232" s="2"/>
      <c r="P232" s="2">
        <v>28369</v>
      </c>
      <c r="Q232">
        <v>1246.2</v>
      </c>
      <c r="R232">
        <f t="shared" si="15"/>
        <v>0.11501844467747713</v>
      </c>
      <c r="U232" s="2">
        <v>23986</v>
      </c>
      <c r="V232">
        <v>31.62</v>
      </c>
      <c r="W232">
        <f t="shared" si="16"/>
        <v>1.7225306281879238E-2</v>
      </c>
      <c r="Y232" s="2">
        <f t="shared" si="17"/>
        <v>28369</v>
      </c>
      <c r="Z232">
        <f t="shared" si="18"/>
        <v>0.11501844467747713</v>
      </c>
      <c r="AA232">
        <f t="shared" si="19"/>
        <v>1.7225306281879238E-2</v>
      </c>
      <c r="AD232" s="2">
        <v>24532</v>
      </c>
      <c r="AE232">
        <v>2.5162419902243105E-2</v>
      </c>
    </row>
    <row r="233" spans="1:31" x14ac:dyDescent="0.25">
      <c r="A233" s="2">
        <v>37712</v>
      </c>
      <c r="B233">
        <v>14743.566999999999</v>
      </c>
      <c r="G233" s="2"/>
      <c r="I233" s="2">
        <v>38443</v>
      </c>
      <c r="J233">
        <v>15873.1699839586</v>
      </c>
      <c r="L233" s="2"/>
      <c r="P233" s="2">
        <v>28399</v>
      </c>
      <c r="Q233">
        <v>1254</v>
      </c>
      <c r="R233">
        <f t="shared" si="15"/>
        <v>0.1085554065543457</v>
      </c>
      <c r="U233" s="2">
        <v>24016</v>
      </c>
      <c r="V233">
        <v>31.65</v>
      </c>
      <c r="W233">
        <f t="shared" si="16"/>
        <v>1.6887449279994637E-2</v>
      </c>
      <c r="Y233" s="2">
        <f t="shared" si="17"/>
        <v>28399</v>
      </c>
      <c r="Z233">
        <f t="shared" si="18"/>
        <v>0.1085554065543457</v>
      </c>
      <c r="AA233">
        <f t="shared" si="19"/>
        <v>1.6887449279994637E-2</v>
      </c>
      <c r="AD233" s="2">
        <v>24563</v>
      </c>
      <c r="AE233">
        <v>2.5085438981269359E-2</v>
      </c>
    </row>
    <row r="234" spans="1:31" x14ac:dyDescent="0.25">
      <c r="A234" s="2">
        <v>37803</v>
      </c>
      <c r="B234">
        <v>14988.781999999999</v>
      </c>
      <c r="G234" s="2"/>
      <c r="I234" s="2">
        <v>38534</v>
      </c>
      <c r="J234">
        <v>15968.843339929599</v>
      </c>
      <c r="L234" s="2"/>
      <c r="P234" s="2">
        <v>28430</v>
      </c>
      <c r="Q234">
        <v>1262.4000000000001</v>
      </c>
      <c r="R234">
        <f t="shared" si="15"/>
        <v>0.10356660392258554</v>
      </c>
      <c r="U234" s="2">
        <v>24047</v>
      </c>
      <c r="V234">
        <v>31.75</v>
      </c>
      <c r="W234">
        <f t="shared" si="16"/>
        <v>1.7154169056012858E-2</v>
      </c>
      <c r="Y234" s="2">
        <f t="shared" si="17"/>
        <v>28430</v>
      </c>
      <c r="Z234">
        <f t="shared" si="18"/>
        <v>0.10356660392258554</v>
      </c>
      <c r="AA234">
        <f t="shared" si="19"/>
        <v>1.7154169056012858E-2</v>
      </c>
      <c r="AD234" s="2">
        <v>24593</v>
      </c>
      <c r="AE234">
        <v>2.2919261436107785E-2</v>
      </c>
    </row>
    <row r="235" spans="1:31" x14ac:dyDescent="0.25">
      <c r="A235" s="2">
        <v>37895</v>
      </c>
      <c r="B235">
        <v>15162.76</v>
      </c>
      <c r="G235" s="2"/>
      <c r="I235" s="2">
        <v>38626</v>
      </c>
      <c r="J235">
        <v>16062.035941635901</v>
      </c>
      <c r="L235" s="2"/>
      <c r="P235" s="2">
        <v>28460</v>
      </c>
      <c r="Q235">
        <v>1270.3</v>
      </c>
      <c r="R235">
        <f t="shared" si="15"/>
        <v>9.7753530773577957E-2</v>
      </c>
      <c r="U235" s="2">
        <v>24077</v>
      </c>
      <c r="V235">
        <v>31.85</v>
      </c>
      <c r="W235">
        <f t="shared" si="16"/>
        <v>1.9018005835761631E-2</v>
      </c>
      <c r="Y235" s="2">
        <f t="shared" si="17"/>
        <v>28460</v>
      </c>
      <c r="Z235">
        <f t="shared" si="18"/>
        <v>9.7753530773577957E-2</v>
      </c>
      <c r="AA235">
        <f t="shared" si="19"/>
        <v>1.9018005835761631E-2</v>
      </c>
      <c r="AD235" s="2">
        <v>24624</v>
      </c>
      <c r="AE235">
        <v>2.8016448736909005E-2</v>
      </c>
    </row>
    <row r="236" spans="1:31" x14ac:dyDescent="0.25">
      <c r="A236" s="2">
        <v>37987</v>
      </c>
      <c r="B236">
        <v>15248.68</v>
      </c>
      <c r="G236" s="2"/>
      <c r="I236" s="2">
        <v>38718</v>
      </c>
      <c r="J236">
        <v>16152.594087556299</v>
      </c>
      <c r="L236" s="2"/>
      <c r="P236" s="2">
        <v>28491</v>
      </c>
      <c r="Q236">
        <v>1279.7</v>
      </c>
      <c r="R236">
        <f t="shared" si="15"/>
        <v>9.3732929358271377E-2</v>
      </c>
      <c r="U236" s="2">
        <v>24108</v>
      </c>
      <c r="V236">
        <v>31.88</v>
      </c>
      <c r="W236">
        <f t="shared" si="16"/>
        <v>1.899993824490398E-2</v>
      </c>
      <c r="Y236" s="2">
        <f t="shared" si="17"/>
        <v>28491</v>
      </c>
      <c r="Z236">
        <f t="shared" si="18"/>
        <v>9.3732929358271377E-2</v>
      </c>
      <c r="AA236">
        <f t="shared" si="19"/>
        <v>1.899993824490398E-2</v>
      </c>
      <c r="AD236" s="2">
        <v>24654</v>
      </c>
      <c r="AE236">
        <v>2.8855456832555415E-2</v>
      </c>
    </row>
    <row r="237" spans="1:31" x14ac:dyDescent="0.25">
      <c r="A237" s="2">
        <v>38078</v>
      </c>
      <c r="B237">
        <v>15366.85</v>
      </c>
      <c r="G237" s="2"/>
      <c r="I237" s="2">
        <v>38808</v>
      </c>
      <c r="J237">
        <v>16240.797141806701</v>
      </c>
      <c r="L237" s="2"/>
      <c r="P237" s="2">
        <v>28522</v>
      </c>
      <c r="Q237">
        <v>1285.5</v>
      </c>
      <c r="R237">
        <f t="shared" si="15"/>
        <v>8.7669278731333122E-2</v>
      </c>
      <c r="U237" s="2">
        <v>24139</v>
      </c>
      <c r="V237">
        <v>32.08</v>
      </c>
      <c r="W237">
        <f t="shared" si="16"/>
        <v>2.5253867321203494E-2</v>
      </c>
      <c r="Y237" s="2">
        <f t="shared" si="17"/>
        <v>28522</v>
      </c>
      <c r="Z237">
        <f t="shared" si="18"/>
        <v>8.7669278731333122E-2</v>
      </c>
      <c r="AA237">
        <f t="shared" si="19"/>
        <v>2.5253867321203494E-2</v>
      </c>
      <c r="AD237" s="2">
        <v>24685</v>
      </c>
      <c r="AE237">
        <v>2.5700583108580588E-2</v>
      </c>
    </row>
    <row r="238" spans="1:31" x14ac:dyDescent="0.25">
      <c r="A238" s="2">
        <v>38169</v>
      </c>
      <c r="B238">
        <v>15512.619000000001</v>
      </c>
      <c r="G238" s="2"/>
      <c r="I238" s="2">
        <v>38899</v>
      </c>
      <c r="J238">
        <v>16324.825212317501</v>
      </c>
      <c r="L238" s="2"/>
      <c r="P238" s="2">
        <v>28550</v>
      </c>
      <c r="Q238">
        <v>1292.2</v>
      </c>
      <c r="R238">
        <f t="shared" si="15"/>
        <v>8.3654184323815883E-2</v>
      </c>
      <c r="U238" s="2">
        <v>24167</v>
      </c>
      <c r="V238">
        <v>32.18</v>
      </c>
      <c r="W238">
        <f t="shared" si="16"/>
        <v>2.7407606225922976E-2</v>
      </c>
      <c r="Y238" s="2">
        <f t="shared" si="17"/>
        <v>28550</v>
      </c>
      <c r="Z238">
        <f t="shared" si="18"/>
        <v>8.3654184323815883E-2</v>
      </c>
      <c r="AA238">
        <f t="shared" si="19"/>
        <v>2.7407606225922976E-2</v>
      </c>
      <c r="AD238" s="2">
        <v>24716</v>
      </c>
      <c r="AE238">
        <v>2.5623104887897874E-2</v>
      </c>
    </row>
    <row r="239" spans="1:31" x14ac:dyDescent="0.25">
      <c r="A239" s="2">
        <v>38261</v>
      </c>
      <c r="B239">
        <v>15670.88</v>
      </c>
      <c r="G239" s="2"/>
      <c r="I239" s="2">
        <v>38991</v>
      </c>
      <c r="J239">
        <v>16404.431903986399</v>
      </c>
      <c r="L239" s="2"/>
      <c r="P239" s="2">
        <v>28581</v>
      </c>
      <c r="Q239">
        <v>1300.4000000000001</v>
      </c>
      <c r="R239">
        <f t="shared" si="15"/>
        <v>8.0683741554896216E-2</v>
      </c>
      <c r="U239" s="2">
        <v>24198</v>
      </c>
      <c r="V239">
        <v>32.28</v>
      </c>
      <c r="W239">
        <f t="shared" si="16"/>
        <v>2.8277096096861687E-2</v>
      </c>
      <c r="Y239" s="2">
        <f t="shared" si="17"/>
        <v>28581</v>
      </c>
      <c r="Z239">
        <f t="shared" si="18"/>
        <v>8.0683741554896216E-2</v>
      </c>
      <c r="AA239">
        <f t="shared" si="19"/>
        <v>2.8277096096861687E-2</v>
      </c>
      <c r="AD239" s="2">
        <v>24746</v>
      </c>
      <c r="AE239">
        <v>2.5546092427696454E-2</v>
      </c>
    </row>
    <row r="240" spans="1:31" x14ac:dyDescent="0.25">
      <c r="A240" s="2">
        <v>38353</v>
      </c>
      <c r="B240">
        <v>15844.727000000001</v>
      </c>
      <c r="G240" s="2"/>
      <c r="I240" s="2">
        <v>39083</v>
      </c>
      <c r="J240">
        <v>16484.8880288461</v>
      </c>
      <c r="L240" s="2"/>
      <c r="P240" s="2">
        <v>28611</v>
      </c>
      <c r="Q240">
        <v>1310.5</v>
      </c>
      <c r="R240">
        <f t="shared" si="15"/>
        <v>8.0615172148668535E-2</v>
      </c>
      <c r="U240" s="2">
        <v>24228</v>
      </c>
      <c r="V240">
        <v>32.35</v>
      </c>
      <c r="W240">
        <f t="shared" si="16"/>
        <v>2.726159739770706E-2</v>
      </c>
      <c r="Y240" s="2">
        <f t="shared" si="17"/>
        <v>28611</v>
      </c>
      <c r="Z240">
        <f t="shared" si="18"/>
        <v>8.0615172148668535E-2</v>
      </c>
      <c r="AA240">
        <f t="shared" si="19"/>
        <v>2.726159739770706E-2</v>
      </c>
      <c r="AD240" s="2">
        <v>24777</v>
      </c>
      <c r="AE240">
        <v>3.0550444198425453E-2</v>
      </c>
    </row>
    <row r="241" spans="1:31" x14ac:dyDescent="0.25">
      <c r="A241" s="2">
        <v>38443</v>
      </c>
      <c r="B241">
        <v>15922.781999999999</v>
      </c>
      <c r="G241" s="2"/>
      <c r="I241" s="2">
        <v>39173</v>
      </c>
      <c r="J241">
        <v>16566.649925173901</v>
      </c>
      <c r="L241" s="2"/>
      <c r="P241" s="2">
        <v>28642</v>
      </c>
      <c r="Q241">
        <v>1318.5</v>
      </c>
      <c r="R241">
        <f t="shared" si="15"/>
        <v>7.9448774618867901E-2</v>
      </c>
      <c r="U241" s="2">
        <v>24259</v>
      </c>
      <c r="V241">
        <v>32.380000000000003</v>
      </c>
      <c r="W241">
        <f t="shared" si="16"/>
        <v>2.406742202196277E-2</v>
      </c>
      <c r="Y241" s="2">
        <f t="shared" si="17"/>
        <v>28642</v>
      </c>
      <c r="Z241">
        <f t="shared" si="18"/>
        <v>7.9448774618867901E-2</v>
      </c>
      <c r="AA241">
        <f t="shared" si="19"/>
        <v>2.406742202196277E-2</v>
      </c>
      <c r="AD241" s="2">
        <v>24807</v>
      </c>
      <c r="AE241">
        <v>3.2280148807292353E-2</v>
      </c>
    </row>
    <row r="242" spans="1:31" x14ac:dyDescent="0.25">
      <c r="A242" s="2">
        <v>38534</v>
      </c>
      <c r="B242">
        <v>16047.587</v>
      </c>
      <c r="G242" s="2"/>
      <c r="I242" s="2">
        <v>39264</v>
      </c>
      <c r="J242">
        <v>16649.553222510898</v>
      </c>
      <c r="L242" s="2"/>
      <c r="P242" s="2">
        <v>28672</v>
      </c>
      <c r="Q242">
        <v>1324.1</v>
      </c>
      <c r="R242">
        <f t="shared" si="15"/>
        <v>7.6405346307004685E-2</v>
      </c>
      <c r="U242" s="2">
        <v>24289</v>
      </c>
      <c r="V242">
        <v>32.450000000000003</v>
      </c>
      <c r="W242">
        <f t="shared" si="16"/>
        <v>2.7176434322603082E-2</v>
      </c>
      <c r="Y242" s="2">
        <f t="shared" si="17"/>
        <v>28672</v>
      </c>
      <c r="Z242">
        <f t="shared" si="18"/>
        <v>7.6405346307004685E-2</v>
      </c>
      <c r="AA242">
        <f t="shared" si="19"/>
        <v>2.7176434322603082E-2</v>
      </c>
      <c r="AD242" s="2">
        <v>24838</v>
      </c>
      <c r="AE242">
        <v>3.5824726518145056E-2</v>
      </c>
    </row>
    <row r="243" spans="1:31" x14ac:dyDescent="0.25">
      <c r="A243" s="2">
        <v>38626</v>
      </c>
      <c r="B243">
        <v>16136.734</v>
      </c>
      <c r="G243" s="2"/>
      <c r="I243" s="2">
        <v>39356</v>
      </c>
      <c r="J243">
        <v>16732.836359591998</v>
      </c>
      <c r="L243" s="2"/>
      <c r="P243" s="2">
        <v>28703</v>
      </c>
      <c r="Q243">
        <v>1333.5</v>
      </c>
      <c r="R243">
        <f t="shared" si="15"/>
        <v>7.5117971229581748E-2</v>
      </c>
      <c r="U243" s="2">
        <v>24320</v>
      </c>
      <c r="V243">
        <v>32.65</v>
      </c>
      <c r="W243">
        <f t="shared" si="16"/>
        <v>3.4271266735217853E-2</v>
      </c>
      <c r="Y243" s="2">
        <f t="shared" si="17"/>
        <v>28703</v>
      </c>
      <c r="Z243">
        <f t="shared" si="18"/>
        <v>7.5117971229581748E-2</v>
      </c>
      <c r="AA243">
        <f t="shared" si="19"/>
        <v>3.4271266735217853E-2</v>
      </c>
      <c r="AD243" s="2">
        <v>24869</v>
      </c>
      <c r="AE243">
        <v>3.5718082602079537E-2</v>
      </c>
    </row>
    <row r="244" spans="1:31" x14ac:dyDescent="0.25">
      <c r="A244" s="2">
        <v>38718</v>
      </c>
      <c r="B244">
        <v>16353.834999999999</v>
      </c>
      <c r="G244" s="2"/>
      <c r="I244" s="2">
        <v>39448</v>
      </c>
      <c r="J244">
        <v>16815.605755710501</v>
      </c>
      <c r="L244" s="2"/>
      <c r="P244" s="2">
        <v>28734</v>
      </c>
      <c r="Q244">
        <v>1345</v>
      </c>
      <c r="R244">
        <f t="shared" si="15"/>
        <v>7.629509192581807E-2</v>
      </c>
      <c r="U244" s="2">
        <v>24351</v>
      </c>
      <c r="V244">
        <v>32.75</v>
      </c>
      <c r="W244">
        <f t="shared" si="16"/>
        <v>3.5113130299934792E-2</v>
      </c>
      <c r="Y244" s="2">
        <f t="shared" si="17"/>
        <v>28734</v>
      </c>
      <c r="Z244">
        <f t="shared" si="18"/>
        <v>7.629509192581807E-2</v>
      </c>
      <c r="AA244">
        <f t="shared" si="19"/>
        <v>3.5113130299934792E-2</v>
      </c>
      <c r="AD244" s="2">
        <v>24898</v>
      </c>
      <c r="AE244">
        <v>3.8637792705413787E-2</v>
      </c>
    </row>
    <row r="245" spans="1:31" x14ac:dyDescent="0.25">
      <c r="A245" s="2">
        <v>38808</v>
      </c>
      <c r="B245">
        <v>16396.151000000002</v>
      </c>
      <c r="G245" s="2"/>
      <c r="I245" s="2">
        <v>39539</v>
      </c>
      <c r="J245">
        <v>16895.894981639201</v>
      </c>
      <c r="L245" s="2"/>
      <c r="P245" s="2">
        <v>28764</v>
      </c>
      <c r="Q245">
        <v>1352.3</v>
      </c>
      <c r="R245">
        <f t="shared" si="15"/>
        <v>7.5468404286447743E-2</v>
      </c>
      <c r="U245" s="2">
        <v>24381</v>
      </c>
      <c r="V245">
        <v>32.85</v>
      </c>
      <c r="W245">
        <f t="shared" si="16"/>
        <v>3.7213596340434307E-2</v>
      </c>
      <c r="Y245" s="2">
        <f t="shared" si="17"/>
        <v>28764</v>
      </c>
      <c r="Z245">
        <f t="shared" si="18"/>
        <v>7.5468404286447743E-2</v>
      </c>
      <c r="AA245">
        <f t="shared" si="19"/>
        <v>3.7213596340434307E-2</v>
      </c>
      <c r="AD245" s="2">
        <v>24929</v>
      </c>
      <c r="AE245">
        <v>3.8523281996335257E-2</v>
      </c>
    </row>
    <row r="246" spans="1:31" x14ac:dyDescent="0.25">
      <c r="A246" s="2">
        <v>38899</v>
      </c>
      <c r="B246">
        <v>16420.738000000001</v>
      </c>
      <c r="G246" s="2"/>
      <c r="I246" s="2">
        <v>39630</v>
      </c>
      <c r="J246">
        <v>16973.238277426801</v>
      </c>
      <c r="L246" s="2"/>
      <c r="P246" s="2">
        <v>28795</v>
      </c>
      <c r="Q246">
        <v>1359.1</v>
      </c>
      <c r="R246">
        <f t="shared" si="15"/>
        <v>7.3808044869691614E-2</v>
      </c>
      <c r="U246" s="2">
        <v>24412</v>
      </c>
      <c r="V246">
        <v>32.880000000000003</v>
      </c>
      <c r="W246">
        <f t="shared" si="16"/>
        <v>3.4971844849278177E-2</v>
      </c>
      <c r="Y246" s="2">
        <f t="shared" si="17"/>
        <v>28795</v>
      </c>
      <c r="Z246">
        <f t="shared" si="18"/>
        <v>7.3808044869691614E-2</v>
      </c>
      <c r="AA246">
        <f t="shared" si="19"/>
        <v>3.4971844849278177E-2</v>
      </c>
      <c r="AD246" s="2">
        <v>24959</v>
      </c>
      <c r="AE246">
        <v>4.1426041654296863E-2</v>
      </c>
    </row>
    <row r="247" spans="1:31" x14ac:dyDescent="0.25">
      <c r="A247" s="2">
        <v>38991</v>
      </c>
      <c r="B247">
        <v>16561.866000000002</v>
      </c>
      <c r="G247" s="2"/>
      <c r="I247" s="2">
        <v>39722</v>
      </c>
      <c r="J247">
        <v>17046.576392057701</v>
      </c>
      <c r="L247" s="2"/>
      <c r="P247" s="2">
        <v>28825</v>
      </c>
      <c r="Q247">
        <v>1366</v>
      </c>
      <c r="R247">
        <f t="shared" si="15"/>
        <v>7.2633668101320659E-2</v>
      </c>
      <c r="U247" s="2">
        <v>24442</v>
      </c>
      <c r="V247">
        <v>32.92</v>
      </c>
      <c r="W247">
        <f t="shared" si="16"/>
        <v>3.3042993790696862E-2</v>
      </c>
      <c r="Y247" s="2">
        <f t="shared" si="17"/>
        <v>28825</v>
      </c>
      <c r="Z247">
        <f t="shared" si="18"/>
        <v>7.2633668101320659E-2</v>
      </c>
      <c r="AA247">
        <f t="shared" si="19"/>
        <v>3.3042993790696862E-2</v>
      </c>
      <c r="AD247" s="2">
        <v>24990</v>
      </c>
      <c r="AE247">
        <v>4.1182289966415375E-2</v>
      </c>
    </row>
    <row r="248" spans="1:31" x14ac:dyDescent="0.25">
      <c r="A248" s="2">
        <v>39083</v>
      </c>
      <c r="B248">
        <v>16611.689999999999</v>
      </c>
      <c r="G248" s="2"/>
      <c r="I248" s="2">
        <v>39814</v>
      </c>
      <c r="J248">
        <v>17114.5001779874</v>
      </c>
      <c r="L248" s="2"/>
      <c r="P248" s="2">
        <v>28856</v>
      </c>
      <c r="Q248">
        <v>1371.6</v>
      </c>
      <c r="R248">
        <f t="shared" si="15"/>
        <v>6.9352266145214614E-2</v>
      </c>
      <c r="U248" s="2">
        <v>24473</v>
      </c>
      <c r="V248">
        <v>32.9</v>
      </c>
      <c r="W248">
        <f t="shared" si="16"/>
        <v>3.1493803849311774E-2</v>
      </c>
      <c r="Y248" s="2">
        <f t="shared" si="17"/>
        <v>28856</v>
      </c>
      <c r="Z248">
        <f t="shared" si="18"/>
        <v>6.9352266145214614E-2</v>
      </c>
      <c r="AA248">
        <f t="shared" si="19"/>
        <v>3.1493803849311774E-2</v>
      </c>
      <c r="AD248" s="2">
        <v>25020</v>
      </c>
      <c r="AE248">
        <v>4.3930929225727056E-2</v>
      </c>
    </row>
    <row r="249" spans="1:31" x14ac:dyDescent="0.25">
      <c r="A249" s="2">
        <v>39173</v>
      </c>
      <c r="B249">
        <v>16713.313999999998</v>
      </c>
      <c r="G249" s="2"/>
      <c r="I249" s="2">
        <v>39904</v>
      </c>
      <c r="J249">
        <v>17178.410062824201</v>
      </c>
      <c r="L249" s="2"/>
      <c r="P249" s="2">
        <v>28887</v>
      </c>
      <c r="Q249">
        <v>1377.8</v>
      </c>
      <c r="R249">
        <f t="shared" si="15"/>
        <v>6.9340276453150551E-2</v>
      </c>
      <c r="U249" s="2">
        <v>24504</v>
      </c>
      <c r="V249">
        <v>33</v>
      </c>
      <c r="W249">
        <f t="shared" si="16"/>
        <v>2.8274778468166506E-2</v>
      </c>
      <c r="Y249" s="2">
        <f t="shared" si="17"/>
        <v>28887</v>
      </c>
      <c r="Z249">
        <f t="shared" si="18"/>
        <v>6.9340276453150551E-2</v>
      </c>
      <c r="AA249">
        <f t="shared" si="19"/>
        <v>2.8274778468166506E-2</v>
      </c>
      <c r="AD249" s="2">
        <v>25051</v>
      </c>
      <c r="AE249">
        <v>4.3802622658392742E-2</v>
      </c>
    </row>
    <row r="250" spans="1:31" x14ac:dyDescent="0.25">
      <c r="A250" s="2">
        <v>39264</v>
      </c>
      <c r="B250">
        <v>16809.587</v>
      </c>
      <c r="G250" s="2"/>
      <c r="I250" s="2">
        <v>39995</v>
      </c>
      <c r="J250">
        <v>17238.915827103199</v>
      </c>
      <c r="L250" s="2"/>
      <c r="P250" s="2">
        <v>28915</v>
      </c>
      <c r="Q250">
        <v>1387.8</v>
      </c>
      <c r="R250">
        <f t="shared" si="15"/>
        <v>7.1373567341384003E-2</v>
      </c>
      <c r="U250" s="2">
        <v>24532</v>
      </c>
      <c r="V250">
        <v>33</v>
      </c>
      <c r="W250">
        <f t="shared" si="16"/>
        <v>2.5162419902243105E-2</v>
      </c>
      <c r="Y250" s="2">
        <f t="shared" si="17"/>
        <v>28915</v>
      </c>
      <c r="Z250">
        <f t="shared" si="18"/>
        <v>7.1373567341384003E-2</v>
      </c>
      <c r="AA250">
        <f t="shared" si="19"/>
        <v>2.5162419902243105E-2</v>
      </c>
      <c r="AD250" s="2">
        <v>25082</v>
      </c>
      <c r="AE250">
        <v>4.367506350266126E-2</v>
      </c>
    </row>
    <row r="251" spans="1:31" x14ac:dyDescent="0.25">
      <c r="A251" s="2">
        <v>39356</v>
      </c>
      <c r="B251">
        <v>16915.190999999999</v>
      </c>
      <c r="G251" s="2"/>
      <c r="I251" s="2">
        <v>40087</v>
      </c>
      <c r="J251">
        <v>17297.9985022115</v>
      </c>
      <c r="L251" s="2"/>
      <c r="P251" s="2">
        <v>28946</v>
      </c>
      <c r="Q251">
        <v>1402.1</v>
      </c>
      <c r="R251">
        <f t="shared" si="15"/>
        <v>7.5299203297335637E-2</v>
      </c>
      <c r="U251" s="2">
        <v>24563</v>
      </c>
      <c r="V251">
        <v>33.1</v>
      </c>
      <c r="W251">
        <f t="shared" si="16"/>
        <v>2.5085438981269359E-2</v>
      </c>
      <c r="Y251" s="2">
        <f t="shared" si="17"/>
        <v>28946</v>
      </c>
      <c r="Z251">
        <f t="shared" si="18"/>
        <v>7.5299203297335637E-2</v>
      </c>
      <c r="AA251">
        <f t="shared" si="19"/>
        <v>2.5085438981269359E-2</v>
      </c>
      <c r="AD251" s="2">
        <v>25112</v>
      </c>
      <c r="AE251">
        <v>4.6385126580934966E-2</v>
      </c>
    </row>
    <row r="252" spans="1:31" x14ac:dyDescent="0.25">
      <c r="A252" s="2">
        <v>39448</v>
      </c>
      <c r="B252">
        <v>16843.003000000001</v>
      </c>
      <c r="G252" s="2"/>
      <c r="I252" s="2">
        <v>40179</v>
      </c>
      <c r="J252">
        <v>17357.905980720199</v>
      </c>
      <c r="L252" s="2"/>
      <c r="P252" s="2">
        <v>28976</v>
      </c>
      <c r="Q252">
        <v>1410.2</v>
      </c>
      <c r="R252">
        <f t="shared" si="15"/>
        <v>7.332279452147894E-2</v>
      </c>
      <c r="U252" s="2">
        <v>24593</v>
      </c>
      <c r="V252">
        <v>33.1</v>
      </c>
      <c r="W252">
        <f t="shared" si="16"/>
        <v>2.2919261436107785E-2</v>
      </c>
      <c r="Y252" s="2">
        <f t="shared" si="17"/>
        <v>28976</v>
      </c>
      <c r="Z252">
        <f t="shared" si="18"/>
        <v>7.332279452147894E-2</v>
      </c>
      <c r="AA252">
        <f t="shared" si="19"/>
        <v>2.2919261436107785E-2</v>
      </c>
      <c r="AD252" s="2">
        <v>25143</v>
      </c>
      <c r="AE252">
        <v>4.3296805753324286E-2</v>
      </c>
    </row>
    <row r="253" spans="1:31" x14ac:dyDescent="0.25">
      <c r="A253" s="2">
        <v>39539</v>
      </c>
      <c r="B253">
        <v>16943.291000000001</v>
      </c>
      <c r="G253" s="2"/>
      <c r="I253" s="2">
        <v>40269</v>
      </c>
      <c r="J253">
        <v>17419.589716462098</v>
      </c>
      <c r="L253" s="2"/>
      <c r="P253" s="2">
        <v>29007</v>
      </c>
      <c r="Q253">
        <v>1423</v>
      </c>
      <c r="R253">
        <f t="shared" si="15"/>
        <v>7.6272592296510844E-2</v>
      </c>
      <c r="U253" s="2">
        <v>24624</v>
      </c>
      <c r="V253">
        <v>33.299999999999997</v>
      </c>
      <c r="W253">
        <f t="shared" si="16"/>
        <v>2.8016448736909005E-2</v>
      </c>
      <c r="Y253" s="2">
        <f t="shared" si="17"/>
        <v>29007</v>
      </c>
      <c r="Z253">
        <f t="shared" si="18"/>
        <v>7.6272592296510844E-2</v>
      </c>
      <c r="AA253">
        <f t="shared" si="19"/>
        <v>2.8016448736909005E-2</v>
      </c>
      <c r="AD253" s="2">
        <v>25173</v>
      </c>
      <c r="AE253">
        <v>4.5985113241823417E-2</v>
      </c>
    </row>
    <row r="254" spans="1:31" x14ac:dyDescent="0.25">
      <c r="A254" s="2">
        <v>39630</v>
      </c>
      <c r="B254">
        <v>16854.294999999998</v>
      </c>
      <c r="G254" s="2"/>
      <c r="I254" s="2">
        <v>40360</v>
      </c>
      <c r="J254">
        <v>17484.4783113415</v>
      </c>
      <c r="L254" s="2"/>
      <c r="P254" s="2">
        <v>29037</v>
      </c>
      <c r="Q254">
        <v>1434.8</v>
      </c>
      <c r="R254">
        <f t="shared" si="15"/>
        <v>8.0292483312416785E-2</v>
      </c>
      <c r="U254" s="2">
        <v>24654</v>
      </c>
      <c r="V254">
        <v>33.4</v>
      </c>
      <c r="W254">
        <f t="shared" si="16"/>
        <v>2.8855456832555415E-2</v>
      </c>
      <c r="Y254" s="2">
        <f t="shared" si="17"/>
        <v>29037</v>
      </c>
      <c r="Z254">
        <f t="shared" si="18"/>
        <v>8.0292483312416785E-2</v>
      </c>
      <c r="AA254">
        <f t="shared" si="19"/>
        <v>2.8855456832555415E-2</v>
      </c>
      <c r="AD254" s="2">
        <v>25204</v>
      </c>
      <c r="AE254">
        <v>4.5853304496122238E-2</v>
      </c>
    </row>
    <row r="255" spans="1:31" x14ac:dyDescent="0.25">
      <c r="A255" s="2">
        <v>39722</v>
      </c>
      <c r="B255">
        <v>16485.349999999999</v>
      </c>
      <c r="G255" s="2"/>
      <c r="I255" s="2">
        <v>40452</v>
      </c>
      <c r="J255">
        <v>17551.856970377801</v>
      </c>
      <c r="L255" s="2"/>
      <c r="P255" s="2">
        <v>29068</v>
      </c>
      <c r="Q255">
        <v>1446.6</v>
      </c>
      <c r="R255">
        <f t="shared" si="15"/>
        <v>8.1408910793110856E-2</v>
      </c>
      <c r="U255" s="2">
        <v>24685</v>
      </c>
      <c r="V255">
        <v>33.5</v>
      </c>
      <c r="W255">
        <f t="shared" si="16"/>
        <v>2.5700583108580588E-2</v>
      </c>
      <c r="Y255" s="2">
        <f t="shared" si="17"/>
        <v>29068</v>
      </c>
      <c r="Z255">
        <f t="shared" si="18"/>
        <v>8.1408910793110856E-2</v>
      </c>
      <c r="AA255">
        <f t="shared" si="19"/>
        <v>2.5700583108580588E-2</v>
      </c>
      <c r="AD255" s="2">
        <v>25235</v>
      </c>
      <c r="AE255">
        <v>4.5722249338094656E-2</v>
      </c>
    </row>
    <row r="256" spans="1:31" x14ac:dyDescent="0.25">
      <c r="A256" s="2">
        <v>39814</v>
      </c>
      <c r="B256">
        <v>16298.262000000001</v>
      </c>
      <c r="G256" s="2"/>
      <c r="I256" s="2">
        <v>40544</v>
      </c>
      <c r="J256">
        <v>17621.8331122987</v>
      </c>
      <c r="L256" s="2"/>
      <c r="P256" s="2">
        <v>29099</v>
      </c>
      <c r="Q256">
        <v>1454.1</v>
      </c>
      <c r="R256">
        <f t="shared" si="15"/>
        <v>7.7993139483500507E-2</v>
      </c>
      <c r="U256" s="2">
        <v>24716</v>
      </c>
      <c r="V256">
        <v>33.6</v>
      </c>
      <c r="W256">
        <f t="shared" si="16"/>
        <v>2.5623104887897874E-2</v>
      </c>
      <c r="Y256" s="2">
        <f t="shared" si="17"/>
        <v>29099</v>
      </c>
      <c r="Z256">
        <f t="shared" si="18"/>
        <v>7.7993139483500507E-2</v>
      </c>
      <c r="AA256">
        <f t="shared" si="19"/>
        <v>2.5623104887897874E-2</v>
      </c>
      <c r="AD256" s="2">
        <v>25263</v>
      </c>
      <c r="AE256">
        <v>5.1147511166941051E-2</v>
      </c>
    </row>
    <row r="257" spans="1:31" x14ac:dyDescent="0.25">
      <c r="A257" s="2">
        <v>39904</v>
      </c>
      <c r="B257">
        <v>16269.145</v>
      </c>
      <c r="G257" s="2"/>
      <c r="I257" s="2">
        <v>40634</v>
      </c>
      <c r="J257">
        <v>17694.2897344964</v>
      </c>
      <c r="L257" s="2"/>
      <c r="P257" s="2">
        <v>29129</v>
      </c>
      <c r="Q257">
        <v>1460.4</v>
      </c>
      <c r="R257">
        <f t="shared" si="15"/>
        <v>7.6903524302167625E-2</v>
      </c>
      <c r="U257" s="2">
        <v>24746</v>
      </c>
      <c r="V257">
        <v>33.700000000000003</v>
      </c>
      <c r="W257">
        <f t="shared" si="16"/>
        <v>2.5546092427696454E-2</v>
      </c>
      <c r="Y257" s="2">
        <f t="shared" si="17"/>
        <v>29129</v>
      </c>
      <c r="Z257">
        <f t="shared" si="18"/>
        <v>7.6903524302167625E-2</v>
      </c>
      <c r="AA257">
        <f t="shared" si="19"/>
        <v>2.5546092427696454E-2</v>
      </c>
      <c r="AD257" s="2">
        <v>25294</v>
      </c>
      <c r="AE257">
        <v>5.3761176891452322E-2</v>
      </c>
    </row>
    <row r="258" spans="1:31" x14ac:dyDescent="0.25">
      <c r="A258" s="2">
        <v>39995</v>
      </c>
      <c r="B258">
        <v>16326.281000000001</v>
      </c>
      <c r="G258" s="2"/>
      <c r="I258" s="2">
        <v>40725</v>
      </c>
      <c r="J258">
        <v>17769.091548927299</v>
      </c>
      <c r="L258" s="2"/>
      <c r="P258" s="2">
        <v>29160</v>
      </c>
      <c r="Q258">
        <v>1465.9</v>
      </c>
      <c r="R258">
        <f t="shared" si="15"/>
        <v>7.5646672334684695E-2</v>
      </c>
      <c r="U258" s="2">
        <v>24777</v>
      </c>
      <c r="V258">
        <v>33.9</v>
      </c>
      <c r="W258">
        <f t="shared" si="16"/>
        <v>3.0550444198425453E-2</v>
      </c>
      <c r="Y258" s="2">
        <f t="shared" si="17"/>
        <v>29160</v>
      </c>
      <c r="Z258">
        <f t="shared" si="18"/>
        <v>7.5646672334684695E-2</v>
      </c>
      <c r="AA258">
        <f t="shared" si="19"/>
        <v>3.0550444198425453E-2</v>
      </c>
      <c r="AD258" s="2">
        <v>25324</v>
      </c>
      <c r="AE258">
        <v>5.3609450605380804E-2</v>
      </c>
    </row>
    <row r="259" spans="1:31" x14ac:dyDescent="0.25">
      <c r="A259" s="2">
        <v>40087</v>
      </c>
      <c r="B259">
        <v>16502.754000000001</v>
      </c>
      <c r="G259" s="2"/>
      <c r="I259" s="2">
        <v>40817</v>
      </c>
      <c r="J259">
        <v>17845.433170509899</v>
      </c>
      <c r="L259" s="2"/>
      <c r="P259" s="2">
        <v>29190</v>
      </c>
      <c r="Q259">
        <v>1473.7</v>
      </c>
      <c r="R259">
        <f t="shared" si="15"/>
        <v>7.5889484088481396E-2</v>
      </c>
      <c r="U259" s="2">
        <v>24807</v>
      </c>
      <c r="V259">
        <v>34</v>
      </c>
      <c r="W259">
        <f t="shared" si="16"/>
        <v>3.2280148807292353E-2</v>
      </c>
      <c r="Y259" s="2">
        <f t="shared" si="17"/>
        <v>29190</v>
      </c>
      <c r="Z259">
        <f t="shared" si="18"/>
        <v>7.5889484088481396E-2</v>
      </c>
      <c r="AA259">
        <f t="shared" si="19"/>
        <v>3.2280148807292353E-2</v>
      </c>
      <c r="AD259" s="2">
        <v>25355</v>
      </c>
      <c r="AE259">
        <v>5.3308553454507024E-2</v>
      </c>
    </row>
    <row r="260" spans="1:31" x14ac:dyDescent="0.25">
      <c r="A260" s="2">
        <v>40179</v>
      </c>
      <c r="B260">
        <v>16582.71</v>
      </c>
      <c r="G260" s="2"/>
      <c r="I260" s="2">
        <v>40909</v>
      </c>
      <c r="J260">
        <v>17923.095226368201</v>
      </c>
      <c r="L260" s="2"/>
      <c r="P260" s="2">
        <v>29221</v>
      </c>
      <c r="Q260">
        <v>1482.7</v>
      </c>
      <c r="R260">
        <f t="shared" si="15"/>
        <v>7.7886808435215116E-2</v>
      </c>
      <c r="U260" s="2">
        <v>24838</v>
      </c>
      <c r="V260">
        <v>34.1</v>
      </c>
      <c r="W260">
        <f t="shared" si="16"/>
        <v>3.5824726518145056E-2</v>
      </c>
      <c r="Y260" s="2">
        <f t="shared" si="17"/>
        <v>29221</v>
      </c>
      <c r="Z260">
        <f t="shared" si="18"/>
        <v>7.7886808435215116E-2</v>
      </c>
      <c r="AA260">
        <f t="shared" si="19"/>
        <v>3.5824726518145056E-2</v>
      </c>
      <c r="AD260" s="2">
        <v>25385</v>
      </c>
      <c r="AE260">
        <v>5.3011015966503816E-2</v>
      </c>
    </row>
    <row r="261" spans="1:31" x14ac:dyDescent="0.25">
      <c r="A261" s="2">
        <v>40269</v>
      </c>
      <c r="B261">
        <v>16743.162</v>
      </c>
      <c r="G261" s="2"/>
      <c r="I261" s="2">
        <v>41000</v>
      </c>
      <c r="J261">
        <v>18002.356996270199</v>
      </c>
      <c r="L261" s="2"/>
      <c r="P261" s="2">
        <v>29252</v>
      </c>
      <c r="Q261">
        <v>1494.6</v>
      </c>
      <c r="R261">
        <f t="shared" si="15"/>
        <v>8.1370588337094318E-2</v>
      </c>
      <c r="U261" s="2">
        <v>24869</v>
      </c>
      <c r="V261">
        <v>34.200000000000003</v>
      </c>
      <c r="W261">
        <f t="shared" si="16"/>
        <v>3.5718082602079537E-2</v>
      </c>
      <c r="Y261" s="2">
        <f t="shared" si="17"/>
        <v>29252</v>
      </c>
      <c r="Z261">
        <f t="shared" si="18"/>
        <v>8.1370588337094318E-2</v>
      </c>
      <c r="AA261">
        <f t="shared" si="19"/>
        <v>3.5718082602079537E-2</v>
      </c>
      <c r="AD261" s="2">
        <v>25416</v>
      </c>
      <c r="AE261">
        <v>5.28634895570681E-2</v>
      </c>
    </row>
    <row r="262" spans="1:31" x14ac:dyDescent="0.25">
      <c r="A262" s="2">
        <v>40360</v>
      </c>
      <c r="B262">
        <v>16872.266</v>
      </c>
      <c r="G262" s="2"/>
      <c r="I262" s="2">
        <v>41091</v>
      </c>
      <c r="J262">
        <v>18082.645749966901</v>
      </c>
      <c r="L262" s="2"/>
      <c r="P262" s="2">
        <v>29281</v>
      </c>
      <c r="Q262">
        <v>1499.8</v>
      </c>
      <c r="R262">
        <f t="shared" si="15"/>
        <v>7.7612006401840183E-2</v>
      </c>
      <c r="U262" s="2">
        <v>24898</v>
      </c>
      <c r="V262">
        <v>34.299999999999997</v>
      </c>
      <c r="W262">
        <f t="shared" si="16"/>
        <v>3.8637792705413787E-2</v>
      </c>
      <c r="Y262" s="2">
        <f t="shared" si="17"/>
        <v>29281</v>
      </c>
      <c r="Z262">
        <f t="shared" si="18"/>
        <v>7.7612006401840183E-2</v>
      </c>
      <c r="AA262">
        <f t="shared" si="19"/>
        <v>3.8637792705413787E-2</v>
      </c>
      <c r="AD262" s="2">
        <v>25447</v>
      </c>
      <c r="AE262">
        <v>5.5415839141569556E-2</v>
      </c>
    </row>
    <row r="263" spans="1:31" x14ac:dyDescent="0.25">
      <c r="A263" s="2">
        <v>40452</v>
      </c>
      <c r="B263">
        <v>16960.864000000001</v>
      </c>
      <c r="G263" s="2"/>
      <c r="I263" s="2">
        <v>41183</v>
      </c>
      <c r="J263">
        <v>18163.793768672502</v>
      </c>
      <c r="L263" s="2"/>
      <c r="P263" s="2">
        <v>29312</v>
      </c>
      <c r="Q263">
        <v>1502.2</v>
      </c>
      <c r="R263">
        <f t="shared" si="15"/>
        <v>6.8959587524825672E-2</v>
      </c>
      <c r="U263" s="2">
        <v>24929</v>
      </c>
      <c r="V263">
        <v>34.4</v>
      </c>
      <c r="W263">
        <f t="shared" si="16"/>
        <v>3.8523281996335257E-2</v>
      </c>
      <c r="Y263" s="2">
        <f t="shared" si="17"/>
        <v>29312</v>
      </c>
      <c r="Z263">
        <f t="shared" si="18"/>
        <v>6.8959587524825672E-2</v>
      </c>
      <c r="AA263">
        <f t="shared" si="19"/>
        <v>3.8523281996335257E-2</v>
      </c>
      <c r="AD263" s="2">
        <v>25477</v>
      </c>
      <c r="AE263">
        <v>5.5110362710518501E-2</v>
      </c>
    </row>
    <row r="264" spans="1:31" x14ac:dyDescent="0.25">
      <c r="A264" s="2">
        <v>40544</v>
      </c>
      <c r="B264">
        <v>16920.632000000001</v>
      </c>
      <c r="G264" s="2"/>
      <c r="I264" s="2">
        <v>41275</v>
      </c>
      <c r="J264">
        <v>18246.421371142002</v>
      </c>
      <c r="L264" s="2"/>
      <c r="P264" s="2">
        <v>29342</v>
      </c>
      <c r="Q264">
        <v>1512.3</v>
      </c>
      <c r="R264">
        <f t="shared" si="15"/>
        <v>6.9900132471754972E-2</v>
      </c>
      <c r="U264" s="2">
        <v>24959</v>
      </c>
      <c r="V264">
        <v>34.5</v>
      </c>
      <c r="W264">
        <f t="shared" si="16"/>
        <v>4.1426041654296863E-2</v>
      </c>
      <c r="Y264" s="2">
        <f t="shared" si="17"/>
        <v>29342</v>
      </c>
      <c r="Z264">
        <f t="shared" si="18"/>
        <v>6.9900132471754972E-2</v>
      </c>
      <c r="AA264">
        <f t="shared" si="19"/>
        <v>4.1426041654296863E-2</v>
      </c>
      <c r="AD264" s="2">
        <v>25508</v>
      </c>
      <c r="AE264">
        <v>5.7629112836636409E-2</v>
      </c>
    </row>
    <row r="265" spans="1:31" x14ac:dyDescent="0.25">
      <c r="A265" s="2">
        <v>40634</v>
      </c>
      <c r="B265">
        <v>17035.114000000001</v>
      </c>
      <c r="G265" s="2"/>
      <c r="I265" s="2">
        <v>41365</v>
      </c>
      <c r="J265">
        <v>18329.4404683797</v>
      </c>
      <c r="L265" s="2"/>
      <c r="P265" s="2">
        <v>29373</v>
      </c>
      <c r="Q265">
        <v>1529.2</v>
      </c>
      <c r="R265">
        <f t="shared" si="15"/>
        <v>7.1977403732405243E-2</v>
      </c>
      <c r="U265" s="2">
        <v>24990</v>
      </c>
      <c r="V265">
        <v>34.700000000000003</v>
      </c>
      <c r="W265">
        <f t="shared" si="16"/>
        <v>4.1182289966415375E-2</v>
      </c>
      <c r="Y265" s="2">
        <f t="shared" si="17"/>
        <v>29373</v>
      </c>
      <c r="Z265">
        <f t="shared" si="18"/>
        <v>7.1977403732405243E-2</v>
      </c>
      <c r="AA265">
        <f t="shared" si="19"/>
        <v>4.1182289966415375E-2</v>
      </c>
      <c r="AD265" s="2">
        <v>25538</v>
      </c>
      <c r="AE265">
        <v>5.7314456595980001E-2</v>
      </c>
    </row>
    <row r="266" spans="1:31" x14ac:dyDescent="0.25">
      <c r="A266" s="2">
        <v>40725</v>
      </c>
      <c r="B266">
        <v>17031.312999999998</v>
      </c>
      <c r="G266" s="2"/>
      <c r="I266" s="2">
        <v>41456</v>
      </c>
      <c r="J266">
        <v>18412.744840976</v>
      </c>
      <c r="L266" s="2"/>
      <c r="P266" s="2">
        <v>29403</v>
      </c>
      <c r="Q266">
        <v>1545.5</v>
      </c>
      <c r="R266">
        <f t="shared" si="15"/>
        <v>7.4322015914042971E-2</v>
      </c>
      <c r="U266" s="2">
        <v>25020</v>
      </c>
      <c r="V266">
        <v>34.9</v>
      </c>
      <c r="W266">
        <f t="shared" si="16"/>
        <v>4.3930929225727056E-2</v>
      </c>
      <c r="Y266" s="2">
        <f t="shared" si="17"/>
        <v>29403</v>
      </c>
      <c r="Z266">
        <f t="shared" si="18"/>
        <v>7.4322015914042971E-2</v>
      </c>
      <c r="AA266">
        <f t="shared" si="19"/>
        <v>4.3930929225727056E-2</v>
      </c>
      <c r="AD266" s="2">
        <v>25569</v>
      </c>
      <c r="AE266">
        <v>5.9800423302787564E-2</v>
      </c>
    </row>
    <row r="267" spans="1:31" x14ac:dyDescent="0.25">
      <c r="A267" s="2">
        <v>40817</v>
      </c>
      <c r="B267">
        <v>17222.582999999999</v>
      </c>
      <c r="G267" s="2"/>
      <c r="I267" s="2">
        <v>41548</v>
      </c>
      <c r="J267">
        <v>18496.933961338102</v>
      </c>
      <c r="L267" s="2"/>
      <c r="P267" s="2">
        <v>29434</v>
      </c>
      <c r="Q267">
        <v>1561.5</v>
      </c>
      <c r="R267">
        <f t="shared" si="15"/>
        <v>7.6430922307952898E-2</v>
      </c>
      <c r="U267" s="2">
        <v>25051</v>
      </c>
      <c r="V267">
        <v>35</v>
      </c>
      <c r="W267">
        <f t="shared" si="16"/>
        <v>4.3802622658392742E-2</v>
      </c>
      <c r="Y267" s="2">
        <f t="shared" si="17"/>
        <v>29434</v>
      </c>
      <c r="Z267">
        <f t="shared" si="18"/>
        <v>7.6430922307952898E-2</v>
      </c>
      <c r="AA267">
        <f t="shared" si="19"/>
        <v>4.3802622658392742E-2</v>
      </c>
      <c r="AD267" s="2">
        <v>25600</v>
      </c>
      <c r="AE267">
        <v>6.2266388726000876E-2</v>
      </c>
    </row>
    <row r="268" spans="1:31" x14ac:dyDescent="0.25">
      <c r="A268" s="2">
        <v>40909</v>
      </c>
      <c r="B268">
        <v>17367.009999999998</v>
      </c>
      <c r="G268" s="2"/>
      <c r="I268" s="2">
        <v>41640</v>
      </c>
      <c r="J268">
        <v>18582.016790391099</v>
      </c>
      <c r="L268" s="2"/>
      <c r="P268" s="2">
        <v>29465</v>
      </c>
      <c r="Q268">
        <v>1574</v>
      </c>
      <c r="R268">
        <f t="shared" si="15"/>
        <v>7.9232997457908461E-2</v>
      </c>
      <c r="U268" s="2">
        <v>25082</v>
      </c>
      <c r="V268">
        <v>35.1</v>
      </c>
      <c r="W268">
        <f t="shared" si="16"/>
        <v>4.367506350266126E-2</v>
      </c>
      <c r="Y268" s="2">
        <f t="shared" si="17"/>
        <v>29465</v>
      </c>
      <c r="Z268">
        <f t="shared" si="18"/>
        <v>7.9232997457908461E-2</v>
      </c>
      <c r="AA268">
        <f t="shared" si="19"/>
        <v>4.367506350266126E-2</v>
      </c>
      <c r="AD268" s="2">
        <v>25628</v>
      </c>
      <c r="AE268">
        <v>5.9157030847765135E-2</v>
      </c>
    </row>
    <row r="269" spans="1:31" x14ac:dyDescent="0.25">
      <c r="A269" s="2">
        <v>41000</v>
      </c>
      <c r="B269">
        <v>17444.525000000001</v>
      </c>
      <c r="G269" s="2"/>
      <c r="I269" s="2">
        <v>41730</v>
      </c>
      <c r="J269">
        <v>18667.807863793299</v>
      </c>
      <c r="L269" s="2"/>
      <c r="P269" s="2">
        <v>29495</v>
      </c>
      <c r="Q269">
        <v>1584.8</v>
      </c>
      <c r="R269">
        <f t="shared" si="15"/>
        <v>8.1747845602859748E-2</v>
      </c>
      <c r="U269" s="2">
        <v>25112</v>
      </c>
      <c r="V269">
        <v>35.299999999999997</v>
      </c>
      <c r="W269">
        <f t="shared" si="16"/>
        <v>4.6385126580934966E-2</v>
      </c>
      <c r="Y269" s="2">
        <f t="shared" si="17"/>
        <v>29495</v>
      </c>
      <c r="Z269">
        <f t="shared" si="18"/>
        <v>8.1747845602859748E-2</v>
      </c>
      <c r="AA269">
        <f t="shared" si="19"/>
        <v>4.6385126580934966E-2</v>
      </c>
      <c r="AD269" s="2">
        <v>25659</v>
      </c>
      <c r="AE269">
        <v>5.8840500022933728E-2</v>
      </c>
    </row>
    <row r="270" spans="1:31" x14ac:dyDescent="0.25">
      <c r="A270" s="2">
        <v>41091</v>
      </c>
      <c r="B270">
        <v>17469.650000000001</v>
      </c>
      <c r="G270" s="2"/>
      <c r="I270" s="2">
        <v>41821</v>
      </c>
      <c r="J270">
        <v>18755.213029168299</v>
      </c>
      <c r="L270" s="2"/>
      <c r="P270" s="2">
        <v>29526</v>
      </c>
      <c r="Q270">
        <v>1595.8</v>
      </c>
      <c r="R270">
        <f t="shared" si="15"/>
        <v>8.4905789578194835E-2</v>
      </c>
      <c r="U270" s="2">
        <v>25143</v>
      </c>
      <c r="V270">
        <v>35.4</v>
      </c>
      <c r="W270">
        <f t="shared" si="16"/>
        <v>4.3296805753324286E-2</v>
      </c>
      <c r="Y270" s="2">
        <f t="shared" si="17"/>
        <v>29526</v>
      </c>
      <c r="Z270">
        <f t="shared" si="18"/>
        <v>8.4905789578194835E-2</v>
      </c>
      <c r="AA270">
        <f t="shared" si="19"/>
        <v>4.3296805753324286E-2</v>
      </c>
      <c r="AD270" s="2">
        <v>25689</v>
      </c>
      <c r="AE270">
        <v>5.8683501828090012E-2</v>
      </c>
    </row>
    <row r="271" spans="1:31" x14ac:dyDescent="0.25">
      <c r="A271" s="2">
        <v>41183</v>
      </c>
      <c r="B271">
        <v>17489.851999999999</v>
      </c>
      <c r="G271" s="2"/>
      <c r="I271" s="2">
        <v>41913</v>
      </c>
      <c r="J271">
        <v>18843.338140241998</v>
      </c>
      <c r="L271" s="2"/>
      <c r="P271" s="2">
        <v>29556</v>
      </c>
      <c r="Q271">
        <v>1599.8</v>
      </c>
      <c r="R271">
        <f t="shared" si="15"/>
        <v>8.2102376195504867E-2</v>
      </c>
      <c r="U271" s="2">
        <v>25173</v>
      </c>
      <c r="V271">
        <v>35.6</v>
      </c>
      <c r="W271">
        <f t="shared" si="16"/>
        <v>4.5985113241823417E-2</v>
      </c>
      <c r="Y271" s="2">
        <f t="shared" si="17"/>
        <v>29556</v>
      </c>
      <c r="Z271">
        <f t="shared" si="18"/>
        <v>8.2102376195504867E-2</v>
      </c>
      <c r="AA271">
        <f t="shared" si="19"/>
        <v>4.5985113241823417E-2</v>
      </c>
      <c r="AD271" s="2">
        <v>25720</v>
      </c>
      <c r="AE271">
        <v>5.8372006221907302E-2</v>
      </c>
    </row>
    <row r="272" spans="1:31" x14ac:dyDescent="0.25">
      <c r="A272" s="2">
        <v>41275</v>
      </c>
      <c r="B272">
        <v>17662.400000000001</v>
      </c>
      <c r="G272" s="2"/>
      <c r="I272" s="2">
        <v>42005</v>
      </c>
      <c r="J272">
        <v>18931.981089988301</v>
      </c>
      <c r="L272" s="2"/>
      <c r="P272" s="2">
        <v>29587</v>
      </c>
      <c r="Q272">
        <v>1606.9</v>
      </c>
      <c r="R272">
        <f t="shared" si="15"/>
        <v>8.0442107023727338E-2</v>
      </c>
      <c r="U272" s="2">
        <v>25204</v>
      </c>
      <c r="V272">
        <v>35.700000000000003</v>
      </c>
      <c r="W272">
        <f t="shared" si="16"/>
        <v>4.5853304496122238E-2</v>
      </c>
      <c r="Y272" s="2">
        <f t="shared" si="17"/>
        <v>29587</v>
      </c>
      <c r="Z272">
        <f t="shared" si="18"/>
        <v>8.0442107023727338E-2</v>
      </c>
      <c r="AA272">
        <f t="shared" si="19"/>
        <v>4.5853304496122238E-2</v>
      </c>
      <c r="AD272" s="2">
        <v>25750</v>
      </c>
      <c r="AE272">
        <v>5.5496405449515063E-2</v>
      </c>
    </row>
    <row r="273" spans="1:31" x14ac:dyDescent="0.25">
      <c r="A273" s="2">
        <v>41365</v>
      </c>
      <c r="B273">
        <v>17709.670999999998</v>
      </c>
      <c r="G273" s="2"/>
      <c r="I273" s="2">
        <v>42095</v>
      </c>
      <c r="J273">
        <v>19021.104428422401</v>
      </c>
      <c r="L273" s="2"/>
      <c r="P273" s="2">
        <v>29618</v>
      </c>
      <c r="Q273">
        <v>1618.7</v>
      </c>
      <c r="R273">
        <f t="shared" si="15"/>
        <v>7.976474544372536E-2</v>
      </c>
      <c r="U273" s="2">
        <v>25235</v>
      </c>
      <c r="V273">
        <v>35.799999999999997</v>
      </c>
      <c r="W273">
        <f t="shared" si="16"/>
        <v>4.5722249338094656E-2</v>
      </c>
      <c r="Y273" s="2">
        <f t="shared" si="17"/>
        <v>29618</v>
      </c>
      <c r="Z273">
        <f t="shared" si="18"/>
        <v>7.976474544372536E-2</v>
      </c>
      <c r="AA273">
        <f t="shared" si="19"/>
        <v>4.5722249338094656E-2</v>
      </c>
      <c r="AD273" s="2">
        <v>25781</v>
      </c>
      <c r="AE273">
        <v>5.5350095083164685E-2</v>
      </c>
    </row>
    <row r="274" spans="1:31" x14ac:dyDescent="0.25">
      <c r="A274" s="2">
        <v>41456</v>
      </c>
      <c r="B274">
        <v>17860.45</v>
      </c>
      <c r="G274" s="2"/>
      <c r="I274" s="2">
        <v>42186</v>
      </c>
      <c r="J274">
        <v>19110.070942976199</v>
      </c>
      <c r="L274" s="2"/>
      <c r="P274" s="2">
        <v>29646</v>
      </c>
      <c r="Q274">
        <v>1636.6</v>
      </c>
      <c r="R274">
        <f t="shared" si="15"/>
        <v>8.7289153225992067E-2</v>
      </c>
      <c r="U274" s="2">
        <v>25263</v>
      </c>
      <c r="V274">
        <v>36.1</v>
      </c>
      <c r="W274">
        <f t="shared" si="16"/>
        <v>5.1147511166941051E-2</v>
      </c>
      <c r="Y274" s="2">
        <f t="shared" si="17"/>
        <v>29646</v>
      </c>
      <c r="Z274">
        <f t="shared" si="18"/>
        <v>8.7289153225992067E-2</v>
      </c>
      <c r="AA274">
        <f t="shared" si="19"/>
        <v>5.1147511166941051E-2</v>
      </c>
      <c r="AD274" s="2">
        <v>25812</v>
      </c>
      <c r="AE274">
        <v>5.5059777183027236E-2</v>
      </c>
    </row>
    <row r="275" spans="1:31" x14ac:dyDescent="0.25">
      <c r="A275" s="2">
        <v>41548</v>
      </c>
      <c r="B275">
        <v>18016.147000000001</v>
      </c>
      <c r="G275" s="2"/>
      <c r="I275" s="2">
        <v>42278</v>
      </c>
      <c r="J275">
        <v>19198.658547372001</v>
      </c>
      <c r="L275" s="2"/>
      <c r="P275" s="2">
        <v>29677</v>
      </c>
      <c r="Q275">
        <v>1659.2</v>
      </c>
      <c r="R275">
        <f t="shared" si="15"/>
        <v>9.9404858223351766E-2</v>
      </c>
      <c r="U275" s="2">
        <v>25294</v>
      </c>
      <c r="V275">
        <v>36.299999999999997</v>
      </c>
      <c r="W275">
        <f t="shared" si="16"/>
        <v>5.3761176891452322E-2</v>
      </c>
      <c r="Y275" s="2">
        <f t="shared" si="17"/>
        <v>29677</v>
      </c>
      <c r="Z275">
        <f t="shared" si="18"/>
        <v>9.9404858223351766E-2</v>
      </c>
      <c r="AA275">
        <f t="shared" si="19"/>
        <v>5.3761176891452322E-2</v>
      </c>
      <c r="AD275" s="2">
        <v>25842</v>
      </c>
      <c r="AE275">
        <v>5.4772489654118406E-2</v>
      </c>
    </row>
    <row r="276" spans="1:31" x14ac:dyDescent="0.25">
      <c r="A276" s="2">
        <v>41640</v>
      </c>
      <c r="B276">
        <v>17953.973999999998</v>
      </c>
      <c r="G276" s="2"/>
      <c r="I276" s="2">
        <v>42370</v>
      </c>
      <c r="J276">
        <v>19286.925281445499</v>
      </c>
      <c r="L276" s="2"/>
      <c r="P276" s="2">
        <v>29707</v>
      </c>
      <c r="Q276">
        <v>1664.2</v>
      </c>
      <c r="R276">
        <f t="shared" ref="R276:R339" si="20">LN(Q276)-LN(Q264)</f>
        <v>9.5712856709634586E-2</v>
      </c>
      <c r="U276" s="2">
        <v>25324</v>
      </c>
      <c r="V276">
        <v>36.4</v>
      </c>
      <c r="W276">
        <f t="shared" ref="W276:W339" si="21">LN(V276)-LN(V264)</f>
        <v>5.3609450605380804E-2</v>
      </c>
      <c r="Y276" s="2">
        <f t="shared" si="17"/>
        <v>29707</v>
      </c>
      <c r="Z276">
        <f t="shared" si="18"/>
        <v>9.5712856709634586E-2</v>
      </c>
      <c r="AA276">
        <f t="shared" si="19"/>
        <v>5.3609450605380804E-2</v>
      </c>
      <c r="AD276" s="2">
        <v>25873</v>
      </c>
      <c r="AE276">
        <v>5.4488185284069512E-2</v>
      </c>
    </row>
    <row r="277" spans="1:31" x14ac:dyDescent="0.25">
      <c r="A277" s="2">
        <v>41730</v>
      </c>
      <c r="B277">
        <v>18185.911</v>
      </c>
      <c r="G277" s="2"/>
      <c r="I277" s="2">
        <v>42461</v>
      </c>
      <c r="J277">
        <v>19375.150667696998</v>
      </c>
      <c r="L277" s="2"/>
      <c r="P277" s="2">
        <v>29738</v>
      </c>
      <c r="Q277">
        <v>1670.3</v>
      </c>
      <c r="R277">
        <f t="shared" si="20"/>
        <v>8.8258528173644102E-2</v>
      </c>
      <c r="U277" s="2">
        <v>25355</v>
      </c>
      <c r="V277">
        <v>36.6</v>
      </c>
      <c r="W277">
        <f t="shared" si="21"/>
        <v>5.3308553454507024E-2</v>
      </c>
      <c r="Y277" s="2">
        <f t="shared" ref="Y277:Y340" si="22">P277</f>
        <v>29738</v>
      </c>
      <c r="Z277">
        <f t="shared" ref="Z277:Z340" si="23">R277</f>
        <v>8.8258528173644102E-2</v>
      </c>
      <c r="AA277">
        <f t="shared" ref="AA277:AA340" si="24">W277</f>
        <v>5.3308553454507024E-2</v>
      </c>
      <c r="AD277" s="2">
        <v>25903</v>
      </c>
      <c r="AE277">
        <v>5.4206817836426779E-2</v>
      </c>
    </row>
    <row r="278" spans="1:31" x14ac:dyDescent="0.25">
      <c r="A278" s="2">
        <v>41821</v>
      </c>
      <c r="B278">
        <v>18406.940999999999</v>
      </c>
      <c r="G278" s="2"/>
      <c r="I278" s="2">
        <v>42552</v>
      </c>
      <c r="J278">
        <v>19463.204573454401</v>
      </c>
      <c r="L278" s="2"/>
      <c r="P278" s="2">
        <v>29768</v>
      </c>
      <c r="Q278">
        <v>1681.9</v>
      </c>
      <c r="R278">
        <f t="shared" si="20"/>
        <v>8.4576624161216252E-2</v>
      </c>
      <c r="U278" s="2">
        <v>25385</v>
      </c>
      <c r="V278">
        <v>36.799999999999997</v>
      </c>
      <c r="W278">
        <f t="shared" si="21"/>
        <v>5.3011015966503816E-2</v>
      </c>
      <c r="Y278" s="2">
        <f t="shared" si="22"/>
        <v>29768</v>
      </c>
      <c r="Z278">
        <f t="shared" si="23"/>
        <v>8.4576624161216252E-2</v>
      </c>
      <c r="AA278">
        <f t="shared" si="24"/>
        <v>5.3011015966503816E-2</v>
      </c>
      <c r="AD278" s="2">
        <v>25934</v>
      </c>
      <c r="AE278">
        <v>5.1425211807436977E-2</v>
      </c>
    </row>
    <row r="279" spans="1:31" x14ac:dyDescent="0.25">
      <c r="A279" s="2">
        <v>41913</v>
      </c>
      <c r="B279">
        <v>18500.030999999999</v>
      </c>
      <c r="G279" s="2"/>
      <c r="I279" s="2">
        <v>42644</v>
      </c>
      <c r="J279">
        <v>19551.3106171939</v>
      </c>
      <c r="L279" s="2"/>
      <c r="P279" s="2">
        <v>29799</v>
      </c>
      <c r="Q279">
        <v>1694.3</v>
      </c>
      <c r="R279">
        <f t="shared" si="20"/>
        <v>8.1622778440927135E-2</v>
      </c>
      <c r="U279" s="2">
        <v>25416</v>
      </c>
      <c r="V279">
        <v>36.9</v>
      </c>
      <c r="W279">
        <f t="shared" si="21"/>
        <v>5.28634895570681E-2</v>
      </c>
      <c r="Y279" s="2">
        <f t="shared" si="22"/>
        <v>29799</v>
      </c>
      <c r="Z279">
        <f t="shared" si="23"/>
        <v>8.1622778440927135E-2</v>
      </c>
      <c r="AA279">
        <f t="shared" si="24"/>
        <v>5.28634895570681E-2</v>
      </c>
      <c r="AD279" s="2">
        <v>25965</v>
      </c>
      <c r="AE279">
        <v>4.616204176316252E-2</v>
      </c>
    </row>
    <row r="280" spans="1:31" x14ac:dyDescent="0.25">
      <c r="A280" s="2">
        <v>42005</v>
      </c>
      <c r="B280">
        <v>18666.620999999999</v>
      </c>
      <c r="G280" s="2"/>
      <c r="I280" s="2">
        <v>42736</v>
      </c>
      <c r="J280">
        <v>19640.089472818599</v>
      </c>
      <c r="L280" s="2"/>
      <c r="P280" s="2">
        <v>29830</v>
      </c>
      <c r="Q280">
        <v>1706</v>
      </c>
      <c r="R280">
        <f t="shared" si="20"/>
        <v>8.0531299074276141E-2</v>
      </c>
      <c r="U280" s="2">
        <v>25447</v>
      </c>
      <c r="V280">
        <v>37.1</v>
      </c>
      <c r="W280">
        <f t="shared" si="21"/>
        <v>5.5415839141569556E-2</v>
      </c>
      <c r="Y280" s="2">
        <f t="shared" si="22"/>
        <v>29830</v>
      </c>
      <c r="Z280">
        <f t="shared" si="23"/>
        <v>8.0531299074276141E-2</v>
      </c>
      <c r="AA280">
        <f t="shared" si="24"/>
        <v>5.5415839141569556E-2</v>
      </c>
      <c r="AD280" s="2">
        <v>25993</v>
      </c>
      <c r="AE280">
        <v>4.3429557927336049E-2</v>
      </c>
    </row>
    <row r="281" spans="1:31" x14ac:dyDescent="0.25">
      <c r="A281" s="2">
        <v>42095</v>
      </c>
      <c r="B281">
        <v>18782.242999999999</v>
      </c>
      <c r="G281" s="2"/>
      <c r="I281" s="2">
        <v>42826</v>
      </c>
      <c r="J281">
        <v>19730.2979232777</v>
      </c>
      <c r="L281" s="2"/>
      <c r="P281" s="2">
        <v>29860</v>
      </c>
      <c r="Q281">
        <v>1721.8</v>
      </c>
      <c r="R281">
        <f t="shared" si="20"/>
        <v>8.291203883951237E-2</v>
      </c>
      <c r="U281" s="2">
        <v>25477</v>
      </c>
      <c r="V281">
        <v>37.299999999999997</v>
      </c>
      <c r="W281">
        <f t="shared" si="21"/>
        <v>5.5110362710518501E-2</v>
      </c>
      <c r="Y281" s="2">
        <f t="shared" si="22"/>
        <v>29860</v>
      </c>
      <c r="Z281">
        <f t="shared" si="23"/>
        <v>8.291203883951237E-2</v>
      </c>
      <c r="AA281">
        <f t="shared" si="24"/>
        <v>5.5110362710518501E-2</v>
      </c>
      <c r="AD281" s="2">
        <v>26024</v>
      </c>
      <c r="AE281">
        <v>4.0718093018784707E-2</v>
      </c>
    </row>
    <row r="282" spans="1:31" x14ac:dyDescent="0.25">
      <c r="A282" s="2">
        <v>42186</v>
      </c>
      <c r="B282">
        <v>18857.418000000001</v>
      </c>
      <c r="G282" s="2"/>
      <c r="I282" s="2">
        <v>42917</v>
      </c>
      <c r="J282">
        <v>19823.602552180699</v>
      </c>
      <c r="L282" s="2"/>
      <c r="P282" s="2">
        <v>29891</v>
      </c>
      <c r="Q282">
        <v>1736.1</v>
      </c>
      <c r="R282">
        <f t="shared" si="20"/>
        <v>8.4266040373721651E-2</v>
      </c>
      <c r="U282" s="2">
        <v>25508</v>
      </c>
      <c r="V282">
        <v>37.5</v>
      </c>
      <c r="W282">
        <f t="shared" si="21"/>
        <v>5.7629112836636409E-2</v>
      </c>
      <c r="Y282" s="2">
        <f t="shared" si="22"/>
        <v>29891</v>
      </c>
      <c r="Z282">
        <f t="shared" si="23"/>
        <v>8.4266040373721651E-2</v>
      </c>
      <c r="AA282">
        <f t="shared" si="24"/>
        <v>5.7629112836636409E-2</v>
      </c>
      <c r="AD282" s="2">
        <v>26054</v>
      </c>
      <c r="AE282">
        <v>4.3099192481852011E-2</v>
      </c>
    </row>
    <row r="283" spans="1:31" x14ac:dyDescent="0.25">
      <c r="A283" s="2">
        <v>42278</v>
      </c>
      <c r="B283">
        <v>18892.205999999998</v>
      </c>
      <c r="G283" s="2"/>
      <c r="I283" s="2">
        <v>43009</v>
      </c>
      <c r="J283">
        <v>19919.841852530899</v>
      </c>
      <c r="L283" s="2"/>
      <c r="P283" s="2">
        <v>29921</v>
      </c>
      <c r="Q283">
        <v>1755.5</v>
      </c>
      <c r="R283">
        <f t="shared" si="20"/>
        <v>9.2875095193765134E-2</v>
      </c>
      <c r="U283" s="2">
        <v>25538</v>
      </c>
      <c r="V283">
        <v>37.700000000000003</v>
      </c>
      <c r="W283">
        <f t="shared" si="21"/>
        <v>5.7314456595980001E-2</v>
      </c>
      <c r="Y283" s="2">
        <f t="shared" si="22"/>
        <v>29921</v>
      </c>
      <c r="Z283">
        <f t="shared" si="23"/>
        <v>9.2875095193765134E-2</v>
      </c>
      <c r="AA283">
        <f t="shared" si="24"/>
        <v>5.7314456595980001E-2</v>
      </c>
      <c r="AD283" s="2">
        <v>26085</v>
      </c>
      <c r="AE283">
        <v>4.2881727483265575E-2</v>
      </c>
    </row>
    <row r="284" spans="1:31" x14ac:dyDescent="0.25">
      <c r="A284" s="2">
        <v>42370</v>
      </c>
      <c r="B284">
        <v>19001.689999999999</v>
      </c>
      <c r="G284" s="2"/>
      <c r="I284" s="2">
        <v>43101</v>
      </c>
      <c r="J284">
        <v>20019.1701081553</v>
      </c>
      <c r="L284" s="2"/>
      <c r="P284" s="2">
        <v>29952</v>
      </c>
      <c r="Q284">
        <v>1770.4</v>
      </c>
      <c r="R284">
        <f t="shared" si="20"/>
        <v>9.6898652689132447E-2</v>
      </c>
      <c r="U284" s="2">
        <v>25569</v>
      </c>
      <c r="V284">
        <v>37.9</v>
      </c>
      <c r="W284">
        <f t="shared" si="21"/>
        <v>5.9800423302787564E-2</v>
      </c>
      <c r="Y284" s="2">
        <f t="shared" si="22"/>
        <v>29952</v>
      </c>
      <c r="Z284">
        <f t="shared" si="23"/>
        <v>9.6898652689132447E-2</v>
      </c>
      <c r="AA284">
        <f t="shared" si="24"/>
        <v>5.9800423302787564E-2</v>
      </c>
      <c r="AD284" s="2">
        <v>26115</v>
      </c>
      <c r="AE284">
        <v>4.2773815983286667E-2</v>
      </c>
    </row>
    <row r="285" spans="1:31" x14ac:dyDescent="0.25">
      <c r="A285" s="2">
        <v>42461</v>
      </c>
      <c r="B285">
        <v>19062.708999999999</v>
      </c>
      <c r="G285" s="2"/>
      <c r="I285" s="2">
        <v>43191</v>
      </c>
      <c r="J285">
        <v>20121.719174325401</v>
      </c>
      <c r="L285" s="2"/>
      <c r="P285" s="2">
        <v>29983</v>
      </c>
      <c r="Q285">
        <v>1774.5</v>
      </c>
      <c r="R285">
        <f t="shared" si="20"/>
        <v>9.1895335146636725E-2</v>
      </c>
      <c r="U285" s="2">
        <v>25600</v>
      </c>
      <c r="V285">
        <v>38.1</v>
      </c>
      <c r="W285">
        <f t="shared" si="21"/>
        <v>6.2266388726000876E-2</v>
      </c>
      <c r="Y285" s="2">
        <f t="shared" si="22"/>
        <v>29983</v>
      </c>
      <c r="Z285">
        <f t="shared" si="23"/>
        <v>9.1895335146636725E-2</v>
      </c>
      <c r="AA285">
        <f t="shared" si="24"/>
        <v>6.2266388726000876E-2</v>
      </c>
      <c r="AD285" s="2">
        <v>26146</v>
      </c>
      <c r="AE285">
        <v>4.2666446318903262E-2</v>
      </c>
    </row>
    <row r="286" spans="1:31" x14ac:dyDescent="0.25">
      <c r="A286" s="2">
        <v>42552</v>
      </c>
      <c r="B286">
        <v>19197.937999999998</v>
      </c>
      <c r="G286" s="2"/>
      <c r="I286" s="2">
        <v>43282</v>
      </c>
      <c r="J286">
        <v>20226.065825727899</v>
      </c>
      <c r="L286" s="2"/>
      <c r="P286" s="2">
        <v>30011</v>
      </c>
      <c r="Q286">
        <v>1786.5</v>
      </c>
      <c r="R286">
        <f t="shared" si="20"/>
        <v>8.7637479370183513E-2</v>
      </c>
      <c r="U286" s="2">
        <v>25628</v>
      </c>
      <c r="V286">
        <v>38.299999999999997</v>
      </c>
      <c r="W286">
        <f t="shared" si="21"/>
        <v>5.9157030847765135E-2</v>
      </c>
      <c r="Y286" s="2">
        <f t="shared" si="22"/>
        <v>30011</v>
      </c>
      <c r="Z286">
        <f t="shared" si="23"/>
        <v>8.7637479370183513E-2</v>
      </c>
      <c r="AA286">
        <f t="shared" si="24"/>
        <v>5.9157030847765135E-2</v>
      </c>
      <c r="AD286" s="2">
        <v>26177</v>
      </c>
      <c r="AE286">
        <v>4.0005334613699262E-2</v>
      </c>
    </row>
    <row r="287" spans="1:31" x14ac:dyDescent="0.25">
      <c r="A287" s="2">
        <v>42644</v>
      </c>
      <c r="B287">
        <v>19304.351999999999</v>
      </c>
      <c r="G287" s="2"/>
      <c r="I287" s="2">
        <v>43374</v>
      </c>
      <c r="J287">
        <v>20331.495409343999</v>
      </c>
      <c r="L287" s="2"/>
      <c r="P287" s="2">
        <v>30042</v>
      </c>
      <c r="Q287">
        <v>1803.9</v>
      </c>
      <c r="R287">
        <f t="shared" si="20"/>
        <v>8.3615429238369288E-2</v>
      </c>
      <c r="U287" s="2">
        <v>25659</v>
      </c>
      <c r="V287">
        <v>38.5</v>
      </c>
      <c r="W287">
        <f t="shared" si="21"/>
        <v>5.8840500022933728E-2</v>
      </c>
      <c r="Y287" s="2">
        <f t="shared" si="22"/>
        <v>30042</v>
      </c>
      <c r="Z287">
        <f t="shared" si="23"/>
        <v>8.3615429238369288E-2</v>
      </c>
      <c r="AA287">
        <f t="shared" si="24"/>
        <v>5.8840500022933728E-2</v>
      </c>
      <c r="AD287" s="2">
        <v>26207</v>
      </c>
      <c r="AE287">
        <v>3.7364246744867824E-2</v>
      </c>
    </row>
    <row r="288" spans="1:31" x14ac:dyDescent="0.25">
      <c r="A288" s="2">
        <v>42736</v>
      </c>
      <c r="B288">
        <v>19398.343000000001</v>
      </c>
      <c r="G288" s="2"/>
      <c r="I288" s="2">
        <v>43466</v>
      </c>
      <c r="J288">
        <v>20437.922153625801</v>
      </c>
      <c r="L288" s="2"/>
      <c r="P288" s="2">
        <v>30072</v>
      </c>
      <c r="Q288">
        <v>1815.4</v>
      </c>
      <c r="R288">
        <f t="shared" si="20"/>
        <v>8.6961301626197418E-2</v>
      </c>
      <c r="U288" s="2">
        <v>25689</v>
      </c>
      <c r="V288">
        <v>38.6</v>
      </c>
      <c r="W288">
        <f t="shared" si="21"/>
        <v>5.8683501828090012E-2</v>
      </c>
      <c r="Y288" s="2">
        <f t="shared" si="22"/>
        <v>30072</v>
      </c>
      <c r="Z288">
        <f t="shared" si="23"/>
        <v>8.6961301626197418E-2</v>
      </c>
      <c r="AA288">
        <f t="shared" si="24"/>
        <v>5.8683501828090012E-2</v>
      </c>
      <c r="AD288" s="2">
        <v>26238</v>
      </c>
      <c r="AE288">
        <v>3.4742948443873267E-2</v>
      </c>
    </row>
    <row r="289" spans="1:31" x14ac:dyDescent="0.25">
      <c r="A289" s="2">
        <v>42826</v>
      </c>
      <c r="B289">
        <v>19506.949000000001</v>
      </c>
      <c r="G289" s="2"/>
      <c r="I289" s="2">
        <v>43556</v>
      </c>
      <c r="J289">
        <v>20545.449540277201</v>
      </c>
      <c r="L289" s="2"/>
      <c r="P289" s="2">
        <v>30103</v>
      </c>
      <c r="Q289">
        <v>1826</v>
      </c>
      <c r="R289">
        <f t="shared" si="20"/>
        <v>8.9124531159011866E-2</v>
      </c>
      <c r="U289" s="2">
        <v>25720</v>
      </c>
      <c r="V289">
        <v>38.799999999999997</v>
      </c>
      <c r="W289">
        <f t="shared" si="21"/>
        <v>5.8372006221907302E-2</v>
      </c>
      <c r="Y289" s="2">
        <f t="shared" si="22"/>
        <v>30103</v>
      </c>
      <c r="Z289">
        <f t="shared" si="23"/>
        <v>8.9124531159011866E-2</v>
      </c>
      <c r="AA289">
        <f t="shared" si="24"/>
        <v>5.8372006221907302E-2</v>
      </c>
      <c r="AD289" s="2">
        <v>26268</v>
      </c>
      <c r="AE289">
        <v>3.2141209211797417E-2</v>
      </c>
    </row>
    <row r="290" spans="1:31" x14ac:dyDescent="0.25">
      <c r="A290" s="2">
        <v>42917</v>
      </c>
      <c r="B290">
        <v>19660.766</v>
      </c>
      <c r="G290" s="2"/>
      <c r="I290" s="2">
        <v>43647</v>
      </c>
      <c r="J290">
        <v>20653.077458118802</v>
      </c>
      <c r="L290" s="2"/>
      <c r="P290" s="2">
        <v>30133</v>
      </c>
      <c r="Q290">
        <v>1831.5</v>
      </c>
      <c r="R290">
        <f t="shared" si="20"/>
        <v>8.5211196485482255E-2</v>
      </c>
      <c r="U290" s="2">
        <v>25750</v>
      </c>
      <c r="V290">
        <v>38.9</v>
      </c>
      <c r="W290">
        <f t="shared" si="21"/>
        <v>5.5496405449515063E-2</v>
      </c>
      <c r="Y290" s="2">
        <f t="shared" si="22"/>
        <v>30133</v>
      </c>
      <c r="Z290">
        <f t="shared" si="23"/>
        <v>8.5211196485482255E-2</v>
      </c>
      <c r="AA290">
        <f t="shared" si="24"/>
        <v>5.5496405449515063E-2</v>
      </c>
      <c r="AD290" s="2">
        <v>26299</v>
      </c>
      <c r="AE290">
        <v>3.2061932459662934E-2</v>
      </c>
    </row>
    <row r="291" spans="1:31" x14ac:dyDescent="0.25">
      <c r="A291" s="2">
        <v>43009</v>
      </c>
      <c r="B291">
        <v>19882.351999999999</v>
      </c>
      <c r="G291" s="2"/>
      <c r="I291" s="2">
        <v>43739</v>
      </c>
      <c r="J291">
        <v>20758.053508750301</v>
      </c>
      <c r="L291" s="2"/>
      <c r="P291" s="2">
        <v>30164</v>
      </c>
      <c r="Q291">
        <v>1845.2</v>
      </c>
      <c r="R291">
        <f t="shared" si="20"/>
        <v>8.5317996519605366E-2</v>
      </c>
      <c r="U291" s="2">
        <v>25781</v>
      </c>
      <c r="V291">
        <v>39</v>
      </c>
      <c r="W291">
        <f t="shared" si="21"/>
        <v>5.5350095083164685E-2</v>
      </c>
      <c r="Y291" s="2">
        <f t="shared" si="22"/>
        <v>30164</v>
      </c>
      <c r="Z291">
        <f t="shared" si="23"/>
        <v>8.5317996519605366E-2</v>
      </c>
      <c r="AA291">
        <f t="shared" si="24"/>
        <v>5.5350095083164685E-2</v>
      </c>
      <c r="AD291" s="2">
        <v>26330</v>
      </c>
      <c r="AE291">
        <v>3.6904556935450916E-2</v>
      </c>
    </row>
    <row r="292" spans="1:31" x14ac:dyDescent="0.25">
      <c r="A292" s="2">
        <v>43101</v>
      </c>
      <c r="B292">
        <v>20044.077000000001</v>
      </c>
      <c r="G292" s="2"/>
      <c r="I292" s="2">
        <v>43831</v>
      </c>
      <c r="J292">
        <v>20861.839254959599</v>
      </c>
      <c r="L292" s="2"/>
      <c r="P292" s="2">
        <v>30195</v>
      </c>
      <c r="Q292">
        <v>1858.4</v>
      </c>
      <c r="R292">
        <f t="shared" si="20"/>
        <v>8.5564453404574969E-2</v>
      </c>
      <c r="U292" s="2">
        <v>25812</v>
      </c>
      <c r="V292">
        <v>39.200000000000003</v>
      </c>
      <c r="W292">
        <f t="shared" si="21"/>
        <v>5.5059777183027236E-2</v>
      </c>
      <c r="Y292" s="2">
        <f t="shared" si="22"/>
        <v>30195</v>
      </c>
      <c r="Z292">
        <f t="shared" si="23"/>
        <v>8.5564453404574969E-2</v>
      </c>
      <c r="AA292">
        <f t="shared" si="24"/>
        <v>5.5059777183027236E-2</v>
      </c>
      <c r="AD292" s="2">
        <v>26359</v>
      </c>
      <c r="AE292">
        <v>3.4401426717332484E-2</v>
      </c>
    </row>
    <row r="293" spans="1:31" x14ac:dyDescent="0.25">
      <c r="A293" s="2">
        <v>43191</v>
      </c>
      <c r="B293">
        <v>20150.475999999999</v>
      </c>
      <c r="G293" s="2"/>
      <c r="I293" s="2">
        <v>43922</v>
      </c>
      <c r="J293">
        <v>20965.140222867201</v>
      </c>
      <c r="L293" s="2"/>
      <c r="P293" s="2">
        <v>30225</v>
      </c>
      <c r="Q293">
        <v>1869.7</v>
      </c>
      <c r="R293">
        <f t="shared" si="20"/>
        <v>8.2407734947374855E-2</v>
      </c>
      <c r="U293" s="2">
        <v>25842</v>
      </c>
      <c r="V293">
        <v>39.4</v>
      </c>
      <c r="W293">
        <f t="shared" si="21"/>
        <v>5.4772489654118406E-2</v>
      </c>
      <c r="Y293" s="2">
        <f t="shared" si="22"/>
        <v>30225</v>
      </c>
      <c r="Z293">
        <f t="shared" si="23"/>
        <v>8.2407734947374855E-2</v>
      </c>
      <c r="AA293">
        <f t="shared" si="24"/>
        <v>5.4772489654118406E-2</v>
      </c>
      <c r="AD293" s="2">
        <v>26390</v>
      </c>
      <c r="AE293">
        <v>3.4317092924128989E-2</v>
      </c>
    </row>
    <row r="294" spans="1:31" x14ac:dyDescent="0.25">
      <c r="A294" s="2">
        <v>43282</v>
      </c>
      <c r="B294">
        <v>20276.153999999999</v>
      </c>
      <c r="G294" s="2"/>
      <c r="I294" s="2">
        <v>44013</v>
      </c>
      <c r="J294">
        <v>21065.729188009202</v>
      </c>
      <c r="L294" s="2"/>
      <c r="P294" s="2">
        <v>30256</v>
      </c>
      <c r="Q294">
        <v>1883.7</v>
      </c>
      <c r="R294">
        <f t="shared" si="20"/>
        <v>8.1596709540271206E-2</v>
      </c>
      <c r="U294" s="2">
        <v>25873</v>
      </c>
      <c r="V294">
        <v>39.6</v>
      </c>
      <c r="W294">
        <f t="shared" si="21"/>
        <v>5.4488185284069512E-2</v>
      </c>
      <c r="Y294" s="2">
        <f t="shared" si="22"/>
        <v>30256</v>
      </c>
      <c r="Z294">
        <f t="shared" si="23"/>
        <v>8.1596709540271206E-2</v>
      </c>
      <c r="AA294">
        <f t="shared" si="24"/>
        <v>5.4488185284069512E-2</v>
      </c>
      <c r="AD294" s="2">
        <v>26420</v>
      </c>
      <c r="AE294">
        <v>3.1748698314580714E-2</v>
      </c>
    </row>
    <row r="295" spans="1:31" x14ac:dyDescent="0.25">
      <c r="A295" s="2">
        <v>43374</v>
      </c>
      <c r="B295">
        <v>20304.874</v>
      </c>
      <c r="G295" s="2"/>
      <c r="I295" s="2">
        <v>44105</v>
      </c>
      <c r="J295">
        <v>21167.0899968005</v>
      </c>
      <c r="L295" s="2"/>
      <c r="P295" s="2">
        <v>30286</v>
      </c>
      <c r="Q295">
        <v>1905.9</v>
      </c>
      <c r="R295">
        <f t="shared" si="20"/>
        <v>8.2200621332110479E-2</v>
      </c>
      <c r="U295" s="2">
        <v>25903</v>
      </c>
      <c r="V295">
        <v>39.799999999999997</v>
      </c>
      <c r="W295">
        <f t="shared" si="21"/>
        <v>5.4206817836426779E-2</v>
      </c>
      <c r="Y295" s="2">
        <f t="shared" si="22"/>
        <v>30286</v>
      </c>
      <c r="Z295">
        <f t="shared" si="23"/>
        <v>8.2200621332110479E-2</v>
      </c>
      <c r="AA295">
        <f t="shared" si="24"/>
        <v>5.4206817836426779E-2</v>
      </c>
      <c r="AD295" s="2">
        <v>26451</v>
      </c>
      <c r="AE295">
        <v>2.9199154692262752E-2</v>
      </c>
    </row>
    <row r="296" spans="1:31" x14ac:dyDescent="0.25">
      <c r="A296" s="2">
        <v>43466</v>
      </c>
      <c r="B296">
        <v>20415.150000000001</v>
      </c>
      <c r="G296" s="2"/>
      <c r="I296" s="2">
        <v>44197</v>
      </c>
      <c r="J296">
        <v>21261.600036399399</v>
      </c>
      <c r="L296" s="2"/>
      <c r="P296" s="2">
        <v>30317</v>
      </c>
      <c r="Q296">
        <v>1959.4</v>
      </c>
      <c r="R296">
        <f t="shared" si="20"/>
        <v>0.10143279417370188</v>
      </c>
      <c r="U296" s="2">
        <v>25934</v>
      </c>
      <c r="V296">
        <v>39.9</v>
      </c>
      <c r="W296">
        <f t="shared" si="21"/>
        <v>5.1425211807436977E-2</v>
      </c>
      <c r="Y296" s="2">
        <f t="shared" si="22"/>
        <v>30317</v>
      </c>
      <c r="Z296">
        <f t="shared" si="23"/>
        <v>0.10143279417370188</v>
      </c>
      <c r="AA296">
        <f t="shared" si="24"/>
        <v>5.1425211807436977E-2</v>
      </c>
      <c r="AD296" s="2">
        <v>26481</v>
      </c>
      <c r="AE296">
        <v>2.9128272923023335E-2</v>
      </c>
    </row>
    <row r="297" spans="1:31" x14ac:dyDescent="0.25">
      <c r="A297" s="2">
        <v>43556</v>
      </c>
      <c r="B297">
        <v>20584.527999999998</v>
      </c>
      <c r="G297" s="2"/>
      <c r="I297" s="2">
        <v>44287</v>
      </c>
      <c r="J297">
        <v>21355.9773828992</v>
      </c>
      <c r="L297" s="2"/>
      <c r="P297" s="2">
        <v>30348</v>
      </c>
      <c r="Q297">
        <v>1996.8</v>
      </c>
      <c r="R297">
        <f t="shared" si="20"/>
        <v>0.11802720608855655</v>
      </c>
      <c r="U297" s="2">
        <v>25965</v>
      </c>
      <c r="V297">
        <v>39.9</v>
      </c>
      <c r="W297">
        <f t="shared" si="21"/>
        <v>4.616204176316252E-2</v>
      </c>
      <c r="Y297" s="2">
        <f t="shared" si="22"/>
        <v>30348</v>
      </c>
      <c r="Z297">
        <f t="shared" si="23"/>
        <v>0.11802720608855655</v>
      </c>
      <c r="AA297">
        <f t="shared" si="24"/>
        <v>4.616204176316252E-2</v>
      </c>
      <c r="AD297" s="2">
        <v>26512</v>
      </c>
      <c r="AE297">
        <v>2.9057734479542408E-2</v>
      </c>
    </row>
    <row r="298" spans="1:31" x14ac:dyDescent="0.25">
      <c r="A298" s="2">
        <v>43647</v>
      </c>
      <c r="B298">
        <v>20817.580999999998</v>
      </c>
      <c r="G298" s="2"/>
      <c r="I298" s="2">
        <v>44378</v>
      </c>
      <c r="J298">
        <v>21454.647379006601</v>
      </c>
      <c r="L298" s="2"/>
      <c r="P298" s="2">
        <v>30376</v>
      </c>
      <c r="Q298">
        <v>2015.2</v>
      </c>
      <c r="R298">
        <f t="shared" si="20"/>
        <v>0.12046004757493556</v>
      </c>
      <c r="U298" s="2">
        <v>25993</v>
      </c>
      <c r="V298">
        <v>40</v>
      </c>
      <c r="W298">
        <f t="shared" si="21"/>
        <v>4.3429557927336049E-2</v>
      </c>
      <c r="Y298" s="2">
        <f t="shared" si="22"/>
        <v>30376</v>
      </c>
      <c r="Z298">
        <f t="shared" si="23"/>
        <v>0.12046004757493556</v>
      </c>
      <c r="AA298">
        <f t="shared" si="24"/>
        <v>4.3429557927336049E-2</v>
      </c>
      <c r="AD298" s="2">
        <v>26543</v>
      </c>
      <c r="AE298">
        <v>3.136565927821966E-2</v>
      </c>
    </row>
    <row r="299" spans="1:31" x14ac:dyDescent="0.25">
      <c r="A299" s="2">
        <v>43739</v>
      </c>
      <c r="B299">
        <v>20951.088</v>
      </c>
      <c r="G299" s="2"/>
      <c r="I299" s="2">
        <v>44470</v>
      </c>
      <c r="J299">
        <v>21558.2402464884</v>
      </c>
      <c r="L299" s="2"/>
      <c r="P299" s="2">
        <v>30407</v>
      </c>
      <c r="Q299">
        <v>2028.6</v>
      </c>
      <c r="R299">
        <f t="shared" si="20"/>
        <v>0.1173949122282627</v>
      </c>
      <c r="U299" s="2">
        <v>26024</v>
      </c>
      <c r="V299">
        <v>40.1</v>
      </c>
      <c r="W299">
        <f t="shared" si="21"/>
        <v>4.0718093018784707E-2</v>
      </c>
      <c r="Y299" s="2">
        <f t="shared" si="22"/>
        <v>30407</v>
      </c>
      <c r="Z299">
        <f t="shared" si="23"/>
        <v>0.1173949122282627</v>
      </c>
      <c r="AA299">
        <f t="shared" si="24"/>
        <v>4.0718093018784707E-2</v>
      </c>
      <c r="AD299" s="2">
        <v>26573</v>
      </c>
      <c r="AE299">
        <v>3.1290157993210332E-2</v>
      </c>
    </row>
    <row r="300" spans="1:31" x14ac:dyDescent="0.25">
      <c r="A300" s="2">
        <v>43831</v>
      </c>
      <c r="B300">
        <v>20665.553</v>
      </c>
      <c r="G300" s="2"/>
      <c r="I300" s="2">
        <v>44562</v>
      </c>
      <c r="J300">
        <v>21667.693840715099</v>
      </c>
      <c r="L300" s="2"/>
      <c r="P300" s="2">
        <v>30437</v>
      </c>
      <c r="Q300">
        <v>2043.1</v>
      </c>
      <c r="R300">
        <f t="shared" si="20"/>
        <v>0.11816243315323938</v>
      </c>
      <c r="U300" s="2">
        <v>26054</v>
      </c>
      <c r="V300">
        <v>40.299999999999997</v>
      </c>
      <c r="W300">
        <f t="shared" si="21"/>
        <v>4.3099192481852011E-2</v>
      </c>
      <c r="Y300" s="2">
        <f t="shared" si="22"/>
        <v>30437</v>
      </c>
      <c r="Z300">
        <f t="shared" si="23"/>
        <v>0.11816243315323938</v>
      </c>
      <c r="AA300">
        <f t="shared" si="24"/>
        <v>4.3099192481852011E-2</v>
      </c>
      <c r="AD300" s="2">
        <v>26604</v>
      </c>
      <c r="AE300">
        <v>3.3576295533604306E-2</v>
      </c>
    </row>
    <row r="301" spans="1:31" x14ac:dyDescent="0.25">
      <c r="A301" s="2">
        <v>43922</v>
      </c>
      <c r="B301">
        <v>19034.830000000002</v>
      </c>
      <c r="G301" s="2"/>
      <c r="I301" s="2">
        <v>44652</v>
      </c>
      <c r="J301">
        <v>21780.141105803101</v>
      </c>
      <c r="L301" s="2"/>
      <c r="P301" s="2">
        <v>30468</v>
      </c>
      <c r="Q301">
        <v>2053.5</v>
      </c>
      <c r="R301">
        <f t="shared" si="20"/>
        <v>0.11741787224169986</v>
      </c>
      <c r="U301" s="2">
        <v>26085</v>
      </c>
      <c r="V301">
        <v>40.5</v>
      </c>
      <c r="W301">
        <f t="shared" si="21"/>
        <v>4.2881727483265575E-2</v>
      </c>
      <c r="Y301" s="2">
        <f t="shared" si="22"/>
        <v>30468</v>
      </c>
      <c r="Z301">
        <f t="shared" si="23"/>
        <v>0.11741787224169986</v>
      </c>
      <c r="AA301">
        <f t="shared" si="24"/>
        <v>4.2881727483265575E-2</v>
      </c>
      <c r="AD301" s="2">
        <v>26634</v>
      </c>
      <c r="AE301">
        <v>3.3495954428182095E-2</v>
      </c>
    </row>
    <row r="302" spans="1:31" x14ac:dyDescent="0.25">
      <c r="A302" s="2">
        <v>44013</v>
      </c>
      <c r="B302">
        <v>20511.785</v>
      </c>
      <c r="G302" s="2"/>
      <c r="I302" s="2">
        <v>44743</v>
      </c>
      <c r="J302">
        <v>21892.766608315102</v>
      </c>
      <c r="L302" s="2"/>
      <c r="P302" s="2">
        <v>30498</v>
      </c>
      <c r="Q302">
        <v>2064.8000000000002</v>
      </c>
      <c r="R302">
        <f t="shared" si="20"/>
        <v>0.11989806618553533</v>
      </c>
      <c r="U302" s="2">
        <v>26115</v>
      </c>
      <c r="V302">
        <v>40.6</v>
      </c>
      <c r="W302">
        <f t="shared" si="21"/>
        <v>4.2773815983286667E-2</v>
      </c>
      <c r="Y302" s="2">
        <f t="shared" si="22"/>
        <v>30498</v>
      </c>
      <c r="Z302">
        <f t="shared" si="23"/>
        <v>0.11989806618553533</v>
      </c>
      <c r="AA302">
        <f t="shared" si="24"/>
        <v>4.2773815983286667E-2</v>
      </c>
      <c r="AD302" s="2">
        <v>26665</v>
      </c>
      <c r="AE302">
        <v>3.5760663879098153E-2</v>
      </c>
    </row>
    <row r="303" spans="1:31" x14ac:dyDescent="0.25">
      <c r="A303" s="2">
        <v>44105</v>
      </c>
      <c r="B303">
        <v>20724.128000000001</v>
      </c>
      <c r="G303" s="2"/>
      <c r="I303" s="2">
        <v>44835</v>
      </c>
      <c r="J303">
        <v>22004.679068189998</v>
      </c>
      <c r="L303" s="2"/>
      <c r="P303" s="2">
        <v>30529</v>
      </c>
      <c r="Q303">
        <v>2074</v>
      </c>
      <c r="R303">
        <f t="shared" si="20"/>
        <v>0.11689143710580741</v>
      </c>
      <c r="U303" s="2">
        <v>26146</v>
      </c>
      <c r="V303">
        <v>40.700000000000003</v>
      </c>
      <c r="W303">
        <f t="shared" si="21"/>
        <v>4.2666446318903262E-2</v>
      </c>
      <c r="Y303" s="2">
        <f t="shared" si="22"/>
        <v>30529</v>
      </c>
      <c r="Z303">
        <f t="shared" si="23"/>
        <v>0.11689143710580741</v>
      </c>
      <c r="AA303">
        <f t="shared" si="24"/>
        <v>4.2666446318903262E-2</v>
      </c>
      <c r="AD303" s="2">
        <v>26696</v>
      </c>
      <c r="AE303">
        <v>3.7919234862293649E-2</v>
      </c>
    </row>
    <row r="304" spans="1:31" x14ac:dyDescent="0.25">
      <c r="A304" s="2">
        <v>44197</v>
      </c>
      <c r="B304">
        <v>20990.541000000001</v>
      </c>
      <c r="G304" s="2"/>
      <c r="I304" s="2">
        <v>44927</v>
      </c>
      <c r="J304">
        <v>22116.38</v>
      </c>
      <c r="L304" s="2"/>
      <c r="P304" s="2">
        <v>30560</v>
      </c>
      <c r="Q304">
        <v>2083.1999999999998</v>
      </c>
      <c r="R304">
        <f t="shared" si="20"/>
        <v>0.11418927055805028</v>
      </c>
      <c r="U304" s="2">
        <v>26177</v>
      </c>
      <c r="V304">
        <v>40.799999999999997</v>
      </c>
      <c r="W304">
        <f t="shared" si="21"/>
        <v>4.0005334613699262E-2</v>
      </c>
      <c r="Y304" s="2">
        <f t="shared" si="22"/>
        <v>30560</v>
      </c>
      <c r="Z304">
        <f t="shared" si="23"/>
        <v>0.11418927055805028</v>
      </c>
      <c r="AA304">
        <f t="shared" si="24"/>
        <v>4.0005334613699262E-2</v>
      </c>
      <c r="AD304" s="2">
        <v>26724</v>
      </c>
      <c r="AE304">
        <v>4.7178560275090486E-2</v>
      </c>
    </row>
    <row r="305" spans="1:31" x14ac:dyDescent="0.25">
      <c r="A305" s="2">
        <v>44287</v>
      </c>
      <c r="B305">
        <v>21309.544000000002</v>
      </c>
      <c r="G305" s="2"/>
      <c r="I305" s="2">
        <v>45017</v>
      </c>
      <c r="J305">
        <v>22227.57</v>
      </c>
      <c r="L305" s="2"/>
      <c r="P305" s="2">
        <v>30590</v>
      </c>
      <c r="Q305">
        <v>2099.1999999999998</v>
      </c>
      <c r="R305">
        <f t="shared" si="20"/>
        <v>0.11577832957854106</v>
      </c>
      <c r="U305" s="2">
        <v>26207</v>
      </c>
      <c r="V305">
        <v>40.9</v>
      </c>
      <c r="W305">
        <f t="shared" si="21"/>
        <v>3.7364246744867824E-2</v>
      </c>
      <c r="Y305" s="2">
        <f t="shared" si="22"/>
        <v>30590</v>
      </c>
      <c r="Z305">
        <f t="shared" si="23"/>
        <v>0.11577832957854106</v>
      </c>
      <c r="AA305">
        <f t="shared" si="24"/>
        <v>3.7364246744867824E-2</v>
      </c>
      <c r="AD305" s="2">
        <v>26755</v>
      </c>
      <c r="AE305">
        <v>5.1654674864892058E-2</v>
      </c>
    </row>
    <row r="306" spans="1:31" x14ac:dyDescent="0.25">
      <c r="A306" s="2">
        <v>44378</v>
      </c>
      <c r="B306">
        <v>21483.082999999999</v>
      </c>
      <c r="G306" s="2"/>
      <c r="I306" s="2">
        <v>45108</v>
      </c>
      <c r="J306">
        <v>22338.77</v>
      </c>
      <c r="L306" s="2"/>
      <c r="P306" s="2">
        <v>30621</v>
      </c>
      <c r="Q306">
        <v>2112.3000000000002</v>
      </c>
      <c r="R306">
        <f t="shared" si="20"/>
        <v>0.11453947340502335</v>
      </c>
      <c r="U306" s="2">
        <v>26238</v>
      </c>
      <c r="V306">
        <v>41</v>
      </c>
      <c r="W306">
        <f t="shared" si="21"/>
        <v>3.4742948443873267E-2</v>
      </c>
      <c r="Y306" s="2">
        <f t="shared" si="22"/>
        <v>30621</v>
      </c>
      <c r="Z306">
        <f t="shared" si="23"/>
        <v>0.11453947340502335</v>
      </c>
      <c r="AA306">
        <f t="shared" si="24"/>
        <v>3.4742948443873267E-2</v>
      </c>
      <c r="AD306" s="2">
        <v>26785</v>
      </c>
      <c r="AE306">
        <v>5.3814152813907778E-2</v>
      </c>
    </row>
    <row r="307" spans="1:31" x14ac:dyDescent="0.25">
      <c r="A307" s="2">
        <v>44470</v>
      </c>
      <c r="B307">
        <v>21847.601999999999</v>
      </c>
      <c r="G307" s="2"/>
      <c r="I307" s="2">
        <v>45200</v>
      </c>
      <c r="J307">
        <v>22452.06</v>
      </c>
      <c r="L307" s="2"/>
      <c r="P307" s="2">
        <v>30651</v>
      </c>
      <c r="Q307">
        <v>2123.5</v>
      </c>
      <c r="R307">
        <f t="shared" si="20"/>
        <v>0.10811133281272856</v>
      </c>
      <c r="U307" s="2">
        <v>26268</v>
      </c>
      <c r="V307">
        <v>41.1</v>
      </c>
      <c r="W307">
        <f t="shared" si="21"/>
        <v>3.2141209211797417E-2</v>
      </c>
      <c r="Y307" s="2">
        <f t="shared" si="22"/>
        <v>30651</v>
      </c>
      <c r="Z307">
        <f t="shared" si="23"/>
        <v>0.10811133281272856</v>
      </c>
      <c r="AA307">
        <f t="shared" si="24"/>
        <v>3.2141209211797417E-2</v>
      </c>
      <c r="AD307" s="2">
        <v>26816</v>
      </c>
      <c r="AE307">
        <v>5.8223660278896361E-2</v>
      </c>
    </row>
    <row r="308" spans="1:31" x14ac:dyDescent="0.25">
      <c r="A308" s="2">
        <v>44562</v>
      </c>
      <c r="B308">
        <v>21738.870999999999</v>
      </c>
      <c r="G308" s="2"/>
      <c r="I308" s="2">
        <v>45292</v>
      </c>
      <c r="J308">
        <v>22566.61</v>
      </c>
      <c r="L308" s="2"/>
      <c r="P308" s="2">
        <v>30682</v>
      </c>
      <c r="Q308">
        <v>2138.1999999999998</v>
      </c>
      <c r="R308">
        <f t="shared" si="20"/>
        <v>8.7326049668857486E-2</v>
      </c>
      <c r="U308" s="2">
        <v>26299</v>
      </c>
      <c r="V308">
        <v>41.2</v>
      </c>
      <c r="W308">
        <f t="shared" si="21"/>
        <v>3.2061932459662934E-2</v>
      </c>
      <c r="Y308" s="2">
        <f t="shared" si="22"/>
        <v>30682</v>
      </c>
      <c r="Z308">
        <f t="shared" si="23"/>
        <v>8.7326049668857486E-2</v>
      </c>
      <c r="AA308">
        <f t="shared" si="24"/>
        <v>3.2061932459662934E-2</v>
      </c>
      <c r="AD308" s="2">
        <v>26846</v>
      </c>
      <c r="AE308">
        <v>5.5828449552941972E-2</v>
      </c>
    </row>
    <row r="309" spans="1:31" x14ac:dyDescent="0.25">
      <c r="A309" s="2">
        <v>44652</v>
      </c>
      <c r="B309">
        <v>21708.16</v>
      </c>
      <c r="G309" s="2"/>
      <c r="I309" s="2">
        <v>45383</v>
      </c>
      <c r="J309">
        <v>22682.66</v>
      </c>
      <c r="L309" s="2"/>
      <c r="P309" s="2">
        <v>30713</v>
      </c>
      <c r="Q309">
        <v>2158.1999999999998</v>
      </c>
      <c r="R309">
        <f t="shared" si="20"/>
        <v>7.7728641754524652E-2</v>
      </c>
      <c r="U309" s="2">
        <v>26330</v>
      </c>
      <c r="V309">
        <v>41.4</v>
      </c>
      <c r="W309">
        <f t="shared" si="21"/>
        <v>3.6904556935450916E-2</v>
      </c>
      <c r="Y309" s="2">
        <f t="shared" si="22"/>
        <v>30713</v>
      </c>
      <c r="Z309">
        <f t="shared" si="23"/>
        <v>7.7728641754524652E-2</v>
      </c>
      <c r="AA309">
        <f t="shared" si="24"/>
        <v>3.6904556935450916E-2</v>
      </c>
      <c r="AD309" s="2">
        <v>26877</v>
      </c>
      <c r="AE309">
        <v>7.1376662842227656E-2</v>
      </c>
    </row>
    <row r="310" spans="1:31" x14ac:dyDescent="0.25">
      <c r="A310" s="2">
        <v>44743</v>
      </c>
      <c r="B310">
        <v>21851.133999999998</v>
      </c>
      <c r="G310" s="2"/>
      <c r="I310" s="2">
        <v>45474</v>
      </c>
      <c r="J310">
        <v>22800.63</v>
      </c>
      <c r="L310" s="2"/>
      <c r="P310" s="2">
        <v>30742</v>
      </c>
      <c r="Q310">
        <v>2175.1999999999998</v>
      </c>
      <c r="R310">
        <f t="shared" si="20"/>
        <v>7.6402168279861016E-2</v>
      </c>
      <c r="U310" s="2">
        <v>26359</v>
      </c>
      <c r="V310">
        <v>41.4</v>
      </c>
      <c r="W310">
        <f t="shared" si="21"/>
        <v>3.4401426717332484E-2</v>
      </c>
      <c r="Y310" s="2">
        <f t="shared" si="22"/>
        <v>30742</v>
      </c>
      <c r="Z310">
        <f t="shared" si="23"/>
        <v>7.6402168279861016E-2</v>
      </c>
      <c r="AA310">
        <f t="shared" si="24"/>
        <v>3.4401426717332484E-2</v>
      </c>
      <c r="AD310" s="2">
        <v>26908</v>
      </c>
      <c r="AE310">
        <v>7.1049346149850034E-2</v>
      </c>
    </row>
    <row r="311" spans="1:31" x14ac:dyDescent="0.25">
      <c r="A311" s="2">
        <v>44835</v>
      </c>
      <c r="B311">
        <v>21989.981</v>
      </c>
      <c r="G311" s="2"/>
      <c r="I311" s="2">
        <v>45566</v>
      </c>
      <c r="J311">
        <v>22920.27</v>
      </c>
      <c r="L311" s="2"/>
      <c r="P311" s="2">
        <v>30773</v>
      </c>
      <c r="Q311">
        <v>2191.6999999999998</v>
      </c>
      <c r="R311">
        <f t="shared" si="20"/>
        <v>7.7331598445778305E-2</v>
      </c>
      <c r="U311" s="2">
        <v>26390</v>
      </c>
      <c r="V311">
        <v>41.5</v>
      </c>
      <c r="W311">
        <f t="shared" si="21"/>
        <v>3.4317092924128989E-2</v>
      </c>
      <c r="Y311" s="2">
        <f t="shared" si="22"/>
        <v>30773</v>
      </c>
      <c r="Z311">
        <f t="shared" si="23"/>
        <v>7.7331598445778305E-2</v>
      </c>
      <c r="AA311">
        <f t="shared" si="24"/>
        <v>3.4317092924128989E-2</v>
      </c>
      <c r="AD311" s="2">
        <v>26938</v>
      </c>
      <c r="AE311">
        <v>7.7487495478374413E-2</v>
      </c>
    </row>
    <row r="312" spans="1:31" x14ac:dyDescent="0.25">
      <c r="A312" s="2">
        <v>44927</v>
      </c>
      <c r="B312">
        <v>22112.329000000002</v>
      </c>
      <c r="G312" s="2"/>
      <c r="I312" s="2">
        <v>45658</v>
      </c>
      <c r="J312">
        <v>23041.94</v>
      </c>
      <c r="L312" s="2"/>
      <c r="P312" s="2">
        <v>30803</v>
      </c>
      <c r="Q312">
        <v>2204.1</v>
      </c>
      <c r="R312">
        <f t="shared" si="20"/>
        <v>7.5851000048574591E-2</v>
      </c>
      <c r="U312" s="2">
        <v>26420</v>
      </c>
      <c r="V312">
        <v>41.6</v>
      </c>
      <c r="W312">
        <f t="shared" si="21"/>
        <v>3.1748698314580714E-2</v>
      </c>
      <c r="Y312" s="2">
        <f t="shared" si="22"/>
        <v>30803</v>
      </c>
      <c r="Z312">
        <f t="shared" si="23"/>
        <v>7.5851000048574591E-2</v>
      </c>
      <c r="AA312">
        <f t="shared" si="24"/>
        <v>3.1748698314580714E-2</v>
      </c>
      <c r="AD312" s="2">
        <v>26969</v>
      </c>
      <c r="AE312">
        <v>7.9316754828587133E-2</v>
      </c>
    </row>
    <row r="313" spans="1:31" x14ac:dyDescent="0.25">
      <c r="A313" s="2">
        <v>45017</v>
      </c>
      <c r="B313">
        <v>22225.35</v>
      </c>
      <c r="G313" s="2"/>
      <c r="I313" s="2">
        <v>45748</v>
      </c>
      <c r="J313">
        <v>23164.48</v>
      </c>
      <c r="L313" s="2"/>
      <c r="P313" s="2">
        <v>30834</v>
      </c>
      <c r="Q313">
        <v>2215.1</v>
      </c>
      <c r="R313">
        <f t="shared" si="20"/>
        <v>7.5751894790402119E-2</v>
      </c>
      <c r="U313" s="2">
        <v>26451</v>
      </c>
      <c r="V313">
        <v>41.7</v>
      </c>
      <c r="W313">
        <f t="shared" si="21"/>
        <v>2.9199154692262752E-2</v>
      </c>
      <c r="Y313" s="2">
        <f t="shared" si="22"/>
        <v>30834</v>
      </c>
      <c r="Z313">
        <f t="shared" si="23"/>
        <v>7.5751894790402119E-2</v>
      </c>
      <c r="AA313">
        <f t="shared" si="24"/>
        <v>2.9199154692262752E-2</v>
      </c>
      <c r="AD313" s="2">
        <v>26999</v>
      </c>
      <c r="AE313">
        <v>8.5637885161816918E-2</v>
      </c>
    </row>
    <row r="314" spans="1:31" x14ac:dyDescent="0.25">
      <c r="A314" s="2">
        <v>45108</v>
      </c>
      <c r="B314">
        <v>22490.691999999999</v>
      </c>
      <c r="G314" s="2"/>
      <c r="I314" s="2">
        <v>45839</v>
      </c>
      <c r="J314">
        <v>23288.28</v>
      </c>
      <c r="L314" s="2"/>
      <c r="P314" s="2">
        <v>30864</v>
      </c>
      <c r="Q314">
        <v>2223.5</v>
      </c>
      <c r="R314">
        <f t="shared" si="20"/>
        <v>7.4049161546346554E-2</v>
      </c>
      <c r="U314" s="2">
        <v>26481</v>
      </c>
      <c r="V314">
        <v>41.8</v>
      </c>
      <c r="W314">
        <f t="shared" si="21"/>
        <v>2.9128272923023335E-2</v>
      </c>
      <c r="Y314" s="2">
        <f t="shared" si="22"/>
        <v>30864</v>
      </c>
      <c r="Z314">
        <f t="shared" si="23"/>
        <v>7.4049161546346554E-2</v>
      </c>
      <c r="AA314">
        <f t="shared" si="24"/>
        <v>2.9128272923023335E-2</v>
      </c>
      <c r="AD314" s="2">
        <v>27030</v>
      </c>
      <c r="AE314">
        <v>9.168428268902229E-2</v>
      </c>
    </row>
    <row r="315" spans="1:31" x14ac:dyDescent="0.25">
      <c r="A315" s="2">
        <v>45200</v>
      </c>
      <c r="B315">
        <v>22679.255000000001</v>
      </c>
      <c r="G315" s="2"/>
      <c r="I315" s="2">
        <v>45931</v>
      </c>
      <c r="J315">
        <v>23413.13</v>
      </c>
      <c r="L315" s="2"/>
      <c r="P315" s="2">
        <v>30895</v>
      </c>
      <c r="Q315">
        <v>2230.4</v>
      </c>
      <c r="R315">
        <f t="shared" si="20"/>
        <v>7.2701831776732284E-2</v>
      </c>
      <c r="U315" s="2">
        <v>26512</v>
      </c>
      <c r="V315">
        <v>41.9</v>
      </c>
      <c r="W315">
        <f t="shared" si="21"/>
        <v>2.9057734479542408E-2</v>
      </c>
      <c r="Y315" s="2">
        <f t="shared" si="22"/>
        <v>30895</v>
      </c>
      <c r="Z315">
        <f t="shared" si="23"/>
        <v>7.2701831776732284E-2</v>
      </c>
      <c r="AA315">
        <f t="shared" si="24"/>
        <v>2.9057734479542408E-2</v>
      </c>
      <c r="AD315" s="2">
        <v>27061</v>
      </c>
      <c r="AE315">
        <v>9.5310179804324768E-2</v>
      </c>
    </row>
    <row r="316" spans="1:31" x14ac:dyDescent="0.25">
      <c r="A316" s="2">
        <v>45292</v>
      </c>
      <c r="B316">
        <v>22758.752</v>
      </c>
      <c r="G316" s="2"/>
      <c r="I316" s="2">
        <v>46023</v>
      </c>
      <c r="J316">
        <v>23537.99</v>
      </c>
      <c r="L316" s="2"/>
      <c r="P316" s="2">
        <v>30926</v>
      </c>
      <c r="Q316">
        <v>2244.4</v>
      </c>
      <c r="R316">
        <f t="shared" si="20"/>
        <v>7.4533051862567312E-2</v>
      </c>
      <c r="U316" s="2">
        <v>26543</v>
      </c>
      <c r="V316">
        <v>42.1</v>
      </c>
      <c r="W316">
        <f t="shared" si="21"/>
        <v>3.136565927821966E-2</v>
      </c>
      <c r="Y316" s="2">
        <f t="shared" si="22"/>
        <v>30926</v>
      </c>
      <c r="Z316">
        <f t="shared" si="23"/>
        <v>7.4533051862567312E-2</v>
      </c>
      <c r="AA316">
        <f t="shared" si="24"/>
        <v>3.136565927821966E-2</v>
      </c>
      <c r="AD316" s="2">
        <v>27089</v>
      </c>
      <c r="AE316">
        <v>9.656619839105085E-2</v>
      </c>
    </row>
    <row r="317" spans="1:31" x14ac:dyDescent="0.25">
      <c r="A317" s="2">
        <v>45383</v>
      </c>
      <c r="B317">
        <v>22918.739000000001</v>
      </c>
      <c r="G317" s="2"/>
      <c r="I317" s="2">
        <v>46113</v>
      </c>
      <c r="J317">
        <v>23662.93</v>
      </c>
      <c r="L317" s="2"/>
      <c r="P317" s="2">
        <v>30956</v>
      </c>
      <c r="Q317">
        <v>2258.9</v>
      </c>
      <c r="R317">
        <f t="shared" si="20"/>
        <v>7.3321649363459862E-2</v>
      </c>
      <c r="U317" s="2">
        <v>26573</v>
      </c>
      <c r="V317">
        <v>42.2</v>
      </c>
      <c r="W317">
        <f t="shared" si="21"/>
        <v>3.1290157993210332E-2</v>
      </c>
      <c r="Y317" s="2">
        <f t="shared" si="22"/>
        <v>30956</v>
      </c>
      <c r="Z317">
        <f t="shared" si="23"/>
        <v>7.3321649363459862E-2</v>
      </c>
      <c r="AA317">
        <f t="shared" si="24"/>
        <v>3.1290157993210332E-2</v>
      </c>
      <c r="AD317" s="2">
        <v>27120</v>
      </c>
      <c r="AE317">
        <v>9.5934075010171149E-2</v>
      </c>
    </row>
    <row r="318" spans="1:31" x14ac:dyDescent="0.25">
      <c r="G318" s="2"/>
      <c r="I318" s="2">
        <v>46204</v>
      </c>
      <c r="J318">
        <v>23787.67</v>
      </c>
      <c r="L318" s="2"/>
      <c r="P318" s="2">
        <v>30987</v>
      </c>
      <c r="Q318">
        <v>2281.4</v>
      </c>
      <c r="R318">
        <f t="shared" si="20"/>
        <v>7.7011888400600803E-2</v>
      </c>
      <c r="U318" s="2">
        <v>26604</v>
      </c>
      <c r="V318">
        <v>42.4</v>
      </c>
      <c r="W318">
        <f t="shared" si="21"/>
        <v>3.3576295533604306E-2</v>
      </c>
      <c r="Y318" s="2">
        <f t="shared" si="22"/>
        <v>30987</v>
      </c>
      <c r="Z318">
        <f t="shared" si="23"/>
        <v>7.7011888400600803E-2</v>
      </c>
      <c r="AA318">
        <f t="shared" si="24"/>
        <v>3.3576295533604306E-2</v>
      </c>
      <c r="AD318" s="2">
        <v>27150</v>
      </c>
      <c r="AE318">
        <v>0.10170921082532258</v>
      </c>
    </row>
    <row r="319" spans="1:31" x14ac:dyDescent="0.25">
      <c r="G319" s="2"/>
      <c r="I319" s="2">
        <v>46296</v>
      </c>
      <c r="J319">
        <v>23912.240000000002</v>
      </c>
      <c r="L319" s="2"/>
      <c r="P319" s="2">
        <v>31017</v>
      </c>
      <c r="Q319">
        <v>2306.4</v>
      </c>
      <c r="R319">
        <f t="shared" si="20"/>
        <v>8.262219657086689E-2</v>
      </c>
      <c r="U319" s="2">
        <v>26634</v>
      </c>
      <c r="V319">
        <v>42.5</v>
      </c>
      <c r="W319">
        <f t="shared" si="21"/>
        <v>3.3495954428182095E-2</v>
      </c>
      <c r="Y319" s="2">
        <f t="shared" si="22"/>
        <v>31017</v>
      </c>
      <c r="Z319">
        <f t="shared" si="23"/>
        <v>8.262219657086689E-2</v>
      </c>
      <c r="AA319">
        <f t="shared" si="24"/>
        <v>3.3495954428182095E-2</v>
      </c>
      <c r="AD319" s="2">
        <v>27181</v>
      </c>
      <c r="AE319">
        <v>0.10309550902697406</v>
      </c>
    </row>
    <row r="320" spans="1:31" x14ac:dyDescent="0.25">
      <c r="G320" s="2"/>
      <c r="I320" s="2">
        <v>46388</v>
      </c>
      <c r="J320">
        <v>24037.13</v>
      </c>
      <c r="L320" s="2"/>
      <c r="P320" s="2">
        <v>31048</v>
      </c>
      <c r="Q320">
        <v>2332.4</v>
      </c>
      <c r="R320">
        <f t="shared" si="20"/>
        <v>8.6933426768601052E-2</v>
      </c>
      <c r="U320" s="2">
        <v>26665</v>
      </c>
      <c r="V320">
        <v>42.7</v>
      </c>
      <c r="W320">
        <f t="shared" si="21"/>
        <v>3.5760663879098153E-2</v>
      </c>
      <c r="Y320" s="2">
        <f t="shared" si="22"/>
        <v>31048</v>
      </c>
      <c r="Z320">
        <f t="shared" si="23"/>
        <v>8.6933426768601052E-2</v>
      </c>
      <c r="AA320">
        <f t="shared" si="24"/>
        <v>3.5760663879098153E-2</v>
      </c>
      <c r="AD320" s="2">
        <v>27211</v>
      </c>
      <c r="AE320">
        <v>0.10919929196499201</v>
      </c>
    </row>
    <row r="321" spans="7:31" x14ac:dyDescent="0.25">
      <c r="G321" s="2"/>
      <c r="I321" s="2">
        <v>46478</v>
      </c>
      <c r="J321">
        <v>24160.85</v>
      </c>
      <c r="L321" s="2"/>
      <c r="P321" s="2">
        <v>31079</v>
      </c>
      <c r="Q321">
        <v>2354.1</v>
      </c>
      <c r="R321">
        <f t="shared" si="20"/>
        <v>8.6883947871904788E-2</v>
      </c>
      <c r="U321" s="2">
        <v>26696</v>
      </c>
      <c r="V321">
        <v>43</v>
      </c>
      <c r="W321">
        <f t="shared" si="21"/>
        <v>3.7919234862293649E-2</v>
      </c>
      <c r="Y321" s="2">
        <f t="shared" si="22"/>
        <v>31079</v>
      </c>
      <c r="Z321">
        <f t="shared" si="23"/>
        <v>8.6883947871904788E-2</v>
      </c>
      <c r="AA321">
        <f t="shared" si="24"/>
        <v>3.7919234862293649E-2</v>
      </c>
      <c r="AD321" s="2">
        <v>27242</v>
      </c>
      <c r="AE321">
        <v>0.10335851298715326</v>
      </c>
    </row>
    <row r="322" spans="7:31" x14ac:dyDescent="0.25">
      <c r="G322" s="2"/>
      <c r="I322" s="2">
        <v>46569</v>
      </c>
      <c r="J322">
        <v>24284.17</v>
      </c>
      <c r="L322" s="2"/>
      <c r="P322" s="2">
        <v>31107</v>
      </c>
      <c r="Q322">
        <v>2366.1999999999998</v>
      </c>
      <c r="R322">
        <f t="shared" si="20"/>
        <v>8.4164678501301715E-2</v>
      </c>
      <c r="U322" s="2">
        <v>26724</v>
      </c>
      <c r="V322">
        <v>43.4</v>
      </c>
      <c r="W322">
        <f t="shared" si="21"/>
        <v>4.7178560275090486E-2</v>
      </c>
      <c r="Y322" s="2">
        <f t="shared" si="22"/>
        <v>31107</v>
      </c>
      <c r="Z322">
        <f t="shared" si="23"/>
        <v>8.4164678501301715E-2</v>
      </c>
      <c r="AA322">
        <f t="shared" si="24"/>
        <v>4.7178560275090486E-2</v>
      </c>
      <c r="AD322" s="2">
        <v>27273</v>
      </c>
      <c r="AE322">
        <v>0.11285448945523413</v>
      </c>
    </row>
    <row r="323" spans="7:31" x14ac:dyDescent="0.25">
      <c r="G323" s="2"/>
      <c r="I323" s="2">
        <v>46661</v>
      </c>
      <c r="J323">
        <v>24407.17</v>
      </c>
      <c r="L323" s="2"/>
      <c r="P323" s="2">
        <v>31138</v>
      </c>
      <c r="Q323">
        <v>2375.4</v>
      </c>
      <c r="R323">
        <f t="shared" si="20"/>
        <v>8.0488345952466567E-2</v>
      </c>
      <c r="U323" s="2">
        <v>26755</v>
      </c>
      <c r="V323">
        <v>43.7</v>
      </c>
      <c r="W323">
        <f t="shared" si="21"/>
        <v>5.1654674864892058E-2</v>
      </c>
      <c r="Y323" s="2">
        <f t="shared" si="22"/>
        <v>31138</v>
      </c>
      <c r="Z323">
        <f t="shared" si="23"/>
        <v>8.0488345952466567E-2</v>
      </c>
      <c r="AA323">
        <f t="shared" si="24"/>
        <v>5.1654674864892058E-2</v>
      </c>
      <c r="AD323" s="2">
        <v>27303</v>
      </c>
      <c r="AE323">
        <v>0.11191791620398517</v>
      </c>
    </row>
    <row r="324" spans="7:31" x14ac:dyDescent="0.25">
      <c r="G324" s="2"/>
      <c r="I324" s="2">
        <v>46753</v>
      </c>
      <c r="J324">
        <v>24529.51</v>
      </c>
      <c r="L324" s="2"/>
      <c r="P324" s="2">
        <v>31168</v>
      </c>
      <c r="Q324">
        <v>2389.5</v>
      </c>
      <c r="R324">
        <f t="shared" si="20"/>
        <v>8.0764876723871559E-2</v>
      </c>
      <c r="U324" s="2">
        <v>26785</v>
      </c>
      <c r="V324">
        <v>43.9</v>
      </c>
      <c r="W324">
        <f t="shared" si="21"/>
        <v>5.3814152813907778E-2</v>
      </c>
      <c r="Y324" s="2">
        <f t="shared" si="22"/>
        <v>31168</v>
      </c>
      <c r="Z324">
        <f t="shared" si="23"/>
        <v>8.0764876723871559E-2</v>
      </c>
      <c r="AA324">
        <f t="shared" si="24"/>
        <v>5.3814152813907778E-2</v>
      </c>
      <c r="AD324" s="2">
        <v>27334</v>
      </c>
      <c r="AE324">
        <v>0.11511669060319107</v>
      </c>
    </row>
    <row r="325" spans="7:31" x14ac:dyDescent="0.25">
      <c r="G325" s="2"/>
      <c r="I325" s="2">
        <v>46844</v>
      </c>
      <c r="J325">
        <v>24652.77</v>
      </c>
      <c r="L325" s="2"/>
      <c r="P325" s="2">
        <v>31199</v>
      </c>
      <c r="Q325">
        <v>2412.6</v>
      </c>
      <c r="R325">
        <f t="shared" si="20"/>
        <v>8.5407454944268046E-2</v>
      </c>
      <c r="U325" s="2">
        <v>26816</v>
      </c>
      <c r="V325">
        <v>44.2</v>
      </c>
      <c r="W325">
        <f t="shared" si="21"/>
        <v>5.8223660278896361E-2</v>
      </c>
      <c r="Y325" s="2">
        <f t="shared" si="22"/>
        <v>31199</v>
      </c>
      <c r="Z325">
        <f t="shared" si="23"/>
        <v>8.5407454944268046E-2</v>
      </c>
      <c r="AA325">
        <f t="shared" si="24"/>
        <v>5.8223660278896361E-2</v>
      </c>
      <c r="AD325" s="2">
        <v>27364</v>
      </c>
      <c r="AE325">
        <v>0.11417682907965476</v>
      </c>
    </row>
    <row r="326" spans="7:31" x14ac:dyDescent="0.25">
      <c r="G326" s="2"/>
      <c r="I326" s="2">
        <v>46935</v>
      </c>
      <c r="J326">
        <v>24776.37</v>
      </c>
      <c r="L326" s="2"/>
      <c r="P326" s="2">
        <v>31229</v>
      </c>
      <c r="Q326">
        <v>2429.5</v>
      </c>
      <c r="R326">
        <f t="shared" si="20"/>
        <v>8.8602943895206288E-2</v>
      </c>
      <c r="U326" s="2">
        <v>26846</v>
      </c>
      <c r="V326">
        <v>44.2</v>
      </c>
      <c r="W326">
        <f t="shared" si="21"/>
        <v>5.5828449552941972E-2</v>
      </c>
      <c r="Y326" s="2">
        <f t="shared" si="22"/>
        <v>31229</v>
      </c>
      <c r="Z326">
        <f t="shared" si="23"/>
        <v>8.8602943895206288E-2</v>
      </c>
      <c r="AA326">
        <f t="shared" si="24"/>
        <v>5.5828449552941972E-2</v>
      </c>
      <c r="AD326" s="2">
        <v>27395</v>
      </c>
      <c r="AE326">
        <v>0.11111316814727612</v>
      </c>
    </row>
    <row r="327" spans="7:31" x14ac:dyDescent="0.25">
      <c r="G327" s="2"/>
      <c r="I327" s="2">
        <v>47027</v>
      </c>
      <c r="J327">
        <v>24900.25</v>
      </c>
      <c r="L327" s="2"/>
      <c r="P327" s="2">
        <v>31260</v>
      </c>
      <c r="Q327">
        <v>2444</v>
      </c>
      <c r="R327">
        <f t="shared" si="20"/>
        <v>9.145509972528032E-2</v>
      </c>
      <c r="U327" s="2">
        <v>26877</v>
      </c>
      <c r="V327">
        <v>45</v>
      </c>
      <c r="W327">
        <f t="shared" si="21"/>
        <v>7.1376662842227656E-2</v>
      </c>
      <c r="Y327" s="2">
        <f t="shared" si="22"/>
        <v>31260</v>
      </c>
      <c r="Z327">
        <f t="shared" si="23"/>
        <v>9.145509972528032E-2</v>
      </c>
      <c r="AA327">
        <f t="shared" si="24"/>
        <v>7.1376662842227656E-2</v>
      </c>
      <c r="AD327" s="2">
        <v>27426</v>
      </c>
      <c r="AE327">
        <v>0.10620582424577707</v>
      </c>
    </row>
    <row r="328" spans="7:31" x14ac:dyDescent="0.25">
      <c r="G328" s="2"/>
      <c r="I328" s="2">
        <v>47119</v>
      </c>
      <c r="J328">
        <v>25024.240000000002</v>
      </c>
      <c r="L328" s="2"/>
      <c r="P328" s="2">
        <v>31291</v>
      </c>
      <c r="Q328">
        <v>2456.4</v>
      </c>
      <c r="R328">
        <f t="shared" si="20"/>
        <v>9.0258638578426975E-2</v>
      </c>
      <c r="U328" s="2">
        <v>26908</v>
      </c>
      <c r="V328">
        <v>45.2</v>
      </c>
      <c r="W328">
        <f t="shared" si="21"/>
        <v>7.1049346149850034E-2</v>
      </c>
      <c r="Y328" s="2">
        <f t="shared" si="22"/>
        <v>31291</v>
      </c>
      <c r="Z328">
        <f t="shared" si="23"/>
        <v>9.0258638578426975E-2</v>
      </c>
      <c r="AA328">
        <f t="shared" si="24"/>
        <v>7.1049346149850034E-2</v>
      </c>
      <c r="AD328" s="2">
        <v>27454</v>
      </c>
      <c r="AE328">
        <v>9.9485551214805845E-2</v>
      </c>
    </row>
    <row r="329" spans="7:31" x14ac:dyDescent="0.25">
      <c r="G329" s="2"/>
      <c r="I329" s="2">
        <v>47209</v>
      </c>
      <c r="J329">
        <v>25148.48</v>
      </c>
      <c r="L329" s="2"/>
      <c r="P329" s="2">
        <v>31321</v>
      </c>
      <c r="Q329">
        <v>2468</v>
      </c>
      <c r="R329">
        <f t="shared" si="20"/>
        <v>8.8530136912049251E-2</v>
      </c>
      <c r="U329" s="2">
        <v>26938</v>
      </c>
      <c r="V329">
        <v>45.6</v>
      </c>
      <c r="W329">
        <f t="shared" si="21"/>
        <v>7.7487495478374413E-2</v>
      </c>
      <c r="Y329" s="2">
        <f t="shared" si="22"/>
        <v>31321</v>
      </c>
      <c r="Z329">
        <f t="shared" si="23"/>
        <v>8.8530136912049251E-2</v>
      </c>
      <c r="AA329">
        <f t="shared" si="24"/>
        <v>7.7487495478374413E-2</v>
      </c>
      <c r="AD329" s="2">
        <v>27485</v>
      </c>
      <c r="AE329">
        <v>9.7009736440406336E-2</v>
      </c>
    </row>
    <row r="330" spans="7:31" x14ac:dyDescent="0.25">
      <c r="G330" s="2"/>
      <c r="I330" s="2">
        <v>47300</v>
      </c>
      <c r="J330">
        <v>25272.42</v>
      </c>
      <c r="L330" s="2"/>
      <c r="P330" s="2">
        <v>31352</v>
      </c>
      <c r="Q330">
        <v>2477.8000000000002</v>
      </c>
      <c r="R330">
        <f t="shared" si="20"/>
        <v>8.2581780087840784E-2</v>
      </c>
      <c r="U330" s="2">
        <v>26969</v>
      </c>
      <c r="V330">
        <v>45.9</v>
      </c>
      <c r="W330">
        <f t="shared" si="21"/>
        <v>7.9316754828587133E-2</v>
      </c>
      <c r="Y330" s="2">
        <f t="shared" si="22"/>
        <v>31352</v>
      </c>
      <c r="Z330">
        <f t="shared" si="23"/>
        <v>8.2581780087840784E-2</v>
      </c>
      <c r="AA330">
        <f t="shared" si="24"/>
        <v>7.9316754828587133E-2</v>
      </c>
      <c r="AD330" s="2">
        <v>27515</v>
      </c>
      <c r="AE330">
        <v>8.8553397341445184E-2</v>
      </c>
    </row>
    <row r="331" spans="7:31" x14ac:dyDescent="0.25">
      <c r="G331" s="2"/>
      <c r="I331" s="2">
        <v>47392</v>
      </c>
      <c r="J331">
        <v>25395.75</v>
      </c>
      <c r="L331" s="2"/>
      <c r="P331" s="2">
        <v>31382</v>
      </c>
      <c r="Q331">
        <v>2492.1</v>
      </c>
      <c r="R331">
        <f t="shared" si="20"/>
        <v>7.7437861188943025E-2</v>
      </c>
      <c r="U331" s="2">
        <v>26999</v>
      </c>
      <c r="V331">
        <v>46.3</v>
      </c>
      <c r="W331">
        <f t="shared" si="21"/>
        <v>8.5637885161816918E-2</v>
      </c>
      <c r="Y331" s="2">
        <f t="shared" si="22"/>
        <v>31382</v>
      </c>
      <c r="Z331">
        <f t="shared" si="23"/>
        <v>7.7437861188943025E-2</v>
      </c>
      <c r="AA331">
        <f t="shared" si="24"/>
        <v>8.5637885161816918E-2</v>
      </c>
      <c r="AD331" s="2">
        <v>27546</v>
      </c>
      <c r="AE331">
        <v>8.7861355791334361E-2</v>
      </c>
    </row>
    <row r="332" spans="7:31" x14ac:dyDescent="0.25">
      <c r="G332" s="2"/>
      <c r="I332" s="2">
        <v>47484</v>
      </c>
      <c r="J332">
        <v>25518.42</v>
      </c>
      <c r="L332" s="2"/>
      <c r="P332" s="2">
        <v>31413</v>
      </c>
      <c r="Q332">
        <v>2502.1</v>
      </c>
      <c r="R332">
        <f t="shared" si="20"/>
        <v>7.0232598905735522E-2</v>
      </c>
      <c r="U332" s="2">
        <v>27030</v>
      </c>
      <c r="V332">
        <v>46.8</v>
      </c>
      <c r="W332">
        <f t="shared" si="21"/>
        <v>9.168428268902229E-2</v>
      </c>
      <c r="Y332" s="2">
        <f t="shared" si="22"/>
        <v>31413</v>
      </c>
      <c r="Z332">
        <f t="shared" si="23"/>
        <v>7.0232598905735522E-2</v>
      </c>
      <c r="AA332">
        <f t="shared" si="24"/>
        <v>9.168428268902229E-2</v>
      </c>
      <c r="AD332" s="2">
        <v>27576</v>
      </c>
      <c r="AE332">
        <v>9.1059965515630115E-2</v>
      </c>
    </row>
    <row r="333" spans="7:31" x14ac:dyDescent="0.25">
      <c r="G333" s="2"/>
      <c r="I333" s="2">
        <v>47574</v>
      </c>
      <c r="J333">
        <v>25640.5</v>
      </c>
      <c r="L333" s="2"/>
      <c r="P333" s="2">
        <v>31444</v>
      </c>
      <c r="Q333">
        <v>2512.9</v>
      </c>
      <c r="R333">
        <f t="shared" si="20"/>
        <v>6.5278975874284662E-2</v>
      </c>
      <c r="U333" s="2">
        <v>27061</v>
      </c>
      <c r="V333">
        <v>47.3</v>
      </c>
      <c r="W333">
        <f t="shared" si="21"/>
        <v>9.5310179804324768E-2</v>
      </c>
      <c r="Y333" s="2">
        <f t="shared" si="22"/>
        <v>31444</v>
      </c>
      <c r="Z333">
        <f t="shared" si="23"/>
        <v>6.5278975874284662E-2</v>
      </c>
      <c r="AA333">
        <f t="shared" si="24"/>
        <v>9.5310179804324768E-2</v>
      </c>
      <c r="AD333" s="2">
        <v>27607</v>
      </c>
      <c r="AE333">
        <v>8.2659905688127644E-2</v>
      </c>
    </row>
    <row r="334" spans="7:31" x14ac:dyDescent="0.25">
      <c r="G334" s="2"/>
      <c r="I334" s="2">
        <v>47665</v>
      </c>
      <c r="J334">
        <v>25762.3</v>
      </c>
      <c r="L334" s="2"/>
      <c r="P334" s="2">
        <v>31472</v>
      </c>
      <c r="Q334">
        <v>2533.1</v>
      </c>
      <c r="R334">
        <f t="shared" si="20"/>
        <v>6.815855628164158E-2</v>
      </c>
      <c r="U334" s="2">
        <v>27089</v>
      </c>
      <c r="V334">
        <v>47.8</v>
      </c>
      <c r="W334">
        <f t="shared" si="21"/>
        <v>9.656619839105085E-2</v>
      </c>
      <c r="Y334" s="2">
        <f t="shared" si="22"/>
        <v>31472</v>
      </c>
      <c r="Z334">
        <f t="shared" si="23"/>
        <v>6.815855628164158E-2</v>
      </c>
      <c r="AA334">
        <f t="shared" si="24"/>
        <v>9.656619839105085E-2</v>
      </c>
      <c r="AD334" s="2">
        <v>27638</v>
      </c>
      <c r="AE334">
        <v>7.6082306457439408E-2</v>
      </c>
    </row>
    <row r="335" spans="7:31" x14ac:dyDescent="0.25">
      <c r="G335" s="2"/>
      <c r="I335" s="2">
        <v>47757</v>
      </c>
      <c r="J335">
        <v>25883.919999999998</v>
      </c>
      <c r="L335" s="2"/>
      <c r="P335" s="2">
        <v>31503</v>
      </c>
      <c r="Q335">
        <v>2557.8000000000002</v>
      </c>
      <c r="R335">
        <f t="shared" si="20"/>
        <v>7.398166965908004E-2</v>
      </c>
      <c r="U335" s="2">
        <v>27120</v>
      </c>
      <c r="V335">
        <v>48.1</v>
      </c>
      <c r="W335">
        <f t="shared" si="21"/>
        <v>9.5934075010171149E-2</v>
      </c>
      <c r="Y335" s="2">
        <f t="shared" si="22"/>
        <v>31503</v>
      </c>
      <c r="Z335">
        <f t="shared" si="23"/>
        <v>7.398166965908004E-2</v>
      </c>
      <c r="AA335">
        <f t="shared" si="24"/>
        <v>9.5934075010171149E-2</v>
      </c>
      <c r="AD335" s="2">
        <v>27668</v>
      </c>
      <c r="AE335">
        <v>7.3687715791158848E-2</v>
      </c>
    </row>
    <row r="336" spans="7:31" x14ac:dyDescent="0.25">
      <c r="G336" s="2"/>
      <c r="I336" s="2">
        <v>47849</v>
      </c>
      <c r="J336">
        <v>26005.13</v>
      </c>
      <c r="L336" s="2"/>
      <c r="P336" s="2">
        <v>31533</v>
      </c>
      <c r="Q336">
        <v>2584.8000000000002</v>
      </c>
      <c r="R336">
        <f t="shared" si="20"/>
        <v>7.8563996492076349E-2</v>
      </c>
      <c r="U336" s="2">
        <v>27150</v>
      </c>
      <c r="V336">
        <v>48.6</v>
      </c>
      <c r="W336">
        <f t="shared" si="21"/>
        <v>0.10170921082532258</v>
      </c>
      <c r="Y336" s="2">
        <f t="shared" si="22"/>
        <v>31533</v>
      </c>
      <c r="Z336">
        <f t="shared" si="23"/>
        <v>7.8563996492076349E-2</v>
      </c>
      <c r="AA336">
        <f t="shared" si="24"/>
        <v>0.10170921082532258</v>
      </c>
      <c r="AD336" s="2">
        <v>27699</v>
      </c>
      <c r="AE336">
        <v>7.1191100858598588E-2</v>
      </c>
    </row>
    <row r="337" spans="7:31" x14ac:dyDescent="0.25">
      <c r="G337" s="2"/>
      <c r="I337" s="2">
        <v>47939</v>
      </c>
      <c r="J337">
        <v>26126.15</v>
      </c>
      <c r="L337" s="2"/>
      <c r="P337" s="2">
        <v>31564</v>
      </c>
      <c r="Q337">
        <v>2605</v>
      </c>
      <c r="R337">
        <f t="shared" si="20"/>
        <v>7.6727671056183944E-2</v>
      </c>
      <c r="U337" s="2">
        <v>27181</v>
      </c>
      <c r="V337">
        <v>49</v>
      </c>
      <c r="W337">
        <f t="shared" si="21"/>
        <v>0.10309550902697406</v>
      </c>
      <c r="Y337" s="2">
        <f t="shared" si="22"/>
        <v>31564</v>
      </c>
      <c r="Z337">
        <f t="shared" si="23"/>
        <v>7.6727671056183944E-2</v>
      </c>
      <c r="AA337">
        <f t="shared" si="24"/>
        <v>0.10309550902697406</v>
      </c>
      <c r="AD337" s="2">
        <v>27729</v>
      </c>
      <c r="AE337">
        <v>6.8864411084693433E-2</v>
      </c>
    </row>
    <row r="338" spans="7:31" x14ac:dyDescent="0.25">
      <c r="G338" s="2"/>
      <c r="I338" s="2">
        <v>48030</v>
      </c>
      <c r="J338">
        <v>26246.97</v>
      </c>
      <c r="L338" s="2"/>
      <c r="P338" s="2">
        <v>31594</v>
      </c>
      <c r="Q338">
        <v>2626.6</v>
      </c>
      <c r="R338">
        <f t="shared" si="20"/>
        <v>7.8004759305102311E-2</v>
      </c>
      <c r="U338" s="2">
        <v>27211</v>
      </c>
      <c r="V338">
        <v>49.3</v>
      </c>
      <c r="W338">
        <f t="shared" si="21"/>
        <v>0.10919929196499201</v>
      </c>
      <c r="Y338" s="2">
        <f t="shared" si="22"/>
        <v>31594</v>
      </c>
      <c r="Z338">
        <f t="shared" si="23"/>
        <v>7.8004759305102311E-2</v>
      </c>
      <c r="AA338">
        <f t="shared" si="24"/>
        <v>0.10919929196499201</v>
      </c>
      <c r="AD338" s="2">
        <v>27760</v>
      </c>
      <c r="AE338">
        <v>6.4777498316387572E-2</v>
      </c>
    </row>
    <row r="339" spans="7:31" x14ac:dyDescent="0.25">
      <c r="G339" s="2"/>
      <c r="I339" s="2">
        <v>48122</v>
      </c>
      <c r="J339">
        <v>26367.56</v>
      </c>
      <c r="L339" s="2"/>
      <c r="P339" s="2">
        <v>31625</v>
      </c>
      <c r="Q339">
        <v>2646.5</v>
      </c>
      <c r="R339">
        <f t="shared" si="20"/>
        <v>7.9601971006556305E-2</v>
      </c>
      <c r="U339" s="2">
        <v>27242</v>
      </c>
      <c r="V339">
        <v>49.9</v>
      </c>
      <c r="W339">
        <f t="shared" si="21"/>
        <v>0.10335851298715326</v>
      </c>
      <c r="Y339" s="2">
        <f t="shared" si="22"/>
        <v>31625</v>
      </c>
      <c r="Z339">
        <f t="shared" si="23"/>
        <v>7.9601971006556305E-2</v>
      </c>
      <c r="AA339">
        <f t="shared" si="24"/>
        <v>0.10335851298715326</v>
      </c>
      <c r="AD339" s="2">
        <v>27791</v>
      </c>
      <c r="AE339">
        <v>6.0848260417389E-2</v>
      </c>
    </row>
    <row r="340" spans="7:31" x14ac:dyDescent="0.25">
      <c r="G340" s="2"/>
      <c r="I340" s="2">
        <v>48214</v>
      </c>
      <c r="J340">
        <v>26487.91</v>
      </c>
      <c r="L340" s="2"/>
      <c r="P340" s="2">
        <v>31656</v>
      </c>
      <c r="Q340">
        <v>2667.8</v>
      </c>
      <c r="R340">
        <f t="shared" ref="R340:R403" si="25">LN(Q340)-LN(Q328)</f>
        <v>8.2557299251699412E-2</v>
      </c>
      <c r="U340" s="2">
        <v>27273</v>
      </c>
      <c r="V340">
        <v>50.6</v>
      </c>
      <c r="W340">
        <f t="shared" ref="W340:W403" si="26">LN(V340)-LN(V328)</f>
        <v>0.11285448945523413</v>
      </c>
      <c r="Y340" s="2">
        <f t="shared" si="22"/>
        <v>31656</v>
      </c>
      <c r="Z340">
        <f t="shared" si="23"/>
        <v>8.2557299251699412E-2</v>
      </c>
      <c r="AA340">
        <f t="shared" si="24"/>
        <v>0.11285448945523413</v>
      </c>
      <c r="AD340" s="2">
        <v>27820</v>
      </c>
      <c r="AE340">
        <v>5.8840500022933728E-2</v>
      </c>
    </row>
    <row r="341" spans="7:31" x14ac:dyDescent="0.25">
      <c r="G341" s="2"/>
      <c r="I341" s="2">
        <v>48305</v>
      </c>
      <c r="J341">
        <v>26608.15</v>
      </c>
      <c r="L341" s="2"/>
      <c r="P341" s="2">
        <v>31686</v>
      </c>
      <c r="Q341">
        <v>2687.4</v>
      </c>
      <c r="R341">
        <f t="shared" si="25"/>
        <v>8.5166077416030994E-2</v>
      </c>
      <c r="U341" s="2">
        <v>27303</v>
      </c>
      <c r="V341">
        <v>51</v>
      </c>
      <c r="W341">
        <f t="shared" si="26"/>
        <v>0.11191791620398517</v>
      </c>
      <c r="Y341" s="2">
        <f t="shared" ref="Y341:Y404" si="27">P341</f>
        <v>31686</v>
      </c>
      <c r="Z341">
        <f t="shared" ref="Z341:Z404" si="28">R341</f>
        <v>8.5166077416030994E-2</v>
      </c>
      <c r="AA341">
        <f t="shared" ref="AA341:AA404" si="29">W341</f>
        <v>0.11191791620398517</v>
      </c>
      <c r="AD341" s="2">
        <v>27851</v>
      </c>
      <c r="AE341">
        <v>5.6843898976528973E-2</v>
      </c>
    </row>
    <row r="342" spans="7:31" x14ac:dyDescent="0.25">
      <c r="G342" s="2"/>
      <c r="I342" s="2">
        <v>48396</v>
      </c>
      <c r="J342">
        <v>26728.19</v>
      </c>
      <c r="L342" s="2"/>
      <c r="P342" s="2">
        <v>31717</v>
      </c>
      <c r="Q342">
        <v>2701.3</v>
      </c>
      <c r="R342">
        <f t="shared" si="25"/>
        <v>8.636206891724818E-2</v>
      </c>
      <c r="U342" s="2">
        <v>27334</v>
      </c>
      <c r="V342">
        <v>51.5</v>
      </c>
      <c r="W342">
        <f t="shared" si="26"/>
        <v>0.11511669060319107</v>
      </c>
      <c r="Y342" s="2">
        <f t="shared" si="27"/>
        <v>31717</v>
      </c>
      <c r="Z342">
        <f t="shared" si="28"/>
        <v>8.636206891724818E-2</v>
      </c>
      <c r="AA342">
        <f t="shared" si="29"/>
        <v>0.11511669060319107</v>
      </c>
      <c r="AD342" s="2">
        <v>27881</v>
      </c>
      <c r="AE342">
        <v>6.0292230256119961E-2</v>
      </c>
    </row>
    <row r="343" spans="7:31" x14ac:dyDescent="0.25">
      <c r="G343" s="2"/>
      <c r="I343" s="2">
        <v>48488</v>
      </c>
      <c r="J343">
        <v>26848.01</v>
      </c>
      <c r="L343" s="2"/>
      <c r="P343" s="2">
        <v>31747</v>
      </c>
      <c r="Q343">
        <v>2728</v>
      </c>
      <c r="R343">
        <f t="shared" si="25"/>
        <v>9.044301145021727E-2</v>
      </c>
      <c r="U343" s="2">
        <v>27364</v>
      </c>
      <c r="V343">
        <v>51.9</v>
      </c>
      <c r="W343">
        <f t="shared" si="26"/>
        <v>0.11417682907965476</v>
      </c>
      <c r="Y343" s="2">
        <f t="shared" si="27"/>
        <v>31747</v>
      </c>
      <c r="Z343">
        <f t="shared" si="28"/>
        <v>9.044301145021727E-2</v>
      </c>
      <c r="AA343">
        <f t="shared" si="29"/>
        <v>0.11417682907965476</v>
      </c>
      <c r="AD343" s="2">
        <v>27912</v>
      </c>
      <c r="AE343">
        <v>5.8092556831745856E-2</v>
      </c>
    </row>
    <row r="344" spans="7:31" x14ac:dyDescent="0.25">
      <c r="G344" s="2"/>
      <c r="I344" s="2">
        <v>48580</v>
      </c>
      <c r="J344">
        <v>26967.67</v>
      </c>
      <c r="L344" s="2"/>
      <c r="P344" s="2">
        <v>31778</v>
      </c>
      <c r="Q344">
        <v>2743.9</v>
      </c>
      <c r="R344">
        <f t="shared" si="25"/>
        <v>9.2249886779284473E-2</v>
      </c>
      <c r="U344" s="2">
        <v>27395</v>
      </c>
      <c r="V344">
        <v>52.3</v>
      </c>
      <c r="W344">
        <f t="shared" si="26"/>
        <v>0.11111316814727612</v>
      </c>
      <c r="Y344" s="2">
        <f t="shared" si="27"/>
        <v>31778</v>
      </c>
      <c r="Z344">
        <f t="shared" si="28"/>
        <v>9.2249886779284473E-2</v>
      </c>
      <c r="AA344">
        <f t="shared" si="29"/>
        <v>0.11111316814727612</v>
      </c>
      <c r="AD344" s="2">
        <v>27942</v>
      </c>
      <c r="AE344">
        <v>5.4067221270275745E-2</v>
      </c>
    </row>
    <row r="345" spans="7:31" x14ac:dyDescent="0.25">
      <c r="G345" s="2"/>
      <c r="I345" s="2">
        <v>48670</v>
      </c>
      <c r="J345">
        <v>27087.21</v>
      </c>
      <c r="L345" s="2"/>
      <c r="P345" s="2">
        <v>31809</v>
      </c>
      <c r="Q345">
        <v>2747.5</v>
      </c>
      <c r="R345">
        <f t="shared" si="25"/>
        <v>8.9253942601954073E-2</v>
      </c>
      <c r="U345" s="2">
        <v>27426</v>
      </c>
      <c r="V345">
        <v>52.6</v>
      </c>
      <c r="W345">
        <f t="shared" si="26"/>
        <v>0.10620582424577707</v>
      </c>
      <c r="Y345" s="2">
        <f t="shared" si="27"/>
        <v>31809</v>
      </c>
      <c r="Z345">
        <f t="shared" si="28"/>
        <v>8.9253942601954073E-2</v>
      </c>
      <c r="AA345">
        <f t="shared" si="29"/>
        <v>0.10620582424577707</v>
      </c>
      <c r="AD345" s="2">
        <v>27973</v>
      </c>
      <c r="AE345">
        <v>5.5619715275093462E-2</v>
      </c>
    </row>
    <row r="346" spans="7:31" x14ac:dyDescent="0.25">
      <c r="G346" s="2"/>
      <c r="I346" s="2">
        <v>48761</v>
      </c>
      <c r="J346">
        <v>27206.7</v>
      </c>
      <c r="L346" s="2"/>
      <c r="P346" s="2">
        <v>31837</v>
      </c>
      <c r="Q346">
        <v>2753.7</v>
      </c>
      <c r="R346">
        <f t="shared" si="25"/>
        <v>8.3501612791950564E-2</v>
      </c>
      <c r="U346" s="2">
        <v>27454</v>
      </c>
      <c r="V346">
        <v>52.8</v>
      </c>
      <c r="W346">
        <f t="shared" si="26"/>
        <v>9.9485551214805845E-2</v>
      </c>
      <c r="Y346" s="2">
        <f t="shared" si="27"/>
        <v>31837</v>
      </c>
      <c r="Z346">
        <f t="shared" si="28"/>
        <v>8.3501612791950564E-2</v>
      </c>
      <c r="AA346">
        <f t="shared" si="29"/>
        <v>9.9485551214805845E-2</v>
      </c>
      <c r="AD346" s="2">
        <v>28004</v>
      </c>
      <c r="AE346">
        <v>5.3488684950986354E-2</v>
      </c>
    </row>
    <row r="347" spans="7:31" x14ac:dyDescent="0.25">
      <c r="G347" s="2"/>
      <c r="I347" s="2">
        <v>48853</v>
      </c>
      <c r="J347">
        <v>27326.18</v>
      </c>
      <c r="L347" s="2"/>
      <c r="P347" s="2">
        <v>31868</v>
      </c>
      <c r="Q347">
        <v>2767.7</v>
      </c>
      <c r="R347">
        <f t="shared" si="25"/>
        <v>7.8869136361750414E-2</v>
      </c>
      <c r="U347" s="2">
        <v>27485</v>
      </c>
      <c r="V347">
        <v>53</v>
      </c>
      <c r="W347">
        <f t="shared" si="26"/>
        <v>9.7009736440406336E-2</v>
      </c>
      <c r="Y347" s="2">
        <f t="shared" si="27"/>
        <v>31868</v>
      </c>
      <c r="Z347">
        <f t="shared" si="28"/>
        <v>7.8869136361750414E-2</v>
      </c>
      <c r="AA347">
        <f t="shared" si="29"/>
        <v>9.7009736440406336E-2</v>
      </c>
      <c r="AD347" s="2">
        <v>28034</v>
      </c>
      <c r="AE347">
        <v>5.3204036063465132E-2</v>
      </c>
    </row>
    <row r="348" spans="7:31" x14ac:dyDescent="0.25">
      <c r="G348" s="2"/>
      <c r="I348" s="2">
        <v>48945</v>
      </c>
      <c r="J348">
        <v>27445.78</v>
      </c>
      <c r="L348" s="2"/>
      <c r="P348" s="2">
        <v>31898</v>
      </c>
      <c r="Q348">
        <v>2772.9</v>
      </c>
      <c r="R348">
        <f t="shared" si="25"/>
        <v>7.0245568428553007E-2</v>
      </c>
      <c r="U348" s="2">
        <v>27515</v>
      </c>
      <c r="V348">
        <v>53.1</v>
      </c>
      <c r="W348">
        <f t="shared" si="26"/>
        <v>8.8553397341445184E-2</v>
      </c>
      <c r="Y348" s="2">
        <f t="shared" si="27"/>
        <v>31898</v>
      </c>
      <c r="Z348">
        <f t="shared" si="28"/>
        <v>7.0245568428553007E-2</v>
      </c>
      <c r="AA348">
        <f t="shared" si="29"/>
        <v>8.8553397341445184E-2</v>
      </c>
      <c r="AD348" s="2">
        <v>28065</v>
      </c>
      <c r="AE348">
        <v>4.9392755329576765E-2</v>
      </c>
    </row>
    <row r="349" spans="7:31" x14ac:dyDescent="0.25">
      <c r="G349" s="2"/>
      <c r="I349" s="2">
        <v>49035</v>
      </c>
      <c r="J349">
        <v>27565.360000000001</v>
      </c>
      <c r="L349" s="2"/>
      <c r="P349" s="2">
        <v>31929</v>
      </c>
      <c r="Q349">
        <v>2774.6</v>
      </c>
      <c r="R349">
        <f t="shared" si="25"/>
        <v>6.3073917459157691E-2</v>
      </c>
      <c r="U349" s="2">
        <v>27546</v>
      </c>
      <c r="V349">
        <v>53.5</v>
      </c>
      <c r="W349">
        <f t="shared" si="26"/>
        <v>8.7861355791334361E-2</v>
      </c>
      <c r="Y349" s="2">
        <f t="shared" si="27"/>
        <v>31929</v>
      </c>
      <c r="Z349">
        <f t="shared" si="28"/>
        <v>6.3073917459157691E-2</v>
      </c>
      <c r="AA349">
        <f t="shared" si="29"/>
        <v>8.7861355791334361E-2</v>
      </c>
      <c r="AD349" s="2">
        <v>28095</v>
      </c>
      <c r="AE349">
        <v>4.9132688577644856E-2</v>
      </c>
    </row>
    <row r="350" spans="7:31" x14ac:dyDescent="0.25">
      <c r="G350" s="2"/>
      <c r="I350" s="2">
        <v>49126</v>
      </c>
      <c r="J350">
        <v>27684.89</v>
      </c>
      <c r="L350" s="2"/>
      <c r="P350" s="2">
        <v>31959</v>
      </c>
      <c r="Q350">
        <v>2779</v>
      </c>
      <c r="R350">
        <f t="shared" si="25"/>
        <v>5.6400916591443639E-2</v>
      </c>
      <c r="U350" s="2">
        <v>27576</v>
      </c>
      <c r="V350">
        <v>54</v>
      </c>
      <c r="W350">
        <f t="shared" si="26"/>
        <v>9.1059965515630115E-2</v>
      </c>
      <c r="Y350" s="2">
        <f t="shared" si="27"/>
        <v>31959</v>
      </c>
      <c r="Z350">
        <f t="shared" si="28"/>
        <v>5.6400916591443639E-2</v>
      </c>
      <c r="AA350">
        <f t="shared" si="29"/>
        <v>9.1059965515630115E-2</v>
      </c>
      <c r="AD350" s="2">
        <v>28126</v>
      </c>
      <c r="AE350">
        <v>5.0665857446785978E-2</v>
      </c>
    </row>
    <row r="351" spans="7:31" x14ac:dyDescent="0.25">
      <c r="G351" s="2"/>
      <c r="I351" s="2">
        <v>49218</v>
      </c>
      <c r="J351">
        <v>27804.37</v>
      </c>
      <c r="L351" s="2"/>
      <c r="P351" s="2">
        <v>31990</v>
      </c>
      <c r="Q351">
        <v>2788.2</v>
      </c>
      <c r="R351">
        <f t="shared" si="25"/>
        <v>5.2158214020945337E-2</v>
      </c>
      <c r="U351" s="2">
        <v>27607</v>
      </c>
      <c r="V351">
        <v>54.2</v>
      </c>
      <c r="W351">
        <f t="shared" si="26"/>
        <v>8.2659905688127644E-2</v>
      </c>
      <c r="Y351" s="2">
        <f t="shared" si="27"/>
        <v>31990</v>
      </c>
      <c r="Z351">
        <f t="shared" si="28"/>
        <v>5.2158214020945337E-2</v>
      </c>
      <c r="AA351">
        <f t="shared" si="29"/>
        <v>8.2659905688127644E-2</v>
      </c>
      <c r="AD351" s="2">
        <v>28157</v>
      </c>
      <c r="AE351">
        <v>5.9044925842626661E-2</v>
      </c>
    </row>
    <row r="352" spans="7:31" x14ac:dyDescent="0.25">
      <c r="G352" s="2"/>
      <c r="L352" s="2"/>
      <c r="P352" s="2">
        <v>32021</v>
      </c>
      <c r="Q352">
        <v>2799.5</v>
      </c>
      <c r="R352">
        <f t="shared" si="25"/>
        <v>4.8186667082004142E-2</v>
      </c>
      <c r="U352" s="2">
        <v>27638</v>
      </c>
      <c r="V352">
        <v>54.6</v>
      </c>
      <c r="W352">
        <f t="shared" si="26"/>
        <v>7.6082306457439408E-2</v>
      </c>
      <c r="Y352" s="2">
        <f t="shared" si="27"/>
        <v>32021</v>
      </c>
      <c r="Z352">
        <f t="shared" si="28"/>
        <v>4.8186667082004142E-2</v>
      </c>
      <c r="AA352">
        <f t="shared" si="29"/>
        <v>7.6082306457439408E-2</v>
      </c>
      <c r="AD352" s="2">
        <v>28185</v>
      </c>
      <c r="AE352">
        <v>6.2303883336154442E-2</v>
      </c>
    </row>
    <row r="353" spans="7:31" x14ac:dyDescent="0.25">
      <c r="G353" s="2"/>
      <c r="L353" s="2"/>
      <c r="P353" s="2">
        <v>32051</v>
      </c>
      <c r="Q353">
        <v>2814.8</v>
      </c>
      <c r="R353">
        <f t="shared" si="25"/>
        <v>4.6317027651084253E-2</v>
      </c>
      <c r="U353" s="2">
        <v>27668</v>
      </c>
      <c r="V353">
        <v>54.9</v>
      </c>
      <c r="W353">
        <f t="shared" si="26"/>
        <v>7.3687715791158848E-2</v>
      </c>
      <c r="Y353" s="2">
        <f t="shared" si="27"/>
        <v>32051</v>
      </c>
      <c r="Z353">
        <f t="shared" si="28"/>
        <v>4.6317027651084253E-2</v>
      </c>
      <c r="AA353">
        <f t="shared" si="29"/>
        <v>7.3687715791158848E-2</v>
      </c>
      <c r="AD353" s="2">
        <v>28216</v>
      </c>
      <c r="AE353">
        <v>6.7208749693449477E-2</v>
      </c>
    </row>
    <row r="354" spans="7:31" x14ac:dyDescent="0.25">
      <c r="G354" s="2"/>
      <c r="L354" s="2"/>
      <c r="P354" s="2">
        <v>32082</v>
      </c>
      <c r="Q354">
        <v>2818.9</v>
      </c>
      <c r="R354">
        <f t="shared" si="25"/>
        <v>4.2613599313835238E-2</v>
      </c>
      <c r="U354" s="2">
        <v>27699</v>
      </c>
      <c r="V354">
        <v>55.3</v>
      </c>
      <c r="W354">
        <f t="shared" si="26"/>
        <v>7.1191100858598588E-2</v>
      </c>
      <c r="Y354" s="2">
        <f t="shared" si="27"/>
        <v>32082</v>
      </c>
      <c r="Z354">
        <f t="shared" si="28"/>
        <v>4.2613599313835238E-2</v>
      </c>
      <c r="AA354">
        <f t="shared" si="29"/>
        <v>7.1191100858598588E-2</v>
      </c>
      <c r="AD354" s="2">
        <v>28246</v>
      </c>
      <c r="AE354">
        <v>6.520319381076245E-2</v>
      </c>
    </row>
    <row r="355" spans="7:31" x14ac:dyDescent="0.25">
      <c r="G355" s="2"/>
      <c r="L355" s="2"/>
      <c r="P355" s="2">
        <v>32112</v>
      </c>
      <c r="Q355">
        <v>2826.4</v>
      </c>
      <c r="R355">
        <f t="shared" si="25"/>
        <v>3.5435077081582556E-2</v>
      </c>
      <c r="U355" s="2">
        <v>27729</v>
      </c>
      <c r="V355">
        <v>55.6</v>
      </c>
      <c r="W355">
        <f t="shared" si="26"/>
        <v>6.8864411084693433E-2</v>
      </c>
      <c r="Y355" s="2">
        <f t="shared" si="27"/>
        <v>32112</v>
      </c>
      <c r="Z355">
        <f t="shared" si="28"/>
        <v>3.5435077081582556E-2</v>
      </c>
      <c r="AA355">
        <f t="shared" si="29"/>
        <v>6.8864411084693433E-2</v>
      </c>
      <c r="AD355" s="2">
        <v>28277</v>
      </c>
      <c r="AE355">
        <v>6.486915430308926E-2</v>
      </c>
    </row>
    <row r="356" spans="7:31" x14ac:dyDescent="0.25">
      <c r="G356" s="2"/>
      <c r="L356" s="2"/>
      <c r="P356" s="2">
        <v>32143</v>
      </c>
      <c r="Q356">
        <v>2847.4</v>
      </c>
      <c r="R356">
        <f t="shared" si="25"/>
        <v>3.7026031146624838E-2</v>
      </c>
      <c r="U356" s="2">
        <v>27760</v>
      </c>
      <c r="V356">
        <v>55.8</v>
      </c>
      <c r="W356">
        <f t="shared" si="26"/>
        <v>6.4777498316387572E-2</v>
      </c>
      <c r="Y356" s="2">
        <f t="shared" si="27"/>
        <v>32143</v>
      </c>
      <c r="Z356">
        <f t="shared" si="28"/>
        <v>3.7026031146624838E-2</v>
      </c>
      <c r="AA356">
        <f t="shared" si="29"/>
        <v>6.4777498316387572E-2</v>
      </c>
      <c r="AD356" s="2">
        <v>28307</v>
      </c>
      <c r="AE356">
        <v>6.4538521137571081E-2</v>
      </c>
    </row>
    <row r="357" spans="7:31" x14ac:dyDescent="0.25">
      <c r="G357" s="2"/>
      <c r="L357" s="2"/>
      <c r="P357" s="2">
        <v>32174</v>
      </c>
      <c r="Q357">
        <v>2870.4</v>
      </c>
      <c r="R357">
        <f t="shared" si="25"/>
        <v>4.37599855867008E-2</v>
      </c>
      <c r="U357" s="2">
        <v>27791</v>
      </c>
      <c r="V357">
        <v>55.9</v>
      </c>
      <c r="W357">
        <f t="shared" si="26"/>
        <v>6.0848260417389E-2</v>
      </c>
      <c r="Y357" s="2">
        <f t="shared" si="27"/>
        <v>32174</v>
      </c>
      <c r="Z357">
        <f t="shared" si="28"/>
        <v>4.37599855867008E-2</v>
      </c>
      <c r="AA357">
        <f t="shared" si="29"/>
        <v>6.0848260417389E-2</v>
      </c>
      <c r="AD357" s="2">
        <v>28338</v>
      </c>
      <c r="AE357">
        <v>6.4211242456855722E-2</v>
      </c>
    </row>
    <row r="358" spans="7:31" x14ac:dyDescent="0.25">
      <c r="G358" s="2"/>
      <c r="L358" s="2"/>
      <c r="P358" s="2">
        <v>32203</v>
      </c>
      <c r="Q358">
        <v>2890.7</v>
      </c>
      <c r="R358">
        <f t="shared" si="25"/>
        <v>4.8553225416990919E-2</v>
      </c>
      <c r="U358" s="2">
        <v>27820</v>
      </c>
      <c r="V358">
        <v>56</v>
      </c>
      <c r="W358">
        <f t="shared" si="26"/>
        <v>5.8840500022933728E-2</v>
      </c>
      <c r="Y358" s="2">
        <f t="shared" si="27"/>
        <v>32203</v>
      </c>
      <c r="Z358">
        <f t="shared" si="28"/>
        <v>4.8553225416990919E-2</v>
      </c>
      <c r="AA358">
        <f t="shared" si="29"/>
        <v>5.8840500022933728E-2</v>
      </c>
      <c r="AD358" s="2">
        <v>28369</v>
      </c>
      <c r="AE358">
        <v>6.2257275240320098E-2</v>
      </c>
    </row>
    <row r="359" spans="7:31" x14ac:dyDescent="0.25">
      <c r="G359" s="2"/>
      <c r="L359" s="2"/>
      <c r="P359" s="2">
        <v>32234</v>
      </c>
      <c r="Q359">
        <v>2910.7</v>
      </c>
      <c r="R359">
        <f t="shared" si="25"/>
        <v>5.0376951705275452E-2</v>
      </c>
      <c r="U359" s="2">
        <v>27851</v>
      </c>
      <c r="V359">
        <v>56.1</v>
      </c>
      <c r="W359">
        <f t="shared" si="26"/>
        <v>5.6843898976528973E-2</v>
      </c>
      <c r="Y359" s="2">
        <f t="shared" si="27"/>
        <v>32234</v>
      </c>
      <c r="Z359">
        <f t="shared" si="28"/>
        <v>5.0376951705275452E-2</v>
      </c>
      <c r="AA359">
        <f t="shared" si="29"/>
        <v>5.6843898976528973E-2</v>
      </c>
      <c r="AD359" s="2">
        <v>28399</v>
      </c>
      <c r="AE359">
        <v>6.1944485960524709E-2</v>
      </c>
    </row>
    <row r="360" spans="7:31" x14ac:dyDescent="0.25">
      <c r="G360" s="2"/>
      <c r="L360" s="2"/>
      <c r="P360" s="2">
        <v>32264</v>
      </c>
      <c r="Q360">
        <v>2926</v>
      </c>
      <c r="R360">
        <f t="shared" si="25"/>
        <v>5.3742598641227879E-2</v>
      </c>
      <c r="U360" s="2">
        <v>27881</v>
      </c>
      <c r="V360">
        <v>56.4</v>
      </c>
      <c r="W360">
        <f t="shared" si="26"/>
        <v>6.0292230256119961E-2</v>
      </c>
      <c r="Y360" s="2">
        <f t="shared" si="27"/>
        <v>32264</v>
      </c>
      <c r="Z360">
        <f t="shared" si="28"/>
        <v>5.3742598641227879E-2</v>
      </c>
      <c r="AA360">
        <f t="shared" si="29"/>
        <v>6.0292230256119961E-2</v>
      </c>
      <c r="AD360" s="2">
        <v>28430</v>
      </c>
      <c r="AE360">
        <v>6.4968721187225853E-2</v>
      </c>
    </row>
    <row r="361" spans="7:31" x14ac:dyDescent="0.25">
      <c r="G361" s="2"/>
      <c r="L361" s="2"/>
      <c r="P361" s="2">
        <v>32295</v>
      </c>
      <c r="Q361">
        <v>2938.4</v>
      </c>
      <c r="R361">
        <f t="shared" si="25"/>
        <v>5.7358622858832753E-2</v>
      </c>
      <c r="U361" s="2">
        <v>27912</v>
      </c>
      <c r="V361">
        <v>56.7</v>
      </c>
      <c r="W361">
        <f t="shared" si="26"/>
        <v>5.8092556831745856E-2</v>
      </c>
      <c r="Y361" s="2">
        <f t="shared" si="27"/>
        <v>32295</v>
      </c>
      <c r="Z361">
        <f t="shared" si="28"/>
        <v>5.7358622858832753E-2</v>
      </c>
      <c r="AA361">
        <f t="shared" si="29"/>
        <v>5.8092556831745856E-2</v>
      </c>
      <c r="AD361" s="2">
        <v>28460</v>
      </c>
      <c r="AE361">
        <v>6.4645535959225953E-2</v>
      </c>
    </row>
    <row r="362" spans="7:31" x14ac:dyDescent="0.25">
      <c r="G362" s="2"/>
      <c r="L362" s="2"/>
      <c r="P362" s="2">
        <v>32325</v>
      </c>
      <c r="Q362">
        <v>2947.2</v>
      </c>
      <c r="R362">
        <f t="shared" si="25"/>
        <v>5.8764416318484614E-2</v>
      </c>
      <c r="U362" s="2">
        <v>27942</v>
      </c>
      <c r="V362">
        <v>57</v>
      </c>
      <c r="W362">
        <f t="shared" si="26"/>
        <v>5.4067221270275745E-2</v>
      </c>
      <c r="Y362" s="2">
        <f t="shared" si="27"/>
        <v>32325</v>
      </c>
      <c r="Z362">
        <f t="shared" si="28"/>
        <v>5.8764416318484614E-2</v>
      </c>
      <c r="AA362">
        <f t="shared" si="29"/>
        <v>5.4067221270275745E-2</v>
      </c>
      <c r="AD362" s="2">
        <v>28491</v>
      </c>
      <c r="AE362">
        <v>6.5921720804824169E-2</v>
      </c>
    </row>
    <row r="363" spans="7:31" x14ac:dyDescent="0.25">
      <c r="G363" s="2"/>
      <c r="L363" s="2"/>
      <c r="P363" s="2">
        <v>32356</v>
      </c>
      <c r="Q363">
        <v>2952</v>
      </c>
      <c r="R363">
        <f t="shared" si="25"/>
        <v>5.70866804013761E-2</v>
      </c>
      <c r="U363" s="2">
        <v>27973</v>
      </c>
      <c r="V363">
        <v>57.3</v>
      </c>
      <c r="W363">
        <f t="shared" si="26"/>
        <v>5.5619715275093462E-2</v>
      </c>
      <c r="Y363" s="2">
        <f t="shared" si="27"/>
        <v>32356</v>
      </c>
      <c r="Z363">
        <f t="shared" si="28"/>
        <v>5.70866804013761E-2</v>
      </c>
      <c r="AA363">
        <f t="shared" si="29"/>
        <v>5.5619715275093462E-2</v>
      </c>
      <c r="AD363" s="2">
        <v>28522</v>
      </c>
      <c r="AE363">
        <v>6.0525420387852691E-2</v>
      </c>
    </row>
    <row r="364" spans="7:31" x14ac:dyDescent="0.25">
      <c r="G364" s="2"/>
      <c r="L364" s="2"/>
      <c r="P364" s="2">
        <v>32387</v>
      </c>
      <c r="Q364">
        <v>2956.9</v>
      </c>
      <c r="R364">
        <f t="shared" si="25"/>
        <v>5.4700592432842754E-2</v>
      </c>
      <c r="U364" s="2">
        <v>28004</v>
      </c>
      <c r="V364">
        <v>57.6</v>
      </c>
      <c r="W364">
        <f t="shared" si="26"/>
        <v>5.3488684950986354E-2</v>
      </c>
      <c r="Y364" s="2">
        <f t="shared" si="27"/>
        <v>32387</v>
      </c>
      <c r="Z364">
        <f t="shared" si="28"/>
        <v>5.4700592432842754E-2</v>
      </c>
      <c r="AA364">
        <f t="shared" si="29"/>
        <v>5.3488684950986354E-2</v>
      </c>
      <c r="AD364" s="2">
        <v>28550</v>
      </c>
      <c r="AE364">
        <v>6.1808287371875714E-2</v>
      </c>
    </row>
    <row r="365" spans="7:31" x14ac:dyDescent="0.25">
      <c r="G365" s="2"/>
      <c r="L365" s="2"/>
      <c r="P365" s="2">
        <v>32417</v>
      </c>
      <c r="Q365">
        <v>2965.3</v>
      </c>
      <c r="R365">
        <f t="shared" si="25"/>
        <v>5.2086996659484797E-2</v>
      </c>
      <c r="U365" s="2">
        <v>28034</v>
      </c>
      <c r="V365">
        <v>57.9</v>
      </c>
      <c r="W365">
        <f t="shared" si="26"/>
        <v>5.3204036063465132E-2</v>
      </c>
      <c r="Y365" s="2">
        <f t="shared" si="27"/>
        <v>32417</v>
      </c>
      <c r="Z365">
        <f t="shared" si="28"/>
        <v>5.2086996659484797E-2</v>
      </c>
      <c r="AA365">
        <f t="shared" si="29"/>
        <v>5.3204036063465132E-2</v>
      </c>
      <c r="AD365" s="2">
        <v>28581</v>
      </c>
      <c r="AE365">
        <v>6.2974799161388262E-2</v>
      </c>
    </row>
    <row r="366" spans="7:31" x14ac:dyDescent="0.25">
      <c r="G366" s="2"/>
      <c r="L366" s="2"/>
      <c r="P366" s="2">
        <v>32448</v>
      </c>
      <c r="Q366">
        <v>2980.2</v>
      </c>
      <c r="R366">
        <f t="shared" si="25"/>
        <v>5.5643674428638157E-2</v>
      </c>
      <c r="U366" s="2">
        <v>28065</v>
      </c>
      <c r="V366">
        <v>58.1</v>
      </c>
      <c r="W366">
        <f t="shared" si="26"/>
        <v>4.9392755329576765E-2</v>
      </c>
      <c r="Y366" s="2">
        <f t="shared" si="27"/>
        <v>32448</v>
      </c>
      <c r="Z366">
        <f t="shared" si="28"/>
        <v>5.5643674428638157E-2</v>
      </c>
      <c r="AA366">
        <f t="shared" si="29"/>
        <v>4.9392755329576765E-2</v>
      </c>
      <c r="AD366" s="2">
        <v>28611</v>
      </c>
      <c r="AE366">
        <v>6.8992871486950769E-2</v>
      </c>
    </row>
    <row r="367" spans="7:31" x14ac:dyDescent="0.25">
      <c r="G367" s="2"/>
      <c r="L367" s="2"/>
      <c r="P367" s="2">
        <v>32478</v>
      </c>
      <c r="Q367">
        <v>2988.2</v>
      </c>
      <c r="R367">
        <f t="shared" si="25"/>
        <v>5.566738237204838E-2</v>
      </c>
      <c r="U367" s="2">
        <v>28095</v>
      </c>
      <c r="V367">
        <v>58.4</v>
      </c>
      <c r="W367">
        <f t="shared" si="26"/>
        <v>4.9132688577644856E-2</v>
      </c>
      <c r="Y367" s="2">
        <f t="shared" si="27"/>
        <v>32478</v>
      </c>
      <c r="Z367">
        <f t="shared" si="28"/>
        <v>5.566738237204838E-2</v>
      </c>
      <c r="AA367">
        <f t="shared" si="29"/>
        <v>4.9132688577644856E-2</v>
      </c>
      <c r="AD367" s="2">
        <v>28642</v>
      </c>
      <c r="AE367">
        <v>7.1743904858840857E-2</v>
      </c>
    </row>
    <row r="368" spans="7:31" x14ac:dyDescent="0.25">
      <c r="G368" s="2"/>
      <c r="L368" s="2"/>
      <c r="P368" s="2">
        <v>32509</v>
      </c>
      <c r="Q368">
        <v>2991.7</v>
      </c>
      <c r="R368">
        <f t="shared" si="25"/>
        <v>4.9435490507933721E-2</v>
      </c>
      <c r="U368" s="2">
        <v>28126</v>
      </c>
      <c r="V368">
        <v>58.7</v>
      </c>
      <c r="W368">
        <f t="shared" si="26"/>
        <v>5.0665857446785978E-2</v>
      </c>
      <c r="Y368" s="2">
        <f t="shared" si="27"/>
        <v>32509</v>
      </c>
      <c r="Z368">
        <f t="shared" si="28"/>
        <v>4.9435490507933721E-2</v>
      </c>
      <c r="AA368">
        <f t="shared" si="29"/>
        <v>5.0665857446785978E-2</v>
      </c>
      <c r="AD368" s="2">
        <v>28672</v>
      </c>
      <c r="AE368">
        <v>7.4460353669085322E-2</v>
      </c>
    </row>
    <row r="369" spans="7:31" x14ac:dyDescent="0.25">
      <c r="G369" s="2"/>
      <c r="L369" s="2"/>
      <c r="P369" s="2">
        <v>32540</v>
      </c>
      <c r="Q369">
        <v>2992.2</v>
      </c>
      <c r="R369">
        <f t="shared" si="25"/>
        <v>4.1557509915655544E-2</v>
      </c>
      <c r="U369" s="2">
        <v>28157</v>
      </c>
      <c r="V369">
        <v>59.3</v>
      </c>
      <c r="W369">
        <f t="shared" si="26"/>
        <v>5.9044925842626661E-2</v>
      </c>
      <c r="Y369" s="2">
        <f t="shared" si="27"/>
        <v>32540</v>
      </c>
      <c r="Z369">
        <f t="shared" si="28"/>
        <v>4.1557509915655544E-2</v>
      </c>
      <c r="AA369">
        <f t="shared" si="29"/>
        <v>5.9044925842626661E-2</v>
      </c>
      <c r="AD369" s="2">
        <v>28703</v>
      </c>
      <c r="AE369">
        <v>7.562657533091155E-2</v>
      </c>
    </row>
    <row r="370" spans="7:31" x14ac:dyDescent="0.25">
      <c r="G370" s="2"/>
      <c r="L370" s="2"/>
      <c r="P370" s="2">
        <v>32568</v>
      </c>
      <c r="Q370">
        <v>2999.7</v>
      </c>
      <c r="R370">
        <f t="shared" si="25"/>
        <v>3.7013596339767751E-2</v>
      </c>
      <c r="U370" s="2">
        <v>28185</v>
      </c>
      <c r="V370">
        <v>59.6</v>
      </c>
      <c r="W370">
        <f t="shared" si="26"/>
        <v>6.2303883336154442E-2</v>
      </c>
      <c r="Y370" s="2">
        <f t="shared" si="27"/>
        <v>32568</v>
      </c>
      <c r="Z370">
        <f t="shared" si="28"/>
        <v>3.7013596339767751E-2</v>
      </c>
      <c r="AA370">
        <f t="shared" si="29"/>
        <v>6.2303883336154442E-2</v>
      </c>
      <c r="AD370" s="2">
        <v>28734</v>
      </c>
      <c r="AE370">
        <v>8.1422104719642618E-2</v>
      </c>
    </row>
    <row r="371" spans="7:31" x14ac:dyDescent="0.25">
      <c r="G371" s="2"/>
      <c r="L371" s="2"/>
      <c r="P371" s="2">
        <v>32599</v>
      </c>
      <c r="Q371">
        <v>3006</v>
      </c>
      <c r="R371">
        <f t="shared" si="25"/>
        <v>3.221668924667398E-2</v>
      </c>
      <c r="U371" s="2">
        <v>28216</v>
      </c>
      <c r="V371">
        <v>60</v>
      </c>
      <c r="W371">
        <f t="shared" si="26"/>
        <v>6.7208749693449477E-2</v>
      </c>
      <c r="Y371" s="2">
        <f t="shared" si="27"/>
        <v>32599</v>
      </c>
      <c r="Z371">
        <f t="shared" si="28"/>
        <v>3.221668924667398E-2</v>
      </c>
      <c r="AA371">
        <f t="shared" si="29"/>
        <v>6.7208749693449477E-2</v>
      </c>
      <c r="AD371" s="2">
        <v>28764</v>
      </c>
      <c r="AE371">
        <v>8.5522173438161708E-2</v>
      </c>
    </row>
    <row r="372" spans="7:31" x14ac:dyDescent="0.25">
      <c r="G372" s="2"/>
      <c r="L372" s="2"/>
      <c r="P372" s="2">
        <v>32629</v>
      </c>
      <c r="Q372">
        <v>3011.6</v>
      </c>
      <c r="R372">
        <f t="shared" si="25"/>
        <v>2.8835196395897711E-2</v>
      </c>
      <c r="U372" s="2">
        <v>28246</v>
      </c>
      <c r="V372">
        <v>60.2</v>
      </c>
      <c r="W372">
        <f t="shared" si="26"/>
        <v>6.520319381076245E-2</v>
      </c>
      <c r="Y372" s="2">
        <f t="shared" si="27"/>
        <v>32629</v>
      </c>
      <c r="Z372">
        <f t="shared" si="28"/>
        <v>2.8835196395897711E-2</v>
      </c>
      <c r="AA372">
        <f t="shared" si="29"/>
        <v>6.520319381076245E-2</v>
      </c>
      <c r="AD372" s="2">
        <v>28795</v>
      </c>
      <c r="AE372">
        <v>8.4993212833392562E-2</v>
      </c>
    </row>
    <row r="373" spans="7:31" x14ac:dyDescent="0.25">
      <c r="G373" s="2"/>
      <c r="L373" s="2"/>
      <c r="P373" s="2">
        <v>32660</v>
      </c>
      <c r="Q373">
        <v>3027.9</v>
      </c>
      <c r="R373">
        <f t="shared" si="25"/>
        <v>3.0004094407464876E-2</v>
      </c>
      <c r="U373" s="2">
        <v>28277</v>
      </c>
      <c r="V373">
        <v>60.5</v>
      </c>
      <c r="W373">
        <f t="shared" si="26"/>
        <v>6.486915430308926E-2</v>
      </c>
      <c r="Y373" s="2">
        <f t="shared" si="27"/>
        <v>32660</v>
      </c>
      <c r="Z373">
        <f t="shared" si="28"/>
        <v>3.0004094407464876E-2</v>
      </c>
      <c r="AA373">
        <f t="shared" si="29"/>
        <v>6.486915430308926E-2</v>
      </c>
      <c r="AD373" s="2">
        <v>28825</v>
      </c>
      <c r="AE373">
        <v>8.6074608771243177E-2</v>
      </c>
    </row>
    <row r="374" spans="7:31" x14ac:dyDescent="0.25">
      <c r="G374" s="2"/>
      <c r="L374" s="2"/>
      <c r="P374" s="2">
        <v>32690</v>
      </c>
      <c r="Q374">
        <v>3052.4</v>
      </c>
      <c r="R374">
        <f t="shared" si="25"/>
        <v>3.5072599354490919E-2</v>
      </c>
      <c r="U374" s="2">
        <v>28307</v>
      </c>
      <c r="V374">
        <v>60.8</v>
      </c>
      <c r="W374">
        <f t="shared" si="26"/>
        <v>6.4538521137571081E-2</v>
      </c>
      <c r="Y374" s="2">
        <f t="shared" si="27"/>
        <v>32690</v>
      </c>
      <c r="Z374">
        <f t="shared" si="28"/>
        <v>3.5072599354490919E-2</v>
      </c>
      <c r="AA374">
        <f t="shared" si="29"/>
        <v>6.4538521137571081E-2</v>
      </c>
      <c r="AD374" s="2">
        <v>28856</v>
      </c>
      <c r="AE374">
        <v>8.8472297629304641E-2</v>
      </c>
    </row>
    <row r="375" spans="7:31" x14ac:dyDescent="0.25">
      <c r="G375" s="2"/>
      <c r="L375" s="2"/>
      <c r="P375" s="2">
        <v>32721</v>
      </c>
      <c r="Q375">
        <v>3074.4</v>
      </c>
      <c r="R375">
        <f t="shared" si="25"/>
        <v>4.0626853530270068E-2</v>
      </c>
      <c r="U375" s="2">
        <v>28338</v>
      </c>
      <c r="V375">
        <v>61.1</v>
      </c>
      <c r="W375">
        <f t="shared" si="26"/>
        <v>6.4211242456855722E-2</v>
      </c>
      <c r="Y375" s="2">
        <f t="shared" si="27"/>
        <v>32721</v>
      </c>
      <c r="Z375">
        <f t="shared" si="28"/>
        <v>4.0626853530270068E-2</v>
      </c>
      <c r="AA375">
        <f t="shared" si="29"/>
        <v>6.4211242456855722E-2</v>
      </c>
      <c r="AD375" s="2">
        <v>28887</v>
      </c>
      <c r="AE375">
        <v>9.3866136232091613E-2</v>
      </c>
    </row>
    <row r="376" spans="7:31" x14ac:dyDescent="0.25">
      <c r="G376" s="2"/>
      <c r="L376" s="2"/>
      <c r="P376" s="2">
        <v>32752</v>
      </c>
      <c r="Q376">
        <v>3092.5</v>
      </c>
      <c r="R376">
        <f t="shared" si="25"/>
        <v>4.4838403044852981E-2</v>
      </c>
      <c r="U376" s="2">
        <v>28369</v>
      </c>
      <c r="V376">
        <v>61.3</v>
      </c>
      <c r="W376">
        <f t="shared" si="26"/>
        <v>6.2257275240320098E-2</v>
      </c>
      <c r="Y376" s="2">
        <f t="shared" si="27"/>
        <v>32752</v>
      </c>
      <c r="Z376">
        <f t="shared" si="28"/>
        <v>4.4838403044852981E-2</v>
      </c>
      <c r="AA376">
        <f t="shared" si="29"/>
        <v>6.2257275240320098E-2</v>
      </c>
      <c r="AD376" s="2">
        <v>28915</v>
      </c>
      <c r="AE376">
        <v>9.760178779658446E-2</v>
      </c>
    </row>
    <row r="377" spans="7:31" x14ac:dyDescent="0.25">
      <c r="G377" s="2"/>
      <c r="L377" s="2"/>
      <c r="P377" s="2">
        <v>32782</v>
      </c>
      <c r="Q377">
        <v>3114.1</v>
      </c>
      <c r="R377">
        <f t="shared" si="25"/>
        <v>4.8961978164345332E-2</v>
      </c>
      <c r="U377" s="2">
        <v>28399</v>
      </c>
      <c r="V377">
        <v>61.6</v>
      </c>
      <c r="W377">
        <f t="shared" si="26"/>
        <v>6.1944485960524709E-2</v>
      </c>
      <c r="Y377" s="2">
        <f t="shared" si="27"/>
        <v>32782</v>
      </c>
      <c r="Z377">
        <f t="shared" si="28"/>
        <v>4.8961978164345332E-2</v>
      </c>
      <c r="AA377">
        <f t="shared" si="29"/>
        <v>6.1944485960524709E-2</v>
      </c>
      <c r="AD377" s="2">
        <v>28946</v>
      </c>
      <c r="AE377">
        <v>9.9710783115707358E-2</v>
      </c>
    </row>
    <row r="378" spans="7:31" x14ac:dyDescent="0.25">
      <c r="G378" s="2"/>
      <c r="L378" s="2"/>
      <c r="P378" s="2">
        <v>32813</v>
      </c>
      <c r="Q378">
        <v>3133.3</v>
      </c>
      <c r="R378">
        <f t="shared" si="25"/>
        <v>5.0096349894166892E-2</v>
      </c>
      <c r="U378" s="2">
        <v>28430</v>
      </c>
      <c r="V378">
        <v>62</v>
      </c>
      <c r="W378">
        <f t="shared" si="26"/>
        <v>6.4968721187225853E-2</v>
      </c>
      <c r="Y378" s="2">
        <f t="shared" si="27"/>
        <v>32813</v>
      </c>
      <c r="Z378">
        <f t="shared" si="28"/>
        <v>5.0096349894166892E-2</v>
      </c>
      <c r="AA378">
        <f t="shared" si="29"/>
        <v>6.4968721187225853E-2</v>
      </c>
      <c r="AD378" s="2">
        <v>28976</v>
      </c>
      <c r="AE378">
        <v>0.10163264554381257</v>
      </c>
    </row>
    <row r="379" spans="7:31" x14ac:dyDescent="0.25">
      <c r="G379" s="2"/>
      <c r="L379" s="2"/>
      <c r="P379" s="2">
        <v>32843</v>
      </c>
      <c r="Q379">
        <v>3152.5</v>
      </c>
      <c r="R379">
        <f t="shared" si="25"/>
        <v>5.352458942209104E-2</v>
      </c>
      <c r="U379" s="2">
        <v>28460</v>
      </c>
      <c r="V379">
        <v>62.3</v>
      </c>
      <c r="W379">
        <f t="shared" si="26"/>
        <v>6.4645535959225953E-2</v>
      </c>
      <c r="Y379" s="2">
        <f t="shared" si="27"/>
        <v>32843</v>
      </c>
      <c r="Z379">
        <f t="shared" si="28"/>
        <v>5.352458942209104E-2</v>
      </c>
      <c r="AA379">
        <f t="shared" si="29"/>
        <v>6.4645535959225953E-2</v>
      </c>
      <c r="AD379" s="2">
        <v>29007</v>
      </c>
      <c r="AE379">
        <v>0.10505277600314411</v>
      </c>
    </row>
    <row r="380" spans="7:31" x14ac:dyDescent="0.25">
      <c r="G380" s="2"/>
      <c r="L380" s="2"/>
      <c r="P380" s="2">
        <v>32874</v>
      </c>
      <c r="Q380">
        <v>3166.8</v>
      </c>
      <c r="R380">
        <f t="shared" si="25"/>
        <v>5.6879826609700146E-2</v>
      </c>
      <c r="U380" s="2">
        <v>28491</v>
      </c>
      <c r="V380">
        <v>62.7</v>
      </c>
      <c r="W380">
        <f t="shared" si="26"/>
        <v>6.5921720804824169E-2</v>
      </c>
      <c r="Y380" s="2">
        <f t="shared" si="27"/>
        <v>32874</v>
      </c>
      <c r="Z380">
        <f t="shared" si="28"/>
        <v>5.6879826609700146E-2</v>
      </c>
      <c r="AA380">
        <f t="shared" si="29"/>
        <v>6.5921720804824169E-2</v>
      </c>
      <c r="AD380" s="2">
        <v>29037</v>
      </c>
      <c r="AE380">
        <v>0.10840929850718428</v>
      </c>
    </row>
    <row r="381" spans="7:31" x14ac:dyDescent="0.25">
      <c r="G381" s="2"/>
      <c r="L381" s="2"/>
      <c r="P381" s="2">
        <v>32905</v>
      </c>
      <c r="Q381">
        <v>3179.2</v>
      </c>
      <c r="R381">
        <f t="shared" si="25"/>
        <v>6.0620690017419321E-2</v>
      </c>
      <c r="U381" s="2">
        <v>28522</v>
      </c>
      <c r="V381">
        <v>63</v>
      </c>
      <c r="W381">
        <f t="shared" si="26"/>
        <v>6.0525420387852691E-2</v>
      </c>
      <c r="Y381" s="2">
        <f t="shared" si="27"/>
        <v>32905</v>
      </c>
      <c r="Z381">
        <f t="shared" si="28"/>
        <v>6.0620690017419321E-2</v>
      </c>
      <c r="AA381">
        <f t="shared" si="29"/>
        <v>6.0525420387852691E-2</v>
      </c>
      <c r="AD381" s="2">
        <v>29068</v>
      </c>
      <c r="AE381">
        <v>0.11186435768683012</v>
      </c>
    </row>
    <row r="382" spans="7:31" x14ac:dyDescent="0.25">
      <c r="G382" s="2"/>
      <c r="L382" s="2"/>
      <c r="P382" s="2">
        <v>32933</v>
      </c>
      <c r="Q382">
        <v>3190.1</v>
      </c>
      <c r="R382">
        <f t="shared" si="25"/>
        <v>6.1539980600022304E-2</v>
      </c>
      <c r="U382" s="2">
        <v>28550</v>
      </c>
      <c r="V382">
        <v>63.4</v>
      </c>
      <c r="W382">
        <f t="shared" si="26"/>
        <v>6.1808287371875714E-2</v>
      </c>
      <c r="Y382" s="2">
        <f t="shared" si="27"/>
        <v>32933</v>
      </c>
      <c r="Z382">
        <f t="shared" si="28"/>
        <v>6.1539980600022304E-2</v>
      </c>
      <c r="AA382">
        <f t="shared" si="29"/>
        <v>6.1808287371875714E-2</v>
      </c>
      <c r="AD382" s="2">
        <v>29099</v>
      </c>
      <c r="AE382">
        <v>0.11225399417723825</v>
      </c>
    </row>
    <row r="383" spans="7:31" x14ac:dyDescent="0.25">
      <c r="G383" s="2"/>
      <c r="L383" s="2"/>
      <c r="P383" s="2">
        <v>32964</v>
      </c>
      <c r="Q383">
        <v>3201.6</v>
      </c>
      <c r="R383">
        <f t="shared" si="25"/>
        <v>6.3040393516548221E-2</v>
      </c>
      <c r="U383" s="2">
        <v>28581</v>
      </c>
      <c r="V383">
        <v>63.9</v>
      </c>
      <c r="W383">
        <f t="shared" si="26"/>
        <v>6.2974799161388262E-2</v>
      </c>
      <c r="Y383" s="2">
        <f t="shared" si="27"/>
        <v>32964</v>
      </c>
      <c r="Z383">
        <f t="shared" si="28"/>
        <v>6.3040393516548221E-2</v>
      </c>
      <c r="AA383">
        <f t="shared" si="29"/>
        <v>6.2974799161388262E-2</v>
      </c>
      <c r="AD383" s="2">
        <v>29129</v>
      </c>
      <c r="AE383">
        <v>0.113967186978158</v>
      </c>
    </row>
    <row r="384" spans="7:31" x14ac:dyDescent="0.25">
      <c r="G384" s="2"/>
      <c r="L384" s="2"/>
      <c r="P384" s="2">
        <v>32994</v>
      </c>
      <c r="Q384">
        <v>3200.6</v>
      </c>
      <c r="R384">
        <f t="shared" si="25"/>
        <v>6.0866793235922145E-2</v>
      </c>
      <c r="U384" s="2">
        <v>28611</v>
      </c>
      <c r="V384">
        <v>64.5</v>
      </c>
      <c r="W384">
        <f t="shared" si="26"/>
        <v>6.8992871486950769E-2</v>
      </c>
      <c r="Y384" s="2">
        <f t="shared" si="27"/>
        <v>32994</v>
      </c>
      <c r="Z384">
        <f t="shared" si="28"/>
        <v>6.0866793235922145E-2</v>
      </c>
      <c r="AA384">
        <f t="shared" si="29"/>
        <v>6.8992871486950769E-2</v>
      </c>
      <c r="AD384" s="2">
        <v>29160</v>
      </c>
      <c r="AE384">
        <v>0.11860574240784683</v>
      </c>
    </row>
    <row r="385" spans="7:31" x14ac:dyDescent="0.25">
      <c r="G385" s="2"/>
      <c r="L385" s="2"/>
      <c r="P385" s="2">
        <v>33025</v>
      </c>
      <c r="Q385">
        <v>3213.7</v>
      </c>
      <c r="R385">
        <f t="shared" si="25"/>
        <v>5.9553611397566542E-2</v>
      </c>
      <c r="U385" s="2">
        <v>28642</v>
      </c>
      <c r="V385">
        <v>65</v>
      </c>
      <c r="W385">
        <f t="shared" si="26"/>
        <v>7.1743904858840857E-2</v>
      </c>
      <c r="Y385" s="2">
        <f t="shared" si="27"/>
        <v>33025</v>
      </c>
      <c r="Z385">
        <f t="shared" si="28"/>
        <v>5.9553611397566542E-2</v>
      </c>
      <c r="AA385">
        <f t="shared" si="29"/>
        <v>7.1743904858840857E-2</v>
      </c>
      <c r="AD385" s="2">
        <v>29190</v>
      </c>
      <c r="AE385">
        <v>0.1244698419469481</v>
      </c>
    </row>
    <row r="386" spans="7:31" x14ac:dyDescent="0.25">
      <c r="G386" s="2"/>
      <c r="L386" s="2"/>
      <c r="P386" s="2">
        <v>33055</v>
      </c>
      <c r="Q386">
        <v>3224.5</v>
      </c>
      <c r="R386">
        <f t="shared" si="25"/>
        <v>5.4849733034952664E-2</v>
      </c>
      <c r="U386" s="2">
        <v>28672</v>
      </c>
      <c r="V386">
        <v>65.5</v>
      </c>
      <c r="W386">
        <f t="shared" si="26"/>
        <v>7.4460353669085322E-2</v>
      </c>
      <c r="Y386" s="2">
        <f t="shared" si="27"/>
        <v>33055</v>
      </c>
      <c r="Z386">
        <f t="shared" si="28"/>
        <v>5.4849733034952664E-2</v>
      </c>
      <c r="AA386">
        <f t="shared" si="29"/>
        <v>7.4460353669085322E-2</v>
      </c>
      <c r="AD386" s="2">
        <v>29221</v>
      </c>
      <c r="AE386">
        <v>0.12987508142141202</v>
      </c>
    </row>
    <row r="387" spans="7:31" x14ac:dyDescent="0.25">
      <c r="G387" s="2"/>
      <c r="L387" s="2"/>
      <c r="P387" s="2">
        <v>33086</v>
      </c>
      <c r="Q387">
        <v>3242</v>
      </c>
      <c r="R387">
        <f t="shared" si="25"/>
        <v>5.3080663044987375E-2</v>
      </c>
      <c r="U387" s="2">
        <v>28703</v>
      </c>
      <c r="V387">
        <v>65.900000000000006</v>
      </c>
      <c r="W387">
        <f t="shared" si="26"/>
        <v>7.562657533091155E-2</v>
      </c>
      <c r="Y387" s="2">
        <f t="shared" si="27"/>
        <v>33086</v>
      </c>
      <c r="Z387">
        <f t="shared" si="28"/>
        <v>5.3080663044987375E-2</v>
      </c>
      <c r="AA387">
        <f t="shared" si="29"/>
        <v>7.562657533091155E-2</v>
      </c>
      <c r="AD387" s="2">
        <v>29252</v>
      </c>
      <c r="AE387">
        <v>0.13244698984339731</v>
      </c>
    </row>
    <row r="388" spans="7:31" x14ac:dyDescent="0.25">
      <c r="G388" s="2"/>
      <c r="L388" s="2"/>
      <c r="P388" s="2">
        <v>33117</v>
      </c>
      <c r="Q388">
        <v>3254.6</v>
      </c>
      <c r="R388">
        <f t="shared" si="25"/>
        <v>5.1089554959871109E-2</v>
      </c>
      <c r="U388" s="2">
        <v>28734</v>
      </c>
      <c r="V388">
        <v>66.5</v>
      </c>
      <c r="W388">
        <f t="shared" si="26"/>
        <v>8.1422104719642618E-2</v>
      </c>
      <c r="Y388" s="2">
        <f t="shared" si="27"/>
        <v>33117</v>
      </c>
      <c r="Z388">
        <f t="shared" si="28"/>
        <v>5.1089554959871109E-2</v>
      </c>
      <c r="AA388">
        <f t="shared" si="29"/>
        <v>8.1422104719642618E-2</v>
      </c>
      <c r="AD388" s="2">
        <v>29281</v>
      </c>
      <c r="AE388">
        <v>0.13621020483454949</v>
      </c>
    </row>
    <row r="389" spans="7:31" x14ac:dyDescent="0.25">
      <c r="G389" s="2"/>
      <c r="L389" s="2"/>
      <c r="P389" s="2">
        <v>33147</v>
      </c>
      <c r="Q389">
        <v>3259.3</v>
      </c>
      <c r="R389">
        <f t="shared" si="25"/>
        <v>4.5572262461666568E-2</v>
      </c>
      <c r="U389" s="2">
        <v>28764</v>
      </c>
      <c r="V389">
        <v>67.099999999999994</v>
      </c>
      <c r="W389">
        <f t="shared" si="26"/>
        <v>8.5522173438161708E-2</v>
      </c>
      <c r="Y389" s="2">
        <f t="shared" si="27"/>
        <v>33147</v>
      </c>
      <c r="Z389">
        <f t="shared" si="28"/>
        <v>4.5572262461666568E-2</v>
      </c>
      <c r="AA389">
        <f t="shared" si="29"/>
        <v>8.5522173438161708E-2</v>
      </c>
      <c r="AD389" s="2">
        <v>29312</v>
      </c>
      <c r="AE389">
        <v>0.13618367956525024</v>
      </c>
    </row>
    <row r="390" spans="7:31" x14ac:dyDescent="0.25">
      <c r="G390" s="2"/>
      <c r="L390" s="2"/>
      <c r="P390" s="2">
        <v>33178</v>
      </c>
      <c r="Q390">
        <v>3262.6</v>
      </c>
      <c r="R390">
        <f t="shared" si="25"/>
        <v>4.0437661266675917E-2</v>
      </c>
      <c r="U390" s="2">
        <v>28795</v>
      </c>
      <c r="V390">
        <v>67.5</v>
      </c>
      <c r="W390">
        <f t="shared" si="26"/>
        <v>8.4993212833392562E-2</v>
      </c>
      <c r="Y390" s="2">
        <f t="shared" si="27"/>
        <v>33178</v>
      </c>
      <c r="Z390">
        <f t="shared" si="28"/>
        <v>4.0437661266675917E-2</v>
      </c>
      <c r="AA390">
        <f t="shared" si="29"/>
        <v>8.4993212833392562E-2</v>
      </c>
      <c r="AD390" s="2">
        <v>29342</v>
      </c>
      <c r="AE390">
        <v>0.13475613252041807</v>
      </c>
    </row>
    <row r="391" spans="7:31" x14ac:dyDescent="0.25">
      <c r="G391" s="2"/>
      <c r="L391" s="2"/>
      <c r="P391" s="2">
        <v>33208</v>
      </c>
      <c r="Q391">
        <v>3271.8</v>
      </c>
      <c r="R391">
        <f t="shared" si="25"/>
        <v>3.714450332099517E-2</v>
      </c>
      <c r="U391" s="2">
        <v>28825</v>
      </c>
      <c r="V391">
        <v>67.900000000000006</v>
      </c>
      <c r="W391">
        <f t="shared" si="26"/>
        <v>8.6074608771243177E-2</v>
      </c>
      <c r="Y391" s="2">
        <f t="shared" si="27"/>
        <v>33208</v>
      </c>
      <c r="Z391">
        <f t="shared" si="28"/>
        <v>3.714450332099517E-2</v>
      </c>
      <c r="AA391">
        <f t="shared" si="29"/>
        <v>8.6074608771243177E-2</v>
      </c>
      <c r="AD391" s="2">
        <v>29373</v>
      </c>
      <c r="AE391">
        <v>0.13335824744185398</v>
      </c>
    </row>
    <row r="392" spans="7:31" x14ac:dyDescent="0.25">
      <c r="G392" s="2"/>
      <c r="L392" s="2"/>
      <c r="P392" s="2">
        <v>33239</v>
      </c>
      <c r="Q392">
        <v>3287.7</v>
      </c>
      <c r="R392">
        <f t="shared" si="25"/>
        <v>3.7466617840177463E-2</v>
      </c>
      <c r="U392" s="2">
        <v>28856</v>
      </c>
      <c r="V392">
        <v>68.5</v>
      </c>
      <c r="W392">
        <f t="shared" si="26"/>
        <v>8.8472297629304641E-2</v>
      </c>
      <c r="Y392" s="2">
        <f t="shared" si="27"/>
        <v>33239</v>
      </c>
      <c r="Z392">
        <f t="shared" si="28"/>
        <v>3.7466617840177463E-2</v>
      </c>
      <c r="AA392">
        <f t="shared" si="29"/>
        <v>8.8472297629304641E-2</v>
      </c>
      <c r="AD392" s="2">
        <v>29403</v>
      </c>
      <c r="AE392">
        <v>0.1235502393785417</v>
      </c>
    </row>
    <row r="393" spans="7:31" x14ac:dyDescent="0.25">
      <c r="G393" s="2"/>
      <c r="L393" s="2"/>
      <c r="P393" s="2">
        <v>33270</v>
      </c>
      <c r="Q393">
        <v>3304.5</v>
      </c>
      <c r="R393">
        <f t="shared" si="25"/>
        <v>3.8655583112955583E-2</v>
      </c>
      <c r="U393" s="2">
        <v>28887</v>
      </c>
      <c r="V393">
        <v>69.2</v>
      </c>
      <c r="W393">
        <f t="shared" si="26"/>
        <v>9.3866136232091613E-2</v>
      </c>
      <c r="Y393" s="2">
        <f t="shared" si="27"/>
        <v>33270</v>
      </c>
      <c r="Z393">
        <f t="shared" si="28"/>
        <v>3.8655583112955583E-2</v>
      </c>
      <c r="AA393">
        <f t="shared" si="29"/>
        <v>9.3866136232091613E-2</v>
      </c>
      <c r="AD393" s="2">
        <v>29434</v>
      </c>
      <c r="AE393">
        <v>0.1212445486318714</v>
      </c>
    </row>
    <row r="394" spans="7:31" x14ac:dyDescent="0.25">
      <c r="G394" s="2"/>
      <c r="L394" s="2"/>
      <c r="P394" s="2">
        <v>33298</v>
      </c>
      <c r="Q394">
        <v>3321.9</v>
      </c>
      <c r="R394">
        <f t="shared" si="25"/>
        <v>4.0484644122235736E-2</v>
      </c>
      <c r="U394" s="2">
        <v>28915</v>
      </c>
      <c r="V394">
        <v>69.900000000000006</v>
      </c>
      <c r="W394">
        <f t="shared" si="26"/>
        <v>9.760178779658446E-2</v>
      </c>
      <c r="Y394" s="2">
        <f t="shared" si="27"/>
        <v>33298</v>
      </c>
      <c r="Z394">
        <f t="shared" si="28"/>
        <v>4.0484644122235736E-2</v>
      </c>
      <c r="AA394">
        <f t="shared" si="29"/>
        <v>9.760178779658446E-2</v>
      </c>
      <c r="AD394" s="2">
        <v>29465</v>
      </c>
      <c r="AE394">
        <v>0.12016967163411429</v>
      </c>
    </row>
    <row r="395" spans="7:31" x14ac:dyDescent="0.25">
      <c r="G395" s="2"/>
      <c r="L395" s="2"/>
      <c r="P395" s="2">
        <v>33329</v>
      </c>
      <c r="Q395">
        <v>3332.4</v>
      </c>
      <c r="R395">
        <f t="shared" si="25"/>
        <v>4.0042080271286196E-2</v>
      </c>
      <c r="U395" s="2">
        <v>28946</v>
      </c>
      <c r="V395">
        <v>70.599999999999994</v>
      </c>
      <c r="W395">
        <f t="shared" si="26"/>
        <v>9.9710783115707358E-2</v>
      </c>
      <c r="Y395" s="2">
        <f t="shared" si="27"/>
        <v>33329</v>
      </c>
      <c r="Z395">
        <f t="shared" si="28"/>
        <v>4.0042080271286196E-2</v>
      </c>
      <c r="AA395">
        <f t="shared" si="29"/>
        <v>9.9710783115707358E-2</v>
      </c>
      <c r="AD395" s="2">
        <v>29495</v>
      </c>
      <c r="AE395">
        <v>0.11896437070221477</v>
      </c>
    </row>
    <row r="396" spans="7:31" x14ac:dyDescent="0.25">
      <c r="G396" s="2"/>
      <c r="L396" s="2"/>
      <c r="P396" s="2">
        <v>33359</v>
      </c>
      <c r="Q396">
        <v>3343</v>
      </c>
      <c r="R396">
        <f t="shared" si="25"/>
        <v>4.3530315208208492E-2</v>
      </c>
      <c r="U396" s="2">
        <v>28976</v>
      </c>
      <c r="V396">
        <v>71.400000000000006</v>
      </c>
      <c r="W396">
        <f t="shared" si="26"/>
        <v>0.10163264554381257</v>
      </c>
      <c r="Y396" s="2">
        <f t="shared" si="27"/>
        <v>33359</v>
      </c>
      <c r="Z396">
        <f t="shared" si="28"/>
        <v>4.3530315208208492E-2</v>
      </c>
      <c r="AA396">
        <f t="shared" si="29"/>
        <v>0.10163264554381257</v>
      </c>
      <c r="AD396" s="2">
        <v>29526</v>
      </c>
      <c r="AE396">
        <v>0.11895194286136501</v>
      </c>
    </row>
    <row r="397" spans="7:31" x14ac:dyDescent="0.25">
      <c r="G397" s="2"/>
      <c r="L397" s="2"/>
      <c r="P397" s="2">
        <v>33390</v>
      </c>
      <c r="Q397">
        <v>3351.9</v>
      </c>
      <c r="R397">
        <f t="shared" si="25"/>
        <v>4.2104427910912179E-2</v>
      </c>
      <c r="U397" s="2">
        <v>29007</v>
      </c>
      <c r="V397">
        <v>72.2</v>
      </c>
      <c r="W397">
        <f t="shared" si="26"/>
        <v>0.10505277600314411</v>
      </c>
      <c r="Y397" s="2">
        <f t="shared" si="27"/>
        <v>33390</v>
      </c>
      <c r="Z397">
        <f t="shared" si="28"/>
        <v>4.2104427910912179E-2</v>
      </c>
      <c r="AA397">
        <f t="shared" si="29"/>
        <v>0.10505277600314411</v>
      </c>
      <c r="AD397" s="2">
        <v>29556</v>
      </c>
      <c r="AE397">
        <v>0.11648179929841174</v>
      </c>
    </row>
    <row r="398" spans="7:31" x14ac:dyDescent="0.25">
      <c r="G398" s="2"/>
      <c r="L398" s="2"/>
      <c r="P398" s="2">
        <v>33420</v>
      </c>
      <c r="Q398">
        <v>3356.1</v>
      </c>
      <c r="R398">
        <f t="shared" si="25"/>
        <v>4.0001686070562315E-2</v>
      </c>
      <c r="U398" s="2">
        <v>29037</v>
      </c>
      <c r="V398">
        <v>73</v>
      </c>
      <c r="W398">
        <f t="shared" si="26"/>
        <v>0.10840929850718428</v>
      </c>
      <c r="Y398" s="2">
        <f t="shared" si="27"/>
        <v>33420</v>
      </c>
      <c r="Z398">
        <f t="shared" si="28"/>
        <v>4.0001686070562315E-2</v>
      </c>
      <c r="AA398">
        <f t="shared" si="29"/>
        <v>0.10840929850718428</v>
      </c>
      <c r="AD398" s="2">
        <v>29587</v>
      </c>
      <c r="AE398">
        <v>0.11149550422534205</v>
      </c>
    </row>
    <row r="399" spans="7:31" x14ac:dyDescent="0.25">
      <c r="G399" s="2"/>
      <c r="L399" s="2"/>
      <c r="P399" s="2">
        <v>33451</v>
      </c>
      <c r="Q399">
        <v>3355</v>
      </c>
      <c r="R399">
        <f t="shared" si="25"/>
        <v>3.4261347110161822E-2</v>
      </c>
      <c r="U399" s="2">
        <v>29068</v>
      </c>
      <c r="V399">
        <v>73.7</v>
      </c>
      <c r="W399">
        <f t="shared" si="26"/>
        <v>0.11186435768683012</v>
      </c>
      <c r="Y399" s="2">
        <f t="shared" si="27"/>
        <v>33451</v>
      </c>
      <c r="Z399">
        <f t="shared" si="28"/>
        <v>3.4261347110161822E-2</v>
      </c>
      <c r="AA399">
        <f t="shared" si="29"/>
        <v>0.11186435768683012</v>
      </c>
      <c r="AD399" s="2">
        <v>29618</v>
      </c>
      <c r="AE399">
        <v>0.10788896201118536</v>
      </c>
    </row>
    <row r="400" spans="7:31" x14ac:dyDescent="0.25">
      <c r="G400" s="2"/>
      <c r="L400" s="2"/>
      <c r="P400" s="2">
        <v>33482</v>
      </c>
      <c r="Q400">
        <v>3354.9</v>
      </c>
      <c r="R400">
        <f t="shared" si="25"/>
        <v>3.035258347573766E-2</v>
      </c>
      <c r="U400" s="2">
        <v>29099</v>
      </c>
      <c r="V400">
        <v>74.400000000000006</v>
      </c>
      <c r="W400">
        <f t="shared" si="26"/>
        <v>0.11225399417723825</v>
      </c>
      <c r="Y400" s="2">
        <f t="shared" si="27"/>
        <v>33482</v>
      </c>
      <c r="Z400">
        <f t="shared" si="28"/>
        <v>3.035258347573766E-2</v>
      </c>
      <c r="AA400">
        <f t="shared" si="29"/>
        <v>0.11225399417723825</v>
      </c>
      <c r="AD400" s="2">
        <v>29646</v>
      </c>
      <c r="AE400">
        <v>0.10085600353672142</v>
      </c>
    </row>
    <row r="401" spans="7:31" x14ac:dyDescent="0.25">
      <c r="G401" s="2"/>
      <c r="L401" s="2"/>
      <c r="P401" s="2">
        <v>33512</v>
      </c>
      <c r="Q401">
        <v>3360.1</v>
      </c>
      <c r="R401">
        <f t="shared" si="25"/>
        <v>3.0458287041243537E-2</v>
      </c>
      <c r="U401" s="2">
        <v>29129</v>
      </c>
      <c r="V401">
        <v>75.2</v>
      </c>
      <c r="W401">
        <f t="shared" si="26"/>
        <v>0.113967186978158</v>
      </c>
      <c r="Y401" s="2">
        <f t="shared" si="27"/>
        <v>33512</v>
      </c>
      <c r="Z401">
        <f t="shared" si="28"/>
        <v>3.0458287041243537E-2</v>
      </c>
      <c r="AA401">
        <f t="shared" si="29"/>
        <v>0.113967186978158</v>
      </c>
      <c r="AD401" s="2">
        <v>29677</v>
      </c>
      <c r="AE401">
        <v>9.6545510412317626E-2</v>
      </c>
    </row>
    <row r="402" spans="7:31" x14ac:dyDescent="0.25">
      <c r="G402" s="2"/>
      <c r="L402" s="2"/>
      <c r="P402" s="2">
        <v>33543</v>
      </c>
      <c r="Q402">
        <v>3365.5</v>
      </c>
      <c r="R402">
        <f t="shared" si="25"/>
        <v>3.1052116948565356E-2</v>
      </c>
      <c r="U402" s="2">
        <v>29160</v>
      </c>
      <c r="V402">
        <v>76</v>
      </c>
      <c r="W402">
        <f t="shared" si="26"/>
        <v>0.11860574240784683</v>
      </c>
      <c r="Y402" s="2">
        <f t="shared" si="27"/>
        <v>33543</v>
      </c>
      <c r="Z402">
        <f t="shared" si="28"/>
        <v>3.1052116948565356E-2</v>
      </c>
      <c r="AA402">
        <f t="shared" si="29"/>
        <v>0.11860574240784683</v>
      </c>
      <c r="AD402" s="2">
        <v>29707</v>
      </c>
      <c r="AE402">
        <v>9.3416767198792883E-2</v>
      </c>
    </row>
    <row r="403" spans="7:31" x14ac:dyDescent="0.25">
      <c r="G403" s="2"/>
      <c r="L403" s="2"/>
      <c r="P403" s="2">
        <v>33573</v>
      </c>
      <c r="Q403">
        <v>3372.2</v>
      </c>
      <c r="R403">
        <f t="shared" si="25"/>
        <v>3.0225058183809494E-2</v>
      </c>
      <c r="U403" s="2">
        <v>29190</v>
      </c>
      <c r="V403">
        <v>76.900000000000006</v>
      </c>
      <c r="W403">
        <f t="shared" si="26"/>
        <v>0.1244698419469481</v>
      </c>
      <c r="Y403" s="2">
        <f t="shared" si="27"/>
        <v>33573</v>
      </c>
      <c r="Z403">
        <f t="shared" si="28"/>
        <v>3.0225058183809494E-2</v>
      </c>
      <c r="AA403">
        <f t="shared" si="29"/>
        <v>0.1244698419469481</v>
      </c>
      <c r="AD403" s="2">
        <v>29738</v>
      </c>
      <c r="AE403">
        <v>9.2551557365245785E-2</v>
      </c>
    </row>
    <row r="404" spans="7:31" x14ac:dyDescent="0.25">
      <c r="G404" s="2"/>
      <c r="L404" s="2"/>
      <c r="P404" s="2">
        <v>33604</v>
      </c>
      <c r="Q404">
        <v>3381.2</v>
      </c>
      <c r="R404">
        <f t="shared" ref="R404:R467" si="30">LN(Q404)-LN(Q392)</f>
        <v>2.8042443917316362E-2</v>
      </c>
      <c r="U404" s="2">
        <v>29221</v>
      </c>
      <c r="V404">
        <v>78</v>
      </c>
      <c r="W404">
        <f t="shared" ref="W404:W467" si="31">LN(V404)-LN(V392)</f>
        <v>0.12987508142141202</v>
      </c>
      <c r="Y404" s="2">
        <f t="shared" si="27"/>
        <v>33604</v>
      </c>
      <c r="Z404">
        <f t="shared" si="28"/>
        <v>2.8042443917316362E-2</v>
      </c>
      <c r="AA404">
        <f t="shared" si="29"/>
        <v>0.12987508142141202</v>
      </c>
      <c r="AD404" s="2">
        <v>29768</v>
      </c>
      <c r="AE404">
        <v>0.10232929175454331</v>
      </c>
    </row>
    <row r="405" spans="7:31" x14ac:dyDescent="0.25">
      <c r="G405" s="2"/>
      <c r="L405" s="2"/>
      <c r="P405" s="2">
        <v>33635</v>
      </c>
      <c r="Q405">
        <v>3400</v>
      </c>
      <c r="R405">
        <f t="shared" si="30"/>
        <v>2.849025569374497E-2</v>
      </c>
      <c r="U405" s="2">
        <v>29252</v>
      </c>
      <c r="V405">
        <v>79</v>
      </c>
      <c r="W405">
        <f t="shared" si="31"/>
        <v>0.13244698984339731</v>
      </c>
      <c r="Y405" s="2">
        <f t="shared" ref="Y405:Y468" si="32">P405</f>
        <v>33635</v>
      </c>
      <c r="Z405">
        <f t="shared" ref="Z405:Z468" si="33">R405</f>
        <v>2.849025569374497E-2</v>
      </c>
      <c r="AA405">
        <f t="shared" ref="AA405:AA468" si="34">W405</f>
        <v>0.13244698984339731</v>
      </c>
      <c r="AD405" s="2">
        <v>29799</v>
      </c>
      <c r="AE405">
        <v>0.10271278273538531</v>
      </c>
    </row>
    <row r="406" spans="7:31" x14ac:dyDescent="0.25">
      <c r="G406" s="2"/>
      <c r="L406" s="2"/>
      <c r="P406" s="2">
        <v>33664</v>
      </c>
      <c r="Q406">
        <v>3403.9</v>
      </c>
      <c r="R406">
        <f t="shared" si="30"/>
        <v>2.4384924686284393E-2</v>
      </c>
      <c r="U406" s="2">
        <v>29281</v>
      </c>
      <c r="V406">
        <v>80.099999999999994</v>
      </c>
      <c r="W406">
        <f t="shared" si="31"/>
        <v>0.13621020483454949</v>
      </c>
      <c r="Y406" s="2">
        <f t="shared" si="32"/>
        <v>33664</v>
      </c>
      <c r="Z406">
        <f t="shared" si="33"/>
        <v>2.4384924686284393E-2</v>
      </c>
      <c r="AA406">
        <f t="shared" si="34"/>
        <v>0.13621020483454949</v>
      </c>
      <c r="AD406" s="2">
        <v>29830</v>
      </c>
      <c r="AE406">
        <v>0.10404857080986041</v>
      </c>
    </row>
    <row r="407" spans="7:31" x14ac:dyDescent="0.25">
      <c r="G407" s="2"/>
      <c r="L407" s="2"/>
      <c r="P407" s="2">
        <v>33695</v>
      </c>
      <c r="Q407">
        <v>3399.7</v>
      </c>
      <c r="R407">
        <f t="shared" si="30"/>
        <v>1.9994427316417429E-2</v>
      </c>
      <c r="U407" s="2">
        <v>29312</v>
      </c>
      <c r="V407">
        <v>80.900000000000006</v>
      </c>
      <c r="W407">
        <f t="shared" si="31"/>
        <v>0.13618367956525024</v>
      </c>
      <c r="Y407" s="2">
        <f t="shared" si="32"/>
        <v>33695</v>
      </c>
      <c r="Z407">
        <f t="shared" si="33"/>
        <v>1.9994427316417429E-2</v>
      </c>
      <c r="AA407">
        <f t="shared" si="34"/>
        <v>0.13618367956525024</v>
      </c>
      <c r="AD407" s="2">
        <v>29860</v>
      </c>
      <c r="AE407">
        <v>9.7775743576788088E-2</v>
      </c>
    </row>
    <row r="408" spans="7:31" x14ac:dyDescent="0.25">
      <c r="G408" s="2"/>
      <c r="L408" s="2"/>
      <c r="P408" s="2">
        <v>33725</v>
      </c>
      <c r="Q408">
        <v>3398.6</v>
      </c>
      <c r="R408">
        <f t="shared" si="30"/>
        <v>1.6494974679906349E-2</v>
      </c>
      <c r="U408" s="2">
        <v>29342</v>
      </c>
      <c r="V408">
        <v>81.7</v>
      </c>
      <c r="W408">
        <f t="shared" si="31"/>
        <v>0.13475613252041807</v>
      </c>
      <c r="Y408" s="2">
        <f t="shared" si="32"/>
        <v>33725</v>
      </c>
      <c r="Z408">
        <f t="shared" si="33"/>
        <v>1.6494974679906349E-2</v>
      </c>
      <c r="AA408">
        <f t="shared" si="34"/>
        <v>0.13475613252041807</v>
      </c>
      <c r="AD408" s="2">
        <v>29891</v>
      </c>
      <c r="AE408">
        <v>9.1479572864482606E-2</v>
      </c>
    </row>
    <row r="409" spans="7:31" x14ac:dyDescent="0.25">
      <c r="G409" s="2"/>
      <c r="L409" s="2"/>
      <c r="P409" s="2">
        <v>33756</v>
      </c>
      <c r="Q409">
        <v>3393.4</v>
      </c>
      <c r="R409">
        <f t="shared" si="30"/>
        <v>1.2305019387437E-2</v>
      </c>
      <c r="U409" s="2">
        <v>29373</v>
      </c>
      <c r="V409">
        <v>82.5</v>
      </c>
      <c r="W409">
        <f t="shared" si="31"/>
        <v>0.13335824744185398</v>
      </c>
      <c r="Y409" s="2">
        <f t="shared" si="32"/>
        <v>33756</v>
      </c>
      <c r="Z409">
        <f t="shared" si="33"/>
        <v>1.2305019387437E-2</v>
      </c>
      <c r="AA409">
        <f t="shared" si="34"/>
        <v>0.13335824744185398</v>
      </c>
      <c r="AD409" s="2">
        <v>29921</v>
      </c>
      <c r="AE409">
        <v>8.5370370781324034E-2</v>
      </c>
    </row>
    <row r="410" spans="7:31" x14ac:dyDescent="0.25">
      <c r="G410" s="2"/>
      <c r="L410" s="2"/>
      <c r="P410" s="2">
        <v>33786</v>
      </c>
      <c r="Q410">
        <v>3393.9</v>
      </c>
      <c r="R410">
        <f t="shared" si="30"/>
        <v>1.1200117079537719E-2</v>
      </c>
      <c r="U410" s="2">
        <v>29403</v>
      </c>
      <c r="V410">
        <v>82.6</v>
      </c>
      <c r="W410">
        <f t="shared" si="31"/>
        <v>0.1235502393785417</v>
      </c>
      <c r="Y410" s="2">
        <f t="shared" si="32"/>
        <v>33786</v>
      </c>
      <c r="Z410">
        <f t="shared" si="33"/>
        <v>1.1200117079537719E-2</v>
      </c>
      <c r="AA410">
        <f t="shared" si="34"/>
        <v>0.1235502393785417</v>
      </c>
      <c r="AD410" s="2">
        <v>29952</v>
      </c>
      <c r="AE410">
        <v>7.9336742236521651E-2</v>
      </c>
    </row>
    <row r="411" spans="7:31" x14ac:dyDescent="0.25">
      <c r="G411" s="2"/>
      <c r="L411" s="2"/>
      <c r="P411" s="2">
        <v>33817</v>
      </c>
      <c r="Q411">
        <v>3398.8</v>
      </c>
      <c r="R411">
        <f t="shared" si="30"/>
        <v>1.2970657723604617E-2</v>
      </c>
      <c r="U411" s="2">
        <v>29434</v>
      </c>
      <c r="V411">
        <v>83.2</v>
      </c>
      <c r="W411">
        <f t="shared" si="31"/>
        <v>0.1212445486318714</v>
      </c>
      <c r="Y411" s="2">
        <f t="shared" si="32"/>
        <v>33817</v>
      </c>
      <c r="Z411">
        <f t="shared" si="33"/>
        <v>1.2970657723604617E-2</v>
      </c>
      <c r="AA411">
        <f t="shared" si="34"/>
        <v>0.1212445486318714</v>
      </c>
      <c r="AD411" s="2">
        <v>29983</v>
      </c>
      <c r="AE411">
        <v>7.3377185713825455E-2</v>
      </c>
    </row>
    <row r="412" spans="7:31" x14ac:dyDescent="0.25">
      <c r="G412" s="2"/>
      <c r="L412" s="2"/>
      <c r="P412" s="2">
        <v>33848</v>
      </c>
      <c r="Q412">
        <v>3410.3</v>
      </c>
      <c r="R412">
        <f t="shared" si="30"/>
        <v>1.6378300245190047E-2</v>
      </c>
      <c r="U412" s="2">
        <v>29465</v>
      </c>
      <c r="V412">
        <v>83.9</v>
      </c>
      <c r="W412">
        <f t="shared" si="31"/>
        <v>0.12016967163411429</v>
      </c>
      <c r="Y412" s="2">
        <f t="shared" si="32"/>
        <v>33848</v>
      </c>
      <c r="Z412">
        <f t="shared" si="33"/>
        <v>1.6378300245190047E-2</v>
      </c>
      <c r="AA412">
        <f t="shared" si="34"/>
        <v>0.12016967163411429</v>
      </c>
      <c r="AD412" s="2">
        <v>30011</v>
      </c>
      <c r="AE412">
        <v>6.658214258099715E-2</v>
      </c>
    </row>
    <row r="413" spans="7:31" x14ac:dyDescent="0.25">
      <c r="G413" s="2"/>
      <c r="L413" s="2"/>
      <c r="P413" s="2">
        <v>33878</v>
      </c>
      <c r="Q413">
        <v>3423.8</v>
      </c>
      <c r="R413">
        <f t="shared" si="30"/>
        <v>1.8780309921544003E-2</v>
      </c>
      <c r="U413" s="2">
        <v>29495</v>
      </c>
      <c r="V413">
        <v>84.7</v>
      </c>
      <c r="W413">
        <f t="shared" si="31"/>
        <v>0.11896437070221477</v>
      </c>
      <c r="Y413" s="2">
        <f t="shared" si="32"/>
        <v>33878</v>
      </c>
      <c r="Z413">
        <f t="shared" si="33"/>
        <v>1.8780309921544003E-2</v>
      </c>
      <c r="AA413">
        <f t="shared" si="34"/>
        <v>0.11896437070221477</v>
      </c>
      <c r="AD413" s="2">
        <v>30042</v>
      </c>
      <c r="AE413">
        <v>6.4117557123776869E-2</v>
      </c>
    </row>
    <row r="414" spans="7:31" x14ac:dyDescent="0.25">
      <c r="G414" s="2"/>
      <c r="L414" s="2"/>
      <c r="P414" s="2">
        <v>33909</v>
      </c>
      <c r="Q414">
        <v>3426.5</v>
      </c>
      <c r="R414">
        <f t="shared" si="30"/>
        <v>1.796279157511016E-2</v>
      </c>
      <c r="U414" s="2">
        <v>29526</v>
      </c>
      <c r="V414">
        <v>85.6</v>
      </c>
      <c r="W414">
        <f t="shared" si="31"/>
        <v>0.11895194286136501</v>
      </c>
      <c r="Y414" s="2">
        <f t="shared" si="32"/>
        <v>33909</v>
      </c>
      <c r="Z414">
        <f t="shared" si="33"/>
        <v>1.796279157511016E-2</v>
      </c>
      <c r="AA414">
        <f t="shared" si="34"/>
        <v>0.11895194286136501</v>
      </c>
      <c r="AD414" s="2">
        <v>30072</v>
      </c>
      <c r="AE414">
        <v>6.6835212824642554E-2</v>
      </c>
    </row>
    <row r="415" spans="7:31" x14ac:dyDescent="0.25">
      <c r="G415" s="2"/>
      <c r="L415" s="2"/>
      <c r="P415" s="2">
        <v>33939</v>
      </c>
      <c r="Q415">
        <v>3424.7</v>
      </c>
      <c r="R415">
        <f t="shared" si="30"/>
        <v>1.544852627523241E-2</v>
      </c>
      <c r="U415" s="2">
        <v>29556</v>
      </c>
      <c r="V415">
        <v>86.4</v>
      </c>
      <c r="W415">
        <f t="shared" si="31"/>
        <v>0.11648179929841174</v>
      </c>
      <c r="Y415" s="2">
        <f t="shared" si="32"/>
        <v>33939</v>
      </c>
      <c r="Z415">
        <f t="shared" si="33"/>
        <v>1.544852627523241E-2</v>
      </c>
      <c r="AA415">
        <f t="shared" si="34"/>
        <v>0.11648179929841174</v>
      </c>
      <c r="AD415" s="2">
        <v>30103</v>
      </c>
      <c r="AE415">
        <v>6.9361127797502142E-2</v>
      </c>
    </row>
    <row r="416" spans="7:31" x14ac:dyDescent="0.25">
      <c r="G416" s="2"/>
      <c r="L416" s="2"/>
      <c r="P416" s="2">
        <v>33970</v>
      </c>
      <c r="Q416">
        <v>3419.1</v>
      </c>
      <c r="R416">
        <f t="shared" si="30"/>
        <v>1.1146682475025926E-2</v>
      </c>
      <c r="U416" s="2">
        <v>29587</v>
      </c>
      <c r="V416">
        <v>87.2</v>
      </c>
      <c r="W416">
        <f t="shared" si="31"/>
        <v>0.11149550422534205</v>
      </c>
      <c r="Y416" s="2">
        <f t="shared" si="32"/>
        <v>33970</v>
      </c>
      <c r="Z416">
        <f t="shared" si="33"/>
        <v>1.1146682475025926E-2</v>
      </c>
      <c r="AA416">
        <f t="shared" si="34"/>
        <v>0.11149550422534205</v>
      </c>
      <c r="AD416" s="2">
        <v>30133</v>
      </c>
      <c r="AE416">
        <v>6.3513405722325444E-2</v>
      </c>
    </row>
    <row r="417" spans="7:31" x14ac:dyDescent="0.25">
      <c r="G417" s="2"/>
      <c r="L417" s="2"/>
      <c r="P417" s="2">
        <v>34001</v>
      </c>
      <c r="Q417">
        <v>3414.5</v>
      </c>
      <c r="R417">
        <f t="shared" si="30"/>
        <v>4.2556377968914205E-3</v>
      </c>
      <c r="U417" s="2">
        <v>29618</v>
      </c>
      <c r="V417">
        <v>88</v>
      </c>
      <c r="W417">
        <f t="shared" si="31"/>
        <v>0.10788896201118536</v>
      </c>
      <c r="Y417" s="2">
        <f t="shared" si="32"/>
        <v>34001</v>
      </c>
      <c r="Z417">
        <f t="shared" si="33"/>
        <v>4.2556377968914205E-3</v>
      </c>
      <c r="AA417">
        <f t="shared" si="34"/>
        <v>0.10788896201118536</v>
      </c>
      <c r="AD417" s="2">
        <v>30164</v>
      </c>
      <c r="AE417">
        <v>5.7941428486189217E-2</v>
      </c>
    </row>
    <row r="418" spans="7:31" x14ac:dyDescent="0.25">
      <c r="G418" s="2"/>
      <c r="L418" s="2"/>
      <c r="P418" s="2">
        <v>34029</v>
      </c>
      <c r="Q418">
        <v>3411.7</v>
      </c>
      <c r="R418">
        <f t="shared" si="30"/>
        <v>2.2888677167944849E-3</v>
      </c>
      <c r="U418" s="2">
        <v>29646</v>
      </c>
      <c r="V418">
        <v>88.6</v>
      </c>
      <c r="W418">
        <f t="shared" si="31"/>
        <v>0.10085600353672142</v>
      </c>
      <c r="Y418" s="2">
        <f t="shared" si="32"/>
        <v>34029</v>
      </c>
      <c r="Z418">
        <f t="shared" si="33"/>
        <v>2.2888677167944849E-3</v>
      </c>
      <c r="AA418">
        <f t="shared" si="34"/>
        <v>0.10085600353672142</v>
      </c>
      <c r="AD418" s="2">
        <v>30195</v>
      </c>
      <c r="AE418">
        <v>4.8227374765716036E-2</v>
      </c>
    </row>
    <row r="419" spans="7:31" x14ac:dyDescent="0.25">
      <c r="G419" s="2"/>
      <c r="L419" s="2"/>
      <c r="P419" s="2">
        <v>34060</v>
      </c>
      <c r="Q419">
        <v>3411.3</v>
      </c>
      <c r="R419">
        <f t="shared" si="30"/>
        <v>3.4062578816147493E-3</v>
      </c>
      <c r="U419" s="2">
        <v>29677</v>
      </c>
      <c r="V419">
        <v>89.1</v>
      </c>
      <c r="W419">
        <f t="shared" si="31"/>
        <v>9.6545510412317626E-2</v>
      </c>
      <c r="Y419" s="2">
        <f t="shared" si="32"/>
        <v>34060</v>
      </c>
      <c r="Z419">
        <f t="shared" si="33"/>
        <v>3.4062578816147493E-3</v>
      </c>
      <c r="AA419">
        <f t="shared" si="34"/>
        <v>9.6545510412317626E-2</v>
      </c>
      <c r="AD419" s="2">
        <v>30225</v>
      </c>
      <c r="AE419">
        <v>4.9096021336520579E-2</v>
      </c>
    </row>
    <row r="420" spans="7:31" x14ac:dyDescent="0.25">
      <c r="G420" s="2"/>
      <c r="L420" s="2"/>
      <c r="P420" s="2">
        <v>34090</v>
      </c>
      <c r="Q420">
        <v>3436.9</v>
      </c>
      <c r="R420">
        <f t="shared" si="30"/>
        <v>1.1206320185445762E-2</v>
      </c>
      <c r="U420" s="2">
        <v>29707</v>
      </c>
      <c r="V420">
        <v>89.7</v>
      </c>
      <c r="W420">
        <f t="shared" si="31"/>
        <v>9.3416767198792883E-2</v>
      </c>
      <c r="Y420" s="2">
        <f t="shared" si="32"/>
        <v>34090</v>
      </c>
      <c r="Z420">
        <f t="shared" si="33"/>
        <v>1.1206320185445762E-2</v>
      </c>
      <c r="AA420">
        <f t="shared" si="34"/>
        <v>9.3416767198792883E-2</v>
      </c>
      <c r="AD420" s="2">
        <v>30256</v>
      </c>
      <c r="AE420">
        <v>4.3802622658393631E-2</v>
      </c>
    </row>
    <row r="421" spans="7:31" x14ac:dyDescent="0.25">
      <c r="G421" s="2"/>
      <c r="L421" s="2"/>
      <c r="P421" s="2">
        <v>34121</v>
      </c>
      <c r="Q421">
        <v>3442.4</v>
      </c>
      <c r="R421">
        <f t="shared" si="30"/>
        <v>1.4336533915551897E-2</v>
      </c>
      <c r="U421" s="2">
        <v>29738</v>
      </c>
      <c r="V421">
        <v>90.5</v>
      </c>
      <c r="W421">
        <f t="shared" si="31"/>
        <v>9.2551557365245785E-2</v>
      </c>
      <c r="Y421" s="2">
        <f t="shared" si="32"/>
        <v>34121</v>
      </c>
      <c r="Z421">
        <f t="shared" si="33"/>
        <v>1.4336533915551897E-2</v>
      </c>
      <c r="AA421">
        <f t="shared" si="34"/>
        <v>9.2551557365245785E-2</v>
      </c>
      <c r="AD421" s="2">
        <v>30286</v>
      </c>
      <c r="AE421">
        <v>3.7543512457403061E-2</v>
      </c>
    </row>
    <row r="422" spans="7:31" x14ac:dyDescent="0.25">
      <c r="G422" s="2"/>
      <c r="L422" s="2"/>
      <c r="P422" s="2">
        <v>34151</v>
      </c>
      <c r="Q422">
        <v>3442</v>
      </c>
      <c r="R422">
        <f t="shared" si="30"/>
        <v>1.4072995170952396E-2</v>
      </c>
      <c r="U422" s="2">
        <v>29768</v>
      </c>
      <c r="V422">
        <v>91.5</v>
      </c>
      <c r="W422">
        <f t="shared" si="31"/>
        <v>0.10232929175454331</v>
      </c>
      <c r="Y422" s="2">
        <f t="shared" si="32"/>
        <v>34151</v>
      </c>
      <c r="Z422">
        <f t="shared" si="33"/>
        <v>1.4072995170952396E-2</v>
      </c>
      <c r="AA422">
        <f t="shared" si="34"/>
        <v>0.10232929175454331</v>
      </c>
      <c r="AD422" s="2">
        <v>30317</v>
      </c>
      <c r="AE422">
        <v>3.6405476385009017E-2</v>
      </c>
    </row>
    <row r="423" spans="7:31" x14ac:dyDescent="0.25">
      <c r="G423" s="2"/>
      <c r="L423" s="2"/>
      <c r="P423" s="2">
        <v>34182</v>
      </c>
      <c r="Q423">
        <v>3445.7</v>
      </c>
      <c r="R423">
        <f t="shared" si="30"/>
        <v>1.3704648710845646E-2</v>
      </c>
      <c r="U423" s="2">
        <v>29799</v>
      </c>
      <c r="V423">
        <v>92.2</v>
      </c>
      <c r="W423">
        <f t="shared" si="31"/>
        <v>0.10271278273538531</v>
      </c>
      <c r="Y423" s="2">
        <f t="shared" si="32"/>
        <v>34182</v>
      </c>
      <c r="Z423">
        <f t="shared" si="33"/>
        <v>1.3704648710845646E-2</v>
      </c>
      <c r="AA423">
        <f t="shared" si="34"/>
        <v>0.10271278273538531</v>
      </c>
      <c r="AD423" s="2">
        <v>30348</v>
      </c>
      <c r="AE423">
        <v>3.4253478478539989E-2</v>
      </c>
    </row>
    <row r="424" spans="7:31" x14ac:dyDescent="0.25">
      <c r="G424" s="2"/>
      <c r="L424" s="2"/>
      <c r="P424" s="2">
        <v>34213</v>
      </c>
      <c r="Q424">
        <v>3452.2</v>
      </c>
      <c r="R424">
        <f t="shared" si="30"/>
        <v>1.221144500514626E-2</v>
      </c>
      <c r="U424" s="2">
        <v>29830</v>
      </c>
      <c r="V424">
        <v>93.1</v>
      </c>
      <c r="W424">
        <f t="shared" si="31"/>
        <v>0.10404857080986041</v>
      </c>
      <c r="Y424" s="2">
        <f t="shared" si="32"/>
        <v>34213</v>
      </c>
      <c r="Z424">
        <f t="shared" si="33"/>
        <v>1.221144500514626E-2</v>
      </c>
      <c r="AA424">
        <f t="shared" si="34"/>
        <v>0.10404857080986041</v>
      </c>
      <c r="AD424" s="2">
        <v>30376</v>
      </c>
      <c r="AE424">
        <v>3.5273366379285243E-2</v>
      </c>
    </row>
    <row r="425" spans="7:31" x14ac:dyDescent="0.25">
      <c r="G425" s="2"/>
      <c r="L425" s="2"/>
      <c r="P425" s="2">
        <v>34243</v>
      </c>
      <c r="Q425">
        <v>3456.7</v>
      </c>
      <c r="R425">
        <f t="shared" si="30"/>
        <v>9.5633313698328948E-3</v>
      </c>
      <c r="U425" s="2">
        <v>29860</v>
      </c>
      <c r="V425">
        <v>93.4</v>
      </c>
      <c r="W425">
        <f t="shared" si="31"/>
        <v>9.7775743576788088E-2</v>
      </c>
      <c r="Y425" s="2">
        <f t="shared" si="32"/>
        <v>34243</v>
      </c>
      <c r="Z425">
        <f t="shared" si="33"/>
        <v>9.5633313698328948E-3</v>
      </c>
      <c r="AA425">
        <f t="shared" si="34"/>
        <v>9.7775743576788088E-2</v>
      </c>
      <c r="AD425" s="2">
        <v>30407</v>
      </c>
      <c r="AE425">
        <v>3.9220713153281572E-2</v>
      </c>
    </row>
    <row r="426" spans="7:31" x14ac:dyDescent="0.25">
      <c r="G426" s="2"/>
      <c r="L426" s="2"/>
      <c r="P426" s="2">
        <v>34274</v>
      </c>
      <c r="Q426">
        <v>3470.1</v>
      </c>
      <c r="R426">
        <f t="shared" si="30"/>
        <v>1.2644079943587627E-2</v>
      </c>
      <c r="U426" s="2">
        <v>29891</v>
      </c>
      <c r="V426">
        <v>93.8</v>
      </c>
      <c r="W426">
        <f t="shared" si="31"/>
        <v>9.1479572864482606E-2</v>
      </c>
      <c r="Y426" s="2">
        <f t="shared" si="32"/>
        <v>34274</v>
      </c>
      <c r="Z426">
        <f t="shared" si="33"/>
        <v>1.2644079943587627E-2</v>
      </c>
      <c r="AA426">
        <f t="shared" si="34"/>
        <v>9.1479572864482606E-2</v>
      </c>
      <c r="AD426" s="2">
        <v>30437</v>
      </c>
      <c r="AE426">
        <v>3.3832032401434731E-2</v>
      </c>
    </row>
    <row r="427" spans="7:31" x14ac:dyDescent="0.25">
      <c r="G427" s="2"/>
      <c r="L427" s="2"/>
      <c r="P427" s="2">
        <v>34304</v>
      </c>
      <c r="Q427">
        <v>3474.5</v>
      </c>
      <c r="R427">
        <f t="shared" si="30"/>
        <v>1.4436707135269344E-2</v>
      </c>
      <c r="U427" s="2">
        <v>29921</v>
      </c>
      <c r="V427">
        <v>94.1</v>
      </c>
      <c r="W427">
        <f t="shared" si="31"/>
        <v>8.5370370781324034E-2</v>
      </c>
      <c r="Y427" s="2">
        <f t="shared" si="32"/>
        <v>34304</v>
      </c>
      <c r="Z427">
        <f t="shared" si="33"/>
        <v>1.4436707135269344E-2</v>
      </c>
      <c r="AA427">
        <f t="shared" si="34"/>
        <v>8.5370370781324034E-2</v>
      </c>
      <c r="AD427" s="2">
        <v>30468</v>
      </c>
      <c r="AE427">
        <v>2.4441135159145588E-2</v>
      </c>
    </row>
    <row r="428" spans="7:31" x14ac:dyDescent="0.25">
      <c r="G428" s="2"/>
      <c r="L428" s="2"/>
      <c r="P428" s="2">
        <v>34335</v>
      </c>
      <c r="Q428">
        <v>3474.9</v>
      </c>
      <c r="R428">
        <f t="shared" si="30"/>
        <v>1.6188343076610323E-2</v>
      </c>
      <c r="U428" s="2">
        <v>29952</v>
      </c>
      <c r="V428">
        <v>94.4</v>
      </c>
      <c r="W428">
        <f t="shared" si="31"/>
        <v>7.9336742236521651E-2</v>
      </c>
      <c r="Y428" s="2">
        <f t="shared" si="32"/>
        <v>34335</v>
      </c>
      <c r="Z428">
        <f t="shared" si="33"/>
        <v>1.6188343076610323E-2</v>
      </c>
      <c r="AA428">
        <f t="shared" si="34"/>
        <v>7.9336742236521651E-2</v>
      </c>
      <c r="AD428" s="2">
        <v>30498</v>
      </c>
      <c r="AE428">
        <v>2.3315805313616877E-2</v>
      </c>
    </row>
    <row r="429" spans="7:31" x14ac:dyDescent="0.25">
      <c r="G429" s="2"/>
      <c r="L429" s="2"/>
      <c r="P429" s="2">
        <v>34366</v>
      </c>
      <c r="Q429">
        <v>3475.7</v>
      </c>
      <c r="R429">
        <f t="shared" si="30"/>
        <v>1.7764828160588664E-2</v>
      </c>
      <c r="U429" s="2">
        <v>29983</v>
      </c>
      <c r="V429">
        <v>94.7</v>
      </c>
      <c r="W429">
        <f t="shared" si="31"/>
        <v>7.3377185713825455E-2</v>
      </c>
      <c r="Y429" s="2">
        <f t="shared" si="32"/>
        <v>34366</v>
      </c>
      <c r="Z429">
        <f t="shared" si="33"/>
        <v>1.7764828160588664E-2</v>
      </c>
      <c r="AA429">
        <f t="shared" si="34"/>
        <v>7.3377185713825455E-2</v>
      </c>
      <c r="AD429" s="2">
        <v>30529</v>
      </c>
      <c r="AE429">
        <v>2.4268127272437212E-2</v>
      </c>
    </row>
    <row r="430" spans="7:31" x14ac:dyDescent="0.25">
      <c r="G430" s="2"/>
      <c r="L430" s="2"/>
      <c r="P430" s="2">
        <v>34394</v>
      </c>
      <c r="Q430">
        <v>3480.1</v>
      </c>
      <c r="R430">
        <f t="shared" si="30"/>
        <v>1.9850328212593027E-2</v>
      </c>
      <c r="U430" s="2">
        <v>30011</v>
      </c>
      <c r="V430">
        <v>94.7</v>
      </c>
      <c r="W430">
        <f t="shared" si="31"/>
        <v>6.658214258099715E-2</v>
      </c>
      <c r="Y430" s="2">
        <f t="shared" si="32"/>
        <v>34394</v>
      </c>
      <c r="Z430">
        <f t="shared" si="33"/>
        <v>1.9850328212593027E-2</v>
      </c>
      <c r="AA430">
        <f t="shared" si="34"/>
        <v>6.658214258099715E-2</v>
      </c>
      <c r="AD430" s="2">
        <v>30560</v>
      </c>
      <c r="AE430">
        <v>2.7260648208891958E-2</v>
      </c>
    </row>
    <row r="431" spans="7:31" x14ac:dyDescent="0.25">
      <c r="G431" s="2"/>
      <c r="L431" s="2"/>
      <c r="P431" s="2">
        <v>34425</v>
      </c>
      <c r="Q431">
        <v>3481.3</v>
      </c>
      <c r="R431">
        <f t="shared" si="30"/>
        <v>2.0312336930757624E-2</v>
      </c>
      <c r="U431" s="2">
        <v>30042</v>
      </c>
      <c r="V431">
        <v>95</v>
      </c>
      <c r="W431">
        <f t="shared" si="31"/>
        <v>6.4117557123776869E-2</v>
      </c>
      <c r="Y431" s="2">
        <f t="shared" si="32"/>
        <v>34425</v>
      </c>
      <c r="Z431">
        <f t="shared" si="33"/>
        <v>2.0312336930757624E-2</v>
      </c>
      <c r="AA431">
        <f t="shared" si="34"/>
        <v>6.4117557123776869E-2</v>
      </c>
      <c r="AD431" s="2">
        <v>30590</v>
      </c>
      <c r="AE431">
        <v>2.7150989065950704E-2</v>
      </c>
    </row>
    <row r="432" spans="7:31" x14ac:dyDescent="0.25">
      <c r="G432" s="2"/>
      <c r="L432" s="2"/>
      <c r="P432" s="2">
        <v>34455</v>
      </c>
      <c r="Q432">
        <v>3490.8</v>
      </c>
      <c r="R432">
        <f t="shared" si="30"/>
        <v>1.5561034003706453E-2</v>
      </c>
      <c r="U432" s="2">
        <v>30072</v>
      </c>
      <c r="V432">
        <v>95.9</v>
      </c>
      <c r="W432">
        <f t="shared" si="31"/>
        <v>6.6835212824642554E-2</v>
      </c>
      <c r="Y432" s="2">
        <f t="shared" si="32"/>
        <v>34455</v>
      </c>
      <c r="Z432">
        <f t="shared" si="33"/>
        <v>1.5561034003706453E-2</v>
      </c>
      <c r="AA432">
        <f t="shared" si="34"/>
        <v>6.6835212824642554E-2</v>
      </c>
      <c r="AD432" s="2">
        <v>30621</v>
      </c>
      <c r="AE432">
        <v>3.114264735585337E-2</v>
      </c>
    </row>
    <row r="433" spans="7:31" x14ac:dyDescent="0.25">
      <c r="G433" s="2"/>
      <c r="L433" s="2"/>
      <c r="P433" s="2">
        <v>34486</v>
      </c>
      <c r="Q433">
        <v>3479.5</v>
      </c>
      <c r="R433">
        <f t="shared" si="30"/>
        <v>1.0719702760514593E-2</v>
      </c>
      <c r="U433" s="2">
        <v>30103</v>
      </c>
      <c r="V433">
        <v>97</v>
      </c>
      <c r="W433">
        <f t="shared" si="31"/>
        <v>6.9361127797502142E-2</v>
      </c>
      <c r="Y433" s="2">
        <f t="shared" si="32"/>
        <v>34486</v>
      </c>
      <c r="Z433">
        <f t="shared" si="33"/>
        <v>1.0719702760514593E-2</v>
      </c>
      <c r="AA433">
        <f t="shared" si="34"/>
        <v>6.9361127797502142E-2</v>
      </c>
      <c r="AD433" s="2">
        <v>30651</v>
      </c>
      <c r="AE433">
        <v>3.7171532108345673E-2</v>
      </c>
    </row>
    <row r="434" spans="7:31" x14ac:dyDescent="0.25">
      <c r="G434" s="2"/>
      <c r="L434" s="2"/>
      <c r="P434" s="2">
        <v>34516</v>
      </c>
      <c r="Q434">
        <v>3488.2</v>
      </c>
      <c r="R434">
        <f t="shared" si="30"/>
        <v>1.3333146063084556E-2</v>
      </c>
      <c r="U434" s="2">
        <v>30133</v>
      </c>
      <c r="V434">
        <v>97.5</v>
      </c>
      <c r="W434">
        <f t="shared" si="31"/>
        <v>6.3513405722325444E-2</v>
      </c>
      <c r="Y434" s="2">
        <f t="shared" si="32"/>
        <v>34516</v>
      </c>
      <c r="Z434">
        <f t="shared" si="33"/>
        <v>1.3333146063084556E-2</v>
      </c>
      <c r="AA434">
        <f t="shared" si="34"/>
        <v>6.3513405722325444E-2</v>
      </c>
      <c r="AD434" s="2">
        <v>30682</v>
      </c>
      <c r="AE434">
        <v>4.2006175634154985E-2</v>
      </c>
    </row>
    <row r="435" spans="7:31" x14ac:dyDescent="0.25">
      <c r="G435" s="2"/>
      <c r="L435" s="2"/>
      <c r="P435" s="2">
        <v>34547</v>
      </c>
      <c r="Q435">
        <v>3485.7</v>
      </c>
      <c r="R435">
        <f t="shared" si="30"/>
        <v>1.1541808016692912E-2</v>
      </c>
      <c r="U435" s="2">
        <v>30164</v>
      </c>
      <c r="V435">
        <v>97.7</v>
      </c>
      <c r="W435">
        <f t="shared" si="31"/>
        <v>5.7941428486189217E-2</v>
      </c>
      <c r="Y435" s="2">
        <f t="shared" si="32"/>
        <v>34547</v>
      </c>
      <c r="Z435">
        <f t="shared" si="33"/>
        <v>1.1541808016692912E-2</v>
      </c>
      <c r="AA435">
        <f t="shared" si="34"/>
        <v>5.7941428486189217E-2</v>
      </c>
      <c r="AD435" s="2">
        <v>30713</v>
      </c>
      <c r="AE435">
        <v>4.5870454066096578E-2</v>
      </c>
    </row>
    <row r="436" spans="7:31" x14ac:dyDescent="0.25">
      <c r="G436" s="2"/>
      <c r="L436" s="2"/>
      <c r="P436" s="2">
        <v>34578</v>
      </c>
      <c r="Q436">
        <v>3486.1</v>
      </c>
      <c r="R436">
        <f t="shared" si="30"/>
        <v>9.7719238892022275E-3</v>
      </c>
      <c r="U436" s="2">
        <v>30195</v>
      </c>
      <c r="V436">
        <v>97.7</v>
      </c>
      <c r="W436">
        <f t="shared" si="31"/>
        <v>4.8227374765716036E-2</v>
      </c>
      <c r="Y436" s="2">
        <f t="shared" si="32"/>
        <v>34578</v>
      </c>
      <c r="Z436">
        <f t="shared" si="33"/>
        <v>9.7719238892022275E-3</v>
      </c>
      <c r="AA436">
        <f t="shared" si="34"/>
        <v>4.8227374765716036E-2</v>
      </c>
      <c r="AD436" s="2">
        <v>30742</v>
      </c>
      <c r="AE436">
        <v>4.7770276268686018E-2</v>
      </c>
    </row>
    <row r="437" spans="7:31" x14ac:dyDescent="0.25">
      <c r="G437" s="2"/>
      <c r="L437" s="2"/>
      <c r="P437" s="2">
        <v>34608</v>
      </c>
      <c r="Q437">
        <v>3484.3</v>
      </c>
      <c r="R437">
        <f t="shared" si="30"/>
        <v>7.9527864767374723E-3</v>
      </c>
      <c r="U437" s="2">
        <v>30225</v>
      </c>
      <c r="V437">
        <v>98.1</v>
      </c>
      <c r="W437">
        <f t="shared" si="31"/>
        <v>4.9096021336520579E-2</v>
      </c>
      <c r="Y437" s="2">
        <f t="shared" si="32"/>
        <v>34608</v>
      </c>
      <c r="Z437">
        <f t="shared" si="33"/>
        <v>7.9527864767374723E-3</v>
      </c>
      <c r="AA437">
        <f t="shared" si="34"/>
        <v>4.9096021336520579E-2</v>
      </c>
      <c r="AD437" s="2">
        <v>30773</v>
      </c>
      <c r="AE437">
        <v>4.4539771371770343E-2</v>
      </c>
    </row>
    <row r="438" spans="7:31" x14ac:dyDescent="0.25">
      <c r="G438" s="2"/>
      <c r="L438" s="2"/>
      <c r="P438" s="2">
        <v>34639</v>
      </c>
      <c r="Q438">
        <v>3487.2</v>
      </c>
      <c r="R438">
        <f t="shared" si="30"/>
        <v>4.9157099547159078E-3</v>
      </c>
      <c r="U438" s="2">
        <v>30256</v>
      </c>
      <c r="V438">
        <v>98</v>
      </c>
      <c r="W438">
        <f t="shared" si="31"/>
        <v>4.3802622658393631E-2</v>
      </c>
      <c r="Y438" s="2">
        <f t="shared" si="32"/>
        <v>34639</v>
      </c>
      <c r="Z438">
        <f t="shared" si="33"/>
        <v>4.9157099547159078E-3</v>
      </c>
      <c r="AA438">
        <f t="shared" si="34"/>
        <v>4.3802622658393631E-2</v>
      </c>
      <c r="AD438" s="2">
        <v>30803</v>
      </c>
      <c r="AE438">
        <v>4.2433598414596041E-2</v>
      </c>
    </row>
    <row r="439" spans="7:31" x14ac:dyDescent="0.25">
      <c r="G439" s="2"/>
      <c r="L439" s="2"/>
      <c r="P439" s="2">
        <v>34669</v>
      </c>
      <c r="Q439">
        <v>3486.4</v>
      </c>
      <c r="R439">
        <f t="shared" si="30"/>
        <v>3.4191014359734595E-3</v>
      </c>
      <c r="U439" s="2">
        <v>30286</v>
      </c>
      <c r="V439">
        <v>97.7</v>
      </c>
      <c r="W439">
        <f t="shared" si="31"/>
        <v>3.7543512457403061E-2</v>
      </c>
      <c r="Y439" s="2">
        <f t="shared" si="32"/>
        <v>34669</v>
      </c>
      <c r="Z439">
        <f t="shared" si="33"/>
        <v>3.4191014359734595E-3</v>
      </c>
      <c r="AA439">
        <f t="shared" si="34"/>
        <v>3.7543512457403061E-2</v>
      </c>
      <c r="AD439" s="2">
        <v>30834</v>
      </c>
      <c r="AE439">
        <v>4.2350001572953211E-2</v>
      </c>
    </row>
    <row r="440" spans="7:31" x14ac:dyDescent="0.25">
      <c r="G440" s="2"/>
      <c r="L440" s="2"/>
      <c r="P440" s="2">
        <v>34700</v>
      </c>
      <c r="Q440">
        <v>3492.4</v>
      </c>
      <c r="R440">
        <f t="shared" si="30"/>
        <v>5.0234773302424429E-3</v>
      </c>
      <c r="U440" s="2">
        <v>30317</v>
      </c>
      <c r="V440">
        <v>97.9</v>
      </c>
      <c r="W440">
        <f t="shared" si="31"/>
        <v>3.6405476385009017E-2</v>
      </c>
      <c r="Y440" s="2">
        <f t="shared" si="32"/>
        <v>34700</v>
      </c>
      <c r="Z440">
        <f t="shared" si="33"/>
        <v>5.0234773302424429E-3</v>
      </c>
      <c r="AA440">
        <f t="shared" si="34"/>
        <v>3.6405476385009017E-2</v>
      </c>
      <c r="AD440" s="2">
        <v>30864</v>
      </c>
      <c r="AE440">
        <v>4.2183792303505108E-2</v>
      </c>
    </row>
    <row r="441" spans="7:31" x14ac:dyDescent="0.25">
      <c r="G441" s="2"/>
      <c r="L441" s="2"/>
      <c r="P441" s="2">
        <v>34731</v>
      </c>
      <c r="Q441">
        <v>3489.9</v>
      </c>
      <c r="R441">
        <f t="shared" si="30"/>
        <v>4.0771849290983653E-3</v>
      </c>
      <c r="U441" s="2">
        <v>30348</v>
      </c>
      <c r="V441">
        <v>98</v>
      </c>
      <c r="W441">
        <f t="shared" si="31"/>
        <v>3.4253478478539989E-2</v>
      </c>
      <c r="Y441" s="2">
        <f t="shared" si="32"/>
        <v>34731</v>
      </c>
      <c r="Z441">
        <f t="shared" si="33"/>
        <v>4.0771849290983653E-3</v>
      </c>
      <c r="AA441">
        <f t="shared" si="34"/>
        <v>3.4253478478539989E-2</v>
      </c>
      <c r="AD441" s="2">
        <v>30895</v>
      </c>
      <c r="AE441">
        <v>4.2059989127364084E-2</v>
      </c>
    </row>
    <row r="442" spans="7:31" x14ac:dyDescent="0.25">
      <c r="G442" s="2"/>
      <c r="L442" s="2"/>
      <c r="P442" s="2">
        <v>34759</v>
      </c>
      <c r="Q442">
        <v>3491.1</v>
      </c>
      <c r="R442">
        <f t="shared" si="30"/>
        <v>3.1558437942980078E-3</v>
      </c>
      <c r="U442" s="2">
        <v>30376</v>
      </c>
      <c r="V442">
        <v>98.1</v>
      </c>
      <c r="W442">
        <f t="shared" si="31"/>
        <v>3.5273366379285243E-2</v>
      </c>
      <c r="Y442" s="2">
        <f t="shared" si="32"/>
        <v>34759</v>
      </c>
      <c r="Z442">
        <f t="shared" si="33"/>
        <v>3.1558437942980078E-3</v>
      </c>
      <c r="AA442">
        <f t="shared" si="34"/>
        <v>3.5273366379285243E-2</v>
      </c>
      <c r="AD442" s="2">
        <v>30926</v>
      </c>
      <c r="AE442">
        <v>4.1936910618861845E-2</v>
      </c>
    </row>
    <row r="443" spans="7:31" x14ac:dyDescent="0.25">
      <c r="G443" s="2"/>
      <c r="L443" s="2"/>
      <c r="P443" s="2">
        <v>34790</v>
      </c>
      <c r="Q443">
        <v>3499.2</v>
      </c>
      <c r="R443">
        <f t="shared" si="30"/>
        <v>5.128583692959765E-3</v>
      </c>
      <c r="U443" s="2">
        <v>30407</v>
      </c>
      <c r="V443">
        <v>98.8</v>
      </c>
      <c r="W443">
        <f t="shared" si="31"/>
        <v>3.9220713153281572E-2</v>
      </c>
      <c r="Y443" s="2">
        <f t="shared" si="32"/>
        <v>34790</v>
      </c>
      <c r="Z443">
        <f t="shared" si="33"/>
        <v>5.128583692959765E-3</v>
      </c>
      <c r="AA443">
        <f t="shared" si="34"/>
        <v>3.9220713153281572E-2</v>
      </c>
      <c r="AD443" s="2">
        <v>30956</v>
      </c>
      <c r="AE443">
        <v>4.1773922245637252E-2</v>
      </c>
    </row>
    <row r="444" spans="7:31" x14ac:dyDescent="0.25">
      <c r="G444" s="2"/>
      <c r="L444" s="2"/>
      <c r="P444" s="2">
        <v>34820</v>
      </c>
      <c r="Q444">
        <v>3524.2</v>
      </c>
      <c r="R444">
        <f t="shared" si="30"/>
        <v>9.5225238454741401E-3</v>
      </c>
      <c r="U444" s="2">
        <v>30437</v>
      </c>
      <c r="V444">
        <v>99.2</v>
      </c>
      <c r="W444">
        <f t="shared" si="31"/>
        <v>3.3832032401434731E-2</v>
      </c>
      <c r="Y444" s="2">
        <f t="shared" si="32"/>
        <v>34820</v>
      </c>
      <c r="Z444">
        <f t="shared" si="33"/>
        <v>9.5225238454741401E-3</v>
      </c>
      <c r="AA444">
        <f t="shared" si="34"/>
        <v>3.3832032401434731E-2</v>
      </c>
      <c r="AD444" s="2">
        <v>30987</v>
      </c>
      <c r="AE444">
        <v>4.0703293113503847E-2</v>
      </c>
    </row>
    <row r="445" spans="7:31" x14ac:dyDescent="0.25">
      <c r="G445" s="2"/>
      <c r="L445" s="2"/>
      <c r="P445" s="2">
        <v>34851</v>
      </c>
      <c r="Q445">
        <v>3548.9</v>
      </c>
      <c r="R445">
        <f t="shared" si="30"/>
        <v>1.9749091013359532E-2</v>
      </c>
      <c r="U445" s="2">
        <v>30468</v>
      </c>
      <c r="V445">
        <v>99.4</v>
      </c>
      <c r="W445">
        <f t="shared" si="31"/>
        <v>2.4441135159145588E-2</v>
      </c>
      <c r="Y445" s="2">
        <f t="shared" si="32"/>
        <v>34851</v>
      </c>
      <c r="Z445">
        <f t="shared" si="33"/>
        <v>1.9749091013359532E-2</v>
      </c>
      <c r="AA445">
        <f t="shared" si="34"/>
        <v>2.4441135159145588E-2</v>
      </c>
      <c r="AD445" s="2">
        <v>31017</v>
      </c>
      <c r="AE445">
        <v>3.9637861759038273E-2</v>
      </c>
    </row>
    <row r="446" spans="7:31" x14ac:dyDescent="0.25">
      <c r="G446" s="2"/>
      <c r="L446" s="2"/>
      <c r="P446" s="2">
        <v>34881</v>
      </c>
      <c r="Q446">
        <v>3567.4</v>
      </c>
      <c r="R446">
        <f t="shared" si="30"/>
        <v>2.2451195289635351E-2</v>
      </c>
      <c r="U446" s="2">
        <v>30498</v>
      </c>
      <c r="V446">
        <v>99.8</v>
      </c>
      <c r="W446">
        <f t="shared" si="31"/>
        <v>2.3315805313616877E-2</v>
      </c>
      <c r="Y446" s="2">
        <f t="shared" si="32"/>
        <v>34881</v>
      </c>
      <c r="Z446">
        <f t="shared" si="33"/>
        <v>2.2451195289635351E-2</v>
      </c>
      <c r="AA446">
        <f t="shared" si="34"/>
        <v>2.3315805313616877E-2</v>
      </c>
      <c r="AD446" s="2">
        <v>31048</v>
      </c>
      <c r="AE446">
        <v>3.4652167705572445E-2</v>
      </c>
    </row>
    <row r="447" spans="7:31" x14ac:dyDescent="0.25">
      <c r="G447" s="2"/>
      <c r="L447" s="2"/>
      <c r="P447" s="2">
        <v>34912</v>
      </c>
      <c r="Q447">
        <v>3589</v>
      </c>
      <c r="R447">
        <f t="shared" si="30"/>
        <v>2.9204727290681021E-2</v>
      </c>
      <c r="U447" s="2">
        <v>30529</v>
      </c>
      <c r="V447">
        <v>100.1</v>
      </c>
      <c r="W447">
        <f t="shared" si="31"/>
        <v>2.4268127272437212E-2</v>
      </c>
      <c r="Y447" s="2">
        <f t="shared" si="32"/>
        <v>34912</v>
      </c>
      <c r="Z447">
        <f t="shared" si="33"/>
        <v>2.9204727290681021E-2</v>
      </c>
      <c r="AA447">
        <f t="shared" si="34"/>
        <v>2.4268127272437212E-2</v>
      </c>
      <c r="AD447" s="2">
        <v>31079</v>
      </c>
      <c r="AE447">
        <v>3.5427352611232976E-2</v>
      </c>
    </row>
    <row r="448" spans="7:31" x14ac:dyDescent="0.25">
      <c r="G448" s="2"/>
      <c r="L448" s="2"/>
      <c r="P448" s="2">
        <v>34943</v>
      </c>
      <c r="Q448">
        <v>3602.1</v>
      </c>
      <c r="R448">
        <f t="shared" si="30"/>
        <v>3.2733375862990854E-2</v>
      </c>
      <c r="U448" s="2">
        <v>30560</v>
      </c>
      <c r="V448">
        <v>100.4</v>
      </c>
      <c r="W448">
        <f t="shared" si="31"/>
        <v>2.7260648208891958E-2</v>
      </c>
      <c r="Y448" s="2">
        <f t="shared" si="32"/>
        <v>34943</v>
      </c>
      <c r="Z448">
        <f t="shared" si="33"/>
        <v>3.2733375862990854E-2</v>
      </c>
      <c r="AA448">
        <f t="shared" si="34"/>
        <v>2.7260648208891958E-2</v>
      </c>
      <c r="AD448" s="2">
        <v>31107</v>
      </c>
      <c r="AE448">
        <v>3.7200283686090962E-2</v>
      </c>
    </row>
    <row r="449" spans="7:31" x14ac:dyDescent="0.25">
      <c r="G449" s="2"/>
      <c r="L449" s="2"/>
      <c r="P449" s="2">
        <v>34973</v>
      </c>
      <c r="Q449">
        <v>3613.4</v>
      </c>
      <c r="R449">
        <f t="shared" si="30"/>
        <v>3.638199415257759E-2</v>
      </c>
      <c r="U449" s="2">
        <v>30590</v>
      </c>
      <c r="V449">
        <v>100.8</v>
      </c>
      <c r="W449">
        <f t="shared" si="31"/>
        <v>2.7150989065950704E-2</v>
      </c>
      <c r="Y449" s="2">
        <f t="shared" si="32"/>
        <v>34973</v>
      </c>
      <c r="Z449">
        <f t="shared" si="33"/>
        <v>3.638199415257759E-2</v>
      </c>
      <c r="AA449">
        <f t="shared" si="34"/>
        <v>2.7150989065950704E-2</v>
      </c>
      <c r="AD449" s="2">
        <v>31138</v>
      </c>
      <c r="AE449">
        <v>3.5191458336313097E-2</v>
      </c>
    </row>
    <row r="450" spans="7:31" x14ac:dyDescent="0.25">
      <c r="G450" s="2"/>
      <c r="L450" s="2"/>
      <c r="P450" s="2">
        <v>35004</v>
      </c>
      <c r="Q450">
        <v>3619.9</v>
      </c>
      <c r="R450">
        <f t="shared" si="30"/>
        <v>3.7347279204684725E-2</v>
      </c>
      <c r="U450" s="2">
        <v>30621</v>
      </c>
      <c r="V450">
        <v>101.1</v>
      </c>
      <c r="W450">
        <f t="shared" si="31"/>
        <v>3.114264735585337E-2</v>
      </c>
      <c r="Y450" s="2">
        <f t="shared" si="32"/>
        <v>35004</v>
      </c>
      <c r="Z450">
        <f t="shared" si="33"/>
        <v>3.7347279204684725E-2</v>
      </c>
      <c r="AA450">
        <f t="shared" si="34"/>
        <v>3.114264735585337E-2</v>
      </c>
      <c r="AD450" s="2">
        <v>31168</v>
      </c>
      <c r="AE450">
        <v>3.5124635931278014E-2</v>
      </c>
    </row>
    <row r="451" spans="7:31" x14ac:dyDescent="0.25">
      <c r="G451" s="2"/>
      <c r="L451" s="2"/>
      <c r="P451" s="2">
        <v>35034</v>
      </c>
      <c r="Q451">
        <v>3629.5</v>
      </c>
      <c r="R451">
        <f t="shared" si="30"/>
        <v>4.0225212534540589E-2</v>
      </c>
      <c r="U451" s="2">
        <v>30651</v>
      </c>
      <c r="V451">
        <v>101.4</v>
      </c>
      <c r="W451">
        <f t="shared" si="31"/>
        <v>3.7171532108345673E-2</v>
      </c>
      <c r="Y451" s="2">
        <f t="shared" si="32"/>
        <v>35034</v>
      </c>
      <c r="Z451">
        <f t="shared" si="33"/>
        <v>4.0225212534540589E-2</v>
      </c>
      <c r="AA451">
        <f t="shared" si="34"/>
        <v>3.7171532108345673E-2</v>
      </c>
      <c r="AD451" s="2">
        <v>31199</v>
      </c>
      <c r="AE451">
        <v>3.5988732332235429E-2</v>
      </c>
    </row>
    <row r="452" spans="7:31" x14ac:dyDescent="0.25">
      <c r="G452" s="2"/>
      <c r="L452" s="2"/>
      <c r="P452" s="2">
        <v>35065</v>
      </c>
      <c r="Q452">
        <v>3647.9</v>
      </c>
      <c r="R452">
        <f t="shared" si="30"/>
        <v>4.3562480601144316E-2</v>
      </c>
      <c r="U452" s="2">
        <v>30682</v>
      </c>
      <c r="V452">
        <v>102.1</v>
      </c>
      <c r="W452">
        <f t="shared" si="31"/>
        <v>4.2006175634154985E-2</v>
      </c>
      <c r="Y452" s="2">
        <f t="shared" si="32"/>
        <v>35065</v>
      </c>
      <c r="Z452">
        <f t="shared" si="33"/>
        <v>4.3562480601144316E-2</v>
      </c>
      <c r="AA452">
        <f t="shared" si="34"/>
        <v>4.2006175634154985E-2</v>
      </c>
      <c r="AD452" s="2">
        <v>31229</v>
      </c>
      <c r="AE452">
        <v>3.3997608541419311E-2</v>
      </c>
    </row>
    <row r="453" spans="7:31" x14ac:dyDescent="0.25">
      <c r="G453" s="2"/>
      <c r="L453" s="2"/>
      <c r="P453" s="2">
        <v>35096</v>
      </c>
      <c r="Q453">
        <v>3661.8</v>
      </c>
      <c r="R453">
        <f t="shared" si="30"/>
        <v>4.8081747287673338E-2</v>
      </c>
      <c r="U453" s="2">
        <v>30713</v>
      </c>
      <c r="V453">
        <v>102.6</v>
      </c>
      <c r="W453">
        <f t="shared" si="31"/>
        <v>4.5870454066096578E-2</v>
      </c>
      <c r="Y453" s="2">
        <f t="shared" si="32"/>
        <v>35096</v>
      </c>
      <c r="Z453">
        <f t="shared" si="33"/>
        <v>4.8081747287673338E-2</v>
      </c>
      <c r="AA453">
        <f t="shared" si="34"/>
        <v>4.5870454066096578E-2</v>
      </c>
      <c r="AD453" s="2">
        <v>31260</v>
      </c>
      <c r="AE453">
        <v>3.2975196815550056E-2</v>
      </c>
    </row>
    <row r="454" spans="7:31" x14ac:dyDescent="0.25">
      <c r="G454" s="2"/>
      <c r="L454" s="2"/>
      <c r="P454" s="2">
        <v>35125</v>
      </c>
      <c r="Q454">
        <v>3686.9</v>
      </c>
      <c r="R454">
        <f t="shared" si="30"/>
        <v>5.4569123762515659E-2</v>
      </c>
      <c r="U454" s="2">
        <v>30742</v>
      </c>
      <c r="V454">
        <v>102.9</v>
      </c>
      <c r="W454">
        <f t="shared" si="31"/>
        <v>4.7770276268686018E-2</v>
      </c>
      <c r="Y454" s="2">
        <f t="shared" si="32"/>
        <v>35125</v>
      </c>
      <c r="Z454">
        <f t="shared" si="33"/>
        <v>5.4569123762515659E-2</v>
      </c>
      <c r="AA454">
        <f t="shared" si="34"/>
        <v>4.7770276268686018E-2</v>
      </c>
      <c r="AD454" s="2">
        <v>31291</v>
      </c>
      <c r="AE454">
        <v>3.1957606768671099E-2</v>
      </c>
    </row>
    <row r="455" spans="7:31" x14ac:dyDescent="0.25">
      <c r="G455" s="2"/>
      <c r="L455" s="2"/>
      <c r="P455" s="2">
        <v>35156</v>
      </c>
      <c r="Q455">
        <v>3697.7</v>
      </c>
      <c r="R455">
        <f t="shared" si="30"/>
        <v>5.5176633801364616E-2</v>
      </c>
      <c r="U455" s="2">
        <v>30773</v>
      </c>
      <c r="V455">
        <v>103.3</v>
      </c>
      <c r="W455">
        <f t="shared" si="31"/>
        <v>4.4539771371770343E-2</v>
      </c>
      <c r="Y455" s="2">
        <f t="shared" si="32"/>
        <v>35156</v>
      </c>
      <c r="Z455">
        <f t="shared" si="33"/>
        <v>5.5176633801364616E-2</v>
      </c>
      <c r="AA455">
        <f t="shared" si="34"/>
        <v>4.4539771371770343E-2</v>
      </c>
      <c r="AD455" s="2">
        <v>31321</v>
      </c>
      <c r="AE455">
        <v>3.1837895097608815E-2</v>
      </c>
    </row>
    <row r="456" spans="7:31" x14ac:dyDescent="0.25">
      <c r="G456" s="2"/>
      <c r="L456" s="2"/>
      <c r="P456" s="2">
        <v>35186</v>
      </c>
      <c r="Q456">
        <v>3709.6</v>
      </c>
      <c r="R456">
        <f t="shared" si="30"/>
        <v>5.1270593942620124E-2</v>
      </c>
      <c r="U456" s="2">
        <v>30803</v>
      </c>
      <c r="V456">
        <v>103.5</v>
      </c>
      <c r="W456">
        <f t="shared" si="31"/>
        <v>4.2433598414596041E-2</v>
      </c>
      <c r="Y456" s="2">
        <f t="shared" si="32"/>
        <v>35186</v>
      </c>
      <c r="Z456">
        <f t="shared" si="33"/>
        <v>5.1270593942620124E-2</v>
      </c>
      <c r="AA456">
        <f t="shared" si="34"/>
        <v>4.2433598414596041E-2</v>
      </c>
      <c r="AD456" s="2">
        <v>31352</v>
      </c>
      <c r="AE456">
        <v>3.4534463089213929E-2</v>
      </c>
    </row>
    <row r="457" spans="7:31" x14ac:dyDescent="0.25">
      <c r="G457" s="2"/>
      <c r="L457" s="2"/>
      <c r="P457" s="2">
        <v>35217</v>
      </c>
      <c r="Q457">
        <v>3722.5</v>
      </c>
      <c r="R457">
        <f t="shared" si="30"/>
        <v>4.7757789259899042E-2</v>
      </c>
      <c r="U457" s="2">
        <v>30834</v>
      </c>
      <c r="V457">
        <v>103.7</v>
      </c>
      <c r="W457">
        <f t="shared" si="31"/>
        <v>4.2350001572953211E-2</v>
      </c>
      <c r="Y457" s="2">
        <f t="shared" si="32"/>
        <v>35217</v>
      </c>
      <c r="Z457">
        <f t="shared" si="33"/>
        <v>4.7757789259899042E-2</v>
      </c>
      <c r="AA457">
        <f t="shared" si="34"/>
        <v>4.2350001572953211E-2</v>
      </c>
      <c r="AD457" s="2">
        <v>31382</v>
      </c>
      <c r="AE457">
        <v>3.7213596340434307E-2</v>
      </c>
    </row>
    <row r="458" spans="7:31" x14ac:dyDescent="0.25">
      <c r="G458" s="2"/>
      <c r="L458" s="2"/>
      <c r="P458" s="2">
        <v>35247</v>
      </c>
      <c r="Q458">
        <v>3737.1</v>
      </c>
      <c r="R458">
        <f t="shared" si="30"/>
        <v>4.6472870435952274E-2</v>
      </c>
      <c r="U458" s="2">
        <v>30864</v>
      </c>
      <c r="V458">
        <v>104.1</v>
      </c>
      <c r="W458">
        <f t="shared" si="31"/>
        <v>4.2183792303505108E-2</v>
      </c>
      <c r="Y458" s="2">
        <f t="shared" si="32"/>
        <v>35247</v>
      </c>
      <c r="Z458">
        <f t="shared" si="33"/>
        <v>4.6472870435952274E-2</v>
      </c>
      <c r="AA458">
        <f t="shared" si="34"/>
        <v>4.2183792303505108E-2</v>
      </c>
      <c r="AD458" s="2">
        <v>31413</v>
      </c>
      <c r="AE458">
        <v>3.8965968533384299E-2</v>
      </c>
    </row>
    <row r="459" spans="7:31" x14ac:dyDescent="0.25">
      <c r="G459" s="2"/>
      <c r="L459" s="2"/>
      <c r="P459" s="2">
        <v>35278</v>
      </c>
      <c r="Q459">
        <v>3744</v>
      </c>
      <c r="R459">
        <f t="shared" si="30"/>
        <v>4.2280946449876566E-2</v>
      </c>
      <c r="U459" s="2">
        <v>30895</v>
      </c>
      <c r="V459">
        <v>104.4</v>
      </c>
      <c r="W459">
        <f t="shared" si="31"/>
        <v>4.2059989127364084E-2</v>
      </c>
      <c r="Y459" s="2">
        <f t="shared" si="32"/>
        <v>35278</v>
      </c>
      <c r="Z459">
        <f t="shared" si="33"/>
        <v>4.2280946449876566E-2</v>
      </c>
      <c r="AA459">
        <f t="shared" si="34"/>
        <v>4.2059989127364084E-2</v>
      </c>
      <c r="AD459" s="2">
        <v>31444</v>
      </c>
      <c r="AE459">
        <v>3.1484081933283115E-2</v>
      </c>
    </row>
    <row r="460" spans="7:31" x14ac:dyDescent="0.25">
      <c r="G460" s="2"/>
      <c r="L460" s="2"/>
      <c r="P460" s="2">
        <v>35309</v>
      </c>
      <c r="Q460">
        <v>3753.4</v>
      </c>
      <c r="R460">
        <f t="shared" si="30"/>
        <v>4.1145087152390403E-2</v>
      </c>
      <c r="U460" s="2">
        <v>30926</v>
      </c>
      <c r="V460">
        <v>104.7</v>
      </c>
      <c r="W460">
        <f t="shared" si="31"/>
        <v>4.1936910618861845E-2</v>
      </c>
      <c r="Y460" s="2">
        <f t="shared" si="32"/>
        <v>35309</v>
      </c>
      <c r="Z460">
        <f t="shared" si="33"/>
        <v>4.1145087152390403E-2</v>
      </c>
      <c r="AA460">
        <f t="shared" si="34"/>
        <v>4.1936910618861845E-2</v>
      </c>
      <c r="AD460" s="2">
        <v>31472</v>
      </c>
      <c r="AE460">
        <v>2.1306966312930165E-2</v>
      </c>
    </row>
    <row r="461" spans="7:31" x14ac:dyDescent="0.25">
      <c r="G461" s="2"/>
      <c r="L461" s="2"/>
      <c r="P461" s="2">
        <v>35339</v>
      </c>
      <c r="Q461">
        <v>3772.8</v>
      </c>
      <c r="R461">
        <f t="shared" si="30"/>
        <v>4.3168274003225093E-2</v>
      </c>
      <c r="U461" s="2">
        <v>30956</v>
      </c>
      <c r="V461">
        <v>105.1</v>
      </c>
      <c r="W461">
        <f t="shared" si="31"/>
        <v>4.1773922245637252E-2</v>
      </c>
      <c r="Y461" s="2">
        <f t="shared" si="32"/>
        <v>35339</v>
      </c>
      <c r="Z461">
        <f t="shared" si="33"/>
        <v>4.3168274003225093E-2</v>
      </c>
      <c r="AA461">
        <f t="shared" si="34"/>
        <v>4.1773922245637252E-2</v>
      </c>
      <c r="AD461" s="2">
        <v>31503</v>
      </c>
      <c r="AE461">
        <v>1.5762959665257981E-2</v>
      </c>
    </row>
    <row r="462" spans="7:31" x14ac:dyDescent="0.25">
      <c r="G462" s="2"/>
      <c r="L462" s="2"/>
      <c r="P462" s="2">
        <v>35370</v>
      </c>
      <c r="Q462">
        <v>3795.1</v>
      </c>
      <c r="R462">
        <f t="shared" si="30"/>
        <v>4.7264359814828794E-2</v>
      </c>
      <c r="U462" s="2">
        <v>30987</v>
      </c>
      <c r="V462">
        <v>105.3</v>
      </c>
      <c r="W462">
        <f t="shared" si="31"/>
        <v>4.0703293113503847E-2</v>
      </c>
      <c r="Y462" s="2">
        <f t="shared" si="32"/>
        <v>35370</v>
      </c>
      <c r="Z462">
        <f t="shared" si="33"/>
        <v>4.7264359814828794E-2</v>
      </c>
      <c r="AA462">
        <f t="shared" si="34"/>
        <v>4.0703293113503847E-2</v>
      </c>
      <c r="AD462" s="2">
        <v>31533</v>
      </c>
      <c r="AE462">
        <v>1.6651633592442039E-2</v>
      </c>
    </row>
    <row r="463" spans="7:31" x14ac:dyDescent="0.25">
      <c r="G463" s="2"/>
      <c r="L463" s="2"/>
      <c r="P463" s="2">
        <v>35400</v>
      </c>
      <c r="Q463">
        <v>3818.6</v>
      </c>
      <c r="R463">
        <f t="shared" si="30"/>
        <v>5.0788965554469101E-2</v>
      </c>
      <c r="U463" s="2">
        <v>31017</v>
      </c>
      <c r="V463">
        <v>105.5</v>
      </c>
      <c r="W463">
        <f t="shared" si="31"/>
        <v>3.9637861759038273E-2</v>
      </c>
      <c r="Y463" s="2">
        <f t="shared" si="32"/>
        <v>35400</v>
      </c>
      <c r="Z463">
        <f t="shared" si="33"/>
        <v>5.0788965554469101E-2</v>
      </c>
      <c r="AA463">
        <f t="shared" si="34"/>
        <v>3.9637861759038273E-2</v>
      </c>
      <c r="AD463" s="2">
        <v>31564</v>
      </c>
      <c r="AE463">
        <v>1.7520042420163584E-2</v>
      </c>
    </row>
    <row r="464" spans="7:31" x14ac:dyDescent="0.25">
      <c r="G464" s="2"/>
      <c r="L464" s="2"/>
      <c r="P464" s="2">
        <v>35431</v>
      </c>
      <c r="Q464">
        <v>3834.6</v>
      </c>
      <c r="R464">
        <f t="shared" si="30"/>
        <v>4.9913467346495821E-2</v>
      </c>
      <c r="U464" s="2">
        <v>31048</v>
      </c>
      <c r="V464">
        <v>105.7</v>
      </c>
      <c r="W464">
        <f t="shared" si="31"/>
        <v>3.4652167705572445E-2</v>
      </c>
      <c r="Y464" s="2">
        <f t="shared" si="32"/>
        <v>35431</v>
      </c>
      <c r="Z464">
        <f t="shared" si="33"/>
        <v>4.9913467346495821E-2</v>
      </c>
      <c r="AA464">
        <f t="shared" si="34"/>
        <v>3.4652167705572445E-2</v>
      </c>
      <c r="AD464" s="2">
        <v>31594</v>
      </c>
      <c r="AE464">
        <v>1.6574965094212857E-2</v>
      </c>
    </row>
    <row r="465" spans="7:31" x14ac:dyDescent="0.25">
      <c r="G465" s="2"/>
      <c r="L465" s="2"/>
      <c r="P465" s="2">
        <v>35462</v>
      </c>
      <c r="Q465">
        <v>3846.3</v>
      </c>
      <c r="R465">
        <f t="shared" si="30"/>
        <v>4.9156817448260171E-2</v>
      </c>
      <c r="U465" s="2">
        <v>31079</v>
      </c>
      <c r="V465">
        <v>106.3</v>
      </c>
      <c r="W465">
        <f t="shared" si="31"/>
        <v>3.5427352611232976E-2</v>
      </c>
      <c r="Y465" s="2">
        <f t="shared" si="32"/>
        <v>35462</v>
      </c>
      <c r="Z465">
        <f t="shared" si="33"/>
        <v>4.9156817448260171E-2</v>
      </c>
      <c r="AA465">
        <f t="shared" si="34"/>
        <v>3.5427352611232976E-2</v>
      </c>
      <c r="AD465" s="2">
        <v>31625</v>
      </c>
      <c r="AE465">
        <v>1.5632502249826707E-2</v>
      </c>
    </row>
    <row r="466" spans="7:31" x14ac:dyDescent="0.25">
      <c r="G466" s="2"/>
      <c r="L466" s="2"/>
      <c r="P466" s="2">
        <v>35490</v>
      </c>
      <c r="Q466">
        <v>3861.2</v>
      </c>
      <c r="R466">
        <f t="shared" si="30"/>
        <v>4.6192019429803111E-2</v>
      </c>
      <c r="U466" s="2">
        <v>31107</v>
      </c>
      <c r="V466">
        <v>106.8</v>
      </c>
      <c r="W466">
        <f t="shared" si="31"/>
        <v>3.7200283686090962E-2</v>
      </c>
      <c r="Y466" s="2">
        <f t="shared" si="32"/>
        <v>35490</v>
      </c>
      <c r="Z466">
        <f t="shared" si="33"/>
        <v>4.6192019429803111E-2</v>
      </c>
      <c r="AA466">
        <f t="shared" si="34"/>
        <v>3.7200283686090962E-2</v>
      </c>
      <c r="AD466" s="2">
        <v>31656</v>
      </c>
      <c r="AE466">
        <v>1.7423641147254365E-2</v>
      </c>
    </row>
    <row r="467" spans="7:31" x14ac:dyDescent="0.25">
      <c r="G467" s="2"/>
      <c r="L467" s="2"/>
      <c r="P467" s="2">
        <v>35521</v>
      </c>
      <c r="Q467">
        <v>3877</v>
      </c>
      <c r="R467">
        <f t="shared" si="30"/>
        <v>4.735065394705984E-2</v>
      </c>
      <c r="U467" s="2">
        <v>31138</v>
      </c>
      <c r="V467">
        <v>107</v>
      </c>
      <c r="W467">
        <f t="shared" si="31"/>
        <v>3.5191458336313097E-2</v>
      </c>
      <c r="Y467" s="2">
        <f t="shared" si="32"/>
        <v>35521</v>
      </c>
      <c r="Z467">
        <f t="shared" si="33"/>
        <v>4.735065394705984E-2</v>
      </c>
      <c r="AA467">
        <f t="shared" si="34"/>
        <v>3.5191458336313097E-2</v>
      </c>
      <c r="AD467" s="2">
        <v>31686</v>
      </c>
      <c r="AE467">
        <v>1.5546723738300017E-2</v>
      </c>
    </row>
    <row r="468" spans="7:31" x14ac:dyDescent="0.25">
      <c r="G468" s="2"/>
      <c r="L468" s="2"/>
      <c r="P468" s="2">
        <v>35551</v>
      </c>
      <c r="Q468">
        <v>3889.2</v>
      </c>
      <c r="R468">
        <f t="shared" ref="R468:R531" si="35">LN(Q468)-LN(Q456)</f>
        <v>4.7279426858251483E-2</v>
      </c>
      <c r="U468" s="2">
        <v>31168</v>
      </c>
      <c r="V468">
        <v>107.2</v>
      </c>
      <c r="W468">
        <f t="shared" ref="W468:W531" si="36">LN(V468)-LN(V456)</f>
        <v>3.5124635931278014E-2</v>
      </c>
      <c r="Y468" s="2">
        <f t="shared" si="32"/>
        <v>35551</v>
      </c>
      <c r="Z468">
        <f t="shared" si="33"/>
        <v>4.7279426858251483E-2</v>
      </c>
      <c r="AA468">
        <f t="shared" si="34"/>
        <v>3.5124635931278014E-2</v>
      </c>
      <c r="AD468" s="2">
        <v>31717</v>
      </c>
      <c r="AE468">
        <v>1.2762251613851916E-2</v>
      </c>
    </row>
    <row r="469" spans="7:31" x14ac:dyDescent="0.25">
      <c r="G469" s="2"/>
      <c r="L469" s="2"/>
      <c r="P469" s="2">
        <v>35582</v>
      </c>
      <c r="Q469">
        <v>3906</v>
      </c>
      <c r="R469">
        <f t="shared" si="35"/>
        <v>4.8118346878460727E-2</v>
      </c>
      <c r="U469" s="2">
        <v>31199</v>
      </c>
      <c r="V469">
        <v>107.5</v>
      </c>
      <c r="W469">
        <f t="shared" si="36"/>
        <v>3.5988732332235429E-2</v>
      </c>
      <c r="Y469" s="2">
        <f t="shared" ref="Y469:Y532" si="37">P469</f>
        <v>35582</v>
      </c>
      <c r="Z469">
        <f t="shared" ref="Z469:Z532" si="38">R469</f>
        <v>4.8118346878460727E-2</v>
      </c>
      <c r="AA469">
        <f t="shared" ref="AA469:AA532" si="39">W469</f>
        <v>3.5988732332235429E-2</v>
      </c>
      <c r="AD469" s="2">
        <v>31747</v>
      </c>
      <c r="AE469">
        <v>1.1802225056627869E-2</v>
      </c>
    </row>
    <row r="470" spans="7:31" x14ac:dyDescent="0.25">
      <c r="G470" s="2"/>
      <c r="L470" s="2"/>
      <c r="P470" s="2">
        <v>35612</v>
      </c>
      <c r="Q470">
        <v>3923.9</v>
      </c>
      <c r="R470">
        <f t="shared" si="35"/>
        <v>4.8776147600573694E-2</v>
      </c>
      <c r="U470" s="2">
        <v>31229</v>
      </c>
      <c r="V470">
        <v>107.7</v>
      </c>
      <c r="W470">
        <f t="shared" si="36"/>
        <v>3.3997608541419311E-2</v>
      </c>
      <c r="Y470" s="2">
        <f t="shared" si="37"/>
        <v>35612</v>
      </c>
      <c r="Z470">
        <f t="shared" si="38"/>
        <v>4.8776147600573694E-2</v>
      </c>
      <c r="AA470">
        <f t="shared" si="39"/>
        <v>3.3997608541419311E-2</v>
      </c>
      <c r="AD470" s="2">
        <v>31778</v>
      </c>
      <c r="AE470">
        <v>1.355646608360761E-2</v>
      </c>
    </row>
    <row r="471" spans="7:31" x14ac:dyDescent="0.25">
      <c r="G471" s="2"/>
      <c r="L471" s="2"/>
      <c r="P471" s="2">
        <v>35643</v>
      </c>
      <c r="Q471">
        <v>3957.4</v>
      </c>
      <c r="R471">
        <f t="shared" si="35"/>
        <v>5.5432685360855771E-2</v>
      </c>
      <c r="U471" s="2">
        <v>31260</v>
      </c>
      <c r="V471">
        <v>107.9</v>
      </c>
      <c r="W471">
        <f t="shared" si="36"/>
        <v>3.2975196815550056E-2</v>
      </c>
      <c r="Y471" s="2">
        <f t="shared" si="37"/>
        <v>35643</v>
      </c>
      <c r="Z471">
        <f t="shared" si="38"/>
        <v>5.5432685360855771E-2</v>
      </c>
      <c r="AA471">
        <f t="shared" si="39"/>
        <v>3.2975196815550056E-2</v>
      </c>
      <c r="AD471" s="2">
        <v>31809</v>
      </c>
      <c r="AE471">
        <v>1.8962193439813646E-2</v>
      </c>
    </row>
    <row r="472" spans="7:31" x14ac:dyDescent="0.25">
      <c r="G472" s="2"/>
      <c r="L472" s="2"/>
      <c r="P472" s="2">
        <v>35674</v>
      </c>
      <c r="Q472">
        <v>3973.1</v>
      </c>
      <c r="R472">
        <f t="shared" si="35"/>
        <v>5.6884550537473544E-2</v>
      </c>
      <c r="U472" s="2">
        <v>31291</v>
      </c>
      <c r="V472">
        <v>108.1</v>
      </c>
      <c r="W472">
        <f t="shared" si="36"/>
        <v>3.1957606768671099E-2</v>
      </c>
      <c r="Y472" s="2">
        <f t="shared" si="37"/>
        <v>35674</v>
      </c>
      <c r="Z472">
        <f t="shared" si="38"/>
        <v>5.6884550537473544E-2</v>
      </c>
      <c r="AA472">
        <f t="shared" si="39"/>
        <v>3.1957606768671099E-2</v>
      </c>
      <c r="AD472" s="2">
        <v>31837</v>
      </c>
      <c r="AE472">
        <v>2.8018100249571631E-2</v>
      </c>
    </row>
    <row r="473" spans="7:31" x14ac:dyDescent="0.25">
      <c r="G473" s="2"/>
      <c r="L473" s="2"/>
      <c r="P473" s="2">
        <v>35704</v>
      </c>
      <c r="Q473">
        <v>3992.3</v>
      </c>
      <c r="R473">
        <f t="shared" si="35"/>
        <v>5.6550074565262065E-2</v>
      </c>
      <c r="U473" s="2">
        <v>31321</v>
      </c>
      <c r="V473">
        <v>108.5</v>
      </c>
      <c r="W473">
        <f t="shared" si="36"/>
        <v>3.1837895097608815E-2</v>
      </c>
      <c r="Y473" s="2">
        <f t="shared" si="37"/>
        <v>35704</v>
      </c>
      <c r="Z473">
        <f t="shared" si="38"/>
        <v>5.6550074565262065E-2</v>
      </c>
      <c r="AA473">
        <f t="shared" si="39"/>
        <v>3.1837895097608815E-2</v>
      </c>
      <c r="AD473" s="2">
        <v>31868</v>
      </c>
      <c r="AE473">
        <v>3.6137626918566923E-2</v>
      </c>
    </row>
    <row r="474" spans="7:31" x14ac:dyDescent="0.25">
      <c r="G474" s="2"/>
      <c r="L474" s="2"/>
      <c r="P474" s="2">
        <v>35735</v>
      </c>
      <c r="Q474">
        <v>4014.8</v>
      </c>
      <c r="R474">
        <f t="shared" si="35"/>
        <v>5.627677199595027E-2</v>
      </c>
      <c r="U474" s="2">
        <v>31352</v>
      </c>
      <c r="V474">
        <v>109</v>
      </c>
      <c r="W474">
        <f t="shared" si="36"/>
        <v>3.4534463089213929E-2</v>
      </c>
      <c r="Y474" s="2">
        <f t="shared" si="37"/>
        <v>35735</v>
      </c>
      <c r="Z474">
        <f t="shared" si="38"/>
        <v>5.627677199595027E-2</v>
      </c>
      <c r="AA474">
        <f t="shared" si="39"/>
        <v>3.4534463089213929E-2</v>
      </c>
      <c r="AD474" s="2">
        <v>31898</v>
      </c>
      <c r="AE474">
        <v>3.6039936483197366E-2</v>
      </c>
    </row>
    <row r="475" spans="7:31" x14ac:dyDescent="0.25">
      <c r="G475" s="2"/>
      <c r="L475" s="2"/>
      <c r="P475" s="2">
        <v>35765</v>
      </c>
      <c r="Q475">
        <v>4032.9</v>
      </c>
      <c r="R475">
        <f t="shared" si="35"/>
        <v>5.4601856848952579E-2</v>
      </c>
      <c r="U475" s="2">
        <v>31382</v>
      </c>
      <c r="V475">
        <v>109.5</v>
      </c>
      <c r="W475">
        <f t="shared" si="36"/>
        <v>3.7213596340434307E-2</v>
      </c>
      <c r="Y475" s="2">
        <f t="shared" si="37"/>
        <v>35765</v>
      </c>
      <c r="Z475">
        <f t="shared" si="38"/>
        <v>5.4601856848952579E-2</v>
      </c>
      <c r="AA475">
        <f t="shared" si="39"/>
        <v>3.7213596340434307E-2</v>
      </c>
      <c r="AD475" s="2">
        <v>31929</v>
      </c>
      <c r="AE475">
        <v>3.6791946933576902E-2</v>
      </c>
    </row>
    <row r="476" spans="7:31" x14ac:dyDescent="0.25">
      <c r="G476" s="2"/>
      <c r="L476" s="2"/>
      <c r="P476" s="2">
        <v>35796</v>
      </c>
      <c r="Q476">
        <v>4056.2</v>
      </c>
      <c r="R476">
        <f t="shared" si="35"/>
        <v>5.6181447835740528E-2</v>
      </c>
      <c r="U476" s="2">
        <v>31413</v>
      </c>
      <c r="V476">
        <v>109.9</v>
      </c>
      <c r="W476">
        <f t="shared" si="36"/>
        <v>3.8965968533384299E-2</v>
      </c>
      <c r="Y476" s="2">
        <f t="shared" si="37"/>
        <v>35796</v>
      </c>
      <c r="Z476">
        <f t="shared" si="38"/>
        <v>5.6181447835740528E-2</v>
      </c>
      <c r="AA476">
        <f t="shared" si="39"/>
        <v>3.8965968533384299E-2</v>
      </c>
      <c r="AD476" s="2">
        <v>31959</v>
      </c>
      <c r="AE476">
        <v>3.8517972435674785E-2</v>
      </c>
    </row>
    <row r="477" spans="7:31" x14ac:dyDescent="0.25">
      <c r="G477" s="2"/>
      <c r="L477" s="2"/>
      <c r="P477" s="2">
        <v>35827</v>
      </c>
      <c r="Q477">
        <v>4088.9</v>
      </c>
      <c r="R477">
        <f t="shared" si="35"/>
        <v>6.1164337981651329E-2</v>
      </c>
      <c r="U477" s="2">
        <v>31444</v>
      </c>
      <c r="V477">
        <v>109.7</v>
      </c>
      <c r="W477">
        <f t="shared" si="36"/>
        <v>3.1484081933283115E-2</v>
      </c>
      <c r="Y477" s="2">
        <f t="shared" si="37"/>
        <v>35827</v>
      </c>
      <c r="Z477">
        <f t="shared" si="38"/>
        <v>6.1164337981651329E-2</v>
      </c>
      <c r="AA477">
        <f t="shared" si="39"/>
        <v>3.1484081933283115E-2</v>
      </c>
      <c r="AD477" s="2">
        <v>31990</v>
      </c>
      <c r="AE477">
        <v>4.1989196286849939E-2</v>
      </c>
    </row>
    <row r="478" spans="7:31" x14ac:dyDescent="0.25">
      <c r="G478" s="2"/>
      <c r="L478" s="2"/>
      <c r="P478" s="2">
        <v>35855</v>
      </c>
      <c r="Q478">
        <v>4114.3</v>
      </c>
      <c r="R478">
        <f t="shared" si="35"/>
        <v>6.349069431045784E-2</v>
      </c>
      <c r="U478" s="2">
        <v>31472</v>
      </c>
      <c r="V478">
        <v>109.1</v>
      </c>
      <c r="W478">
        <f t="shared" si="36"/>
        <v>2.1306966312930165E-2</v>
      </c>
      <c r="Y478" s="2">
        <f t="shared" si="37"/>
        <v>35855</v>
      </c>
      <c r="Z478">
        <f t="shared" si="38"/>
        <v>6.349069431045784E-2</v>
      </c>
      <c r="AA478">
        <f t="shared" si="39"/>
        <v>2.1306966312930165E-2</v>
      </c>
      <c r="AD478" s="2">
        <v>32021</v>
      </c>
      <c r="AE478">
        <v>4.1839658342908592E-2</v>
      </c>
    </row>
    <row r="479" spans="7:31" x14ac:dyDescent="0.25">
      <c r="G479" s="2"/>
      <c r="L479" s="2"/>
      <c r="P479" s="2">
        <v>35886</v>
      </c>
      <c r="Q479">
        <v>4140.2</v>
      </c>
      <c r="R479">
        <f t="shared" si="35"/>
        <v>6.5682437160324625E-2</v>
      </c>
      <c r="U479" s="2">
        <v>31503</v>
      </c>
      <c r="V479">
        <v>108.7</v>
      </c>
      <c r="W479">
        <f t="shared" si="36"/>
        <v>1.5762959665257981E-2</v>
      </c>
      <c r="Y479" s="2">
        <f t="shared" si="37"/>
        <v>35886</v>
      </c>
      <c r="Z479">
        <f t="shared" si="38"/>
        <v>6.5682437160324625E-2</v>
      </c>
      <c r="AA479">
        <f t="shared" si="39"/>
        <v>1.5762959665257981E-2</v>
      </c>
      <c r="AD479" s="2">
        <v>32051</v>
      </c>
      <c r="AE479">
        <v>4.2635231644435834E-2</v>
      </c>
    </row>
    <row r="480" spans="7:31" x14ac:dyDescent="0.25">
      <c r="G480" s="2"/>
      <c r="L480" s="2"/>
      <c r="P480" s="2">
        <v>35916</v>
      </c>
      <c r="Q480">
        <v>4164.3999999999996</v>
      </c>
      <c r="R480">
        <f t="shared" si="35"/>
        <v>6.8368726665095636E-2</v>
      </c>
      <c r="U480" s="2">
        <v>31533</v>
      </c>
      <c r="V480">
        <v>109</v>
      </c>
      <c r="W480">
        <f t="shared" si="36"/>
        <v>1.6651633592442039E-2</v>
      </c>
      <c r="Y480" s="2">
        <f t="shared" si="37"/>
        <v>35916</v>
      </c>
      <c r="Z480">
        <f t="shared" si="38"/>
        <v>6.8368726665095636E-2</v>
      </c>
      <c r="AA480">
        <f t="shared" si="39"/>
        <v>1.6651633592442039E-2</v>
      </c>
      <c r="AD480" s="2">
        <v>32082</v>
      </c>
      <c r="AE480">
        <v>4.4294220231003933E-2</v>
      </c>
    </row>
    <row r="481" spans="7:31" x14ac:dyDescent="0.25">
      <c r="G481" s="2"/>
      <c r="L481" s="2"/>
      <c r="P481" s="2">
        <v>35947</v>
      </c>
      <c r="Q481">
        <v>4184.1000000000004</v>
      </c>
      <c r="R481">
        <f t="shared" si="35"/>
        <v>6.8777794596133646E-2</v>
      </c>
      <c r="U481" s="2">
        <v>31564</v>
      </c>
      <c r="V481">
        <v>109.4</v>
      </c>
      <c r="W481">
        <f t="shared" si="36"/>
        <v>1.7520042420163584E-2</v>
      </c>
      <c r="Y481" s="2">
        <f t="shared" si="37"/>
        <v>35947</v>
      </c>
      <c r="Z481">
        <f t="shared" si="38"/>
        <v>6.8777794596133646E-2</v>
      </c>
      <c r="AA481">
        <f t="shared" si="39"/>
        <v>1.7520042420163584E-2</v>
      </c>
      <c r="AD481" s="2">
        <v>32112</v>
      </c>
      <c r="AE481">
        <v>4.2409181925093797E-2</v>
      </c>
    </row>
    <row r="482" spans="7:31" x14ac:dyDescent="0.25">
      <c r="G482" s="2"/>
      <c r="L482" s="2"/>
      <c r="P482" s="2">
        <v>35977</v>
      </c>
      <c r="Q482">
        <v>4203.8</v>
      </c>
      <c r="R482">
        <f t="shared" si="35"/>
        <v>6.8902820965149658E-2</v>
      </c>
      <c r="U482" s="2">
        <v>31594</v>
      </c>
      <c r="V482">
        <v>109.5</v>
      </c>
      <c r="W482">
        <f t="shared" si="36"/>
        <v>1.6574965094212857E-2</v>
      </c>
      <c r="Y482" s="2">
        <f t="shared" si="37"/>
        <v>35977</v>
      </c>
      <c r="Z482">
        <f t="shared" si="38"/>
        <v>6.8902820965149658E-2</v>
      </c>
      <c r="AA482">
        <f t="shared" si="39"/>
        <v>1.6574965094212857E-2</v>
      </c>
      <c r="AD482" s="2">
        <v>32143</v>
      </c>
      <c r="AE482">
        <v>4.0462863613180744E-2</v>
      </c>
    </row>
    <row r="483" spans="7:31" x14ac:dyDescent="0.25">
      <c r="G483" s="2"/>
      <c r="L483" s="2"/>
      <c r="P483" s="2">
        <v>36008</v>
      </c>
      <c r="Q483">
        <v>4228.7</v>
      </c>
      <c r="R483">
        <f t="shared" si="35"/>
        <v>6.6307373241670575E-2</v>
      </c>
      <c r="U483" s="2">
        <v>31625</v>
      </c>
      <c r="V483">
        <v>109.6</v>
      </c>
      <c r="W483">
        <f t="shared" si="36"/>
        <v>1.5632502249826707E-2</v>
      </c>
      <c r="Y483" s="2">
        <f t="shared" si="37"/>
        <v>36008</v>
      </c>
      <c r="Z483">
        <f t="shared" si="38"/>
        <v>6.6307373241670575E-2</v>
      </c>
      <c r="AA483">
        <f t="shared" si="39"/>
        <v>1.5632502249826707E-2</v>
      </c>
      <c r="AD483" s="2">
        <v>32174</v>
      </c>
      <c r="AE483">
        <v>3.8601283696812594E-2</v>
      </c>
    </row>
    <row r="484" spans="7:31" x14ac:dyDescent="0.25">
      <c r="G484" s="2"/>
      <c r="L484" s="2"/>
      <c r="P484" s="2">
        <v>36039</v>
      </c>
      <c r="Q484">
        <v>4267.6000000000004</v>
      </c>
      <c r="R484">
        <f t="shared" si="35"/>
        <v>7.1504961922661536E-2</v>
      </c>
      <c r="U484" s="2">
        <v>31656</v>
      </c>
      <c r="V484">
        <v>110</v>
      </c>
      <c r="W484">
        <f t="shared" si="36"/>
        <v>1.7423641147254365E-2</v>
      </c>
      <c r="Y484" s="2">
        <f t="shared" si="37"/>
        <v>36039</v>
      </c>
      <c r="Z484">
        <f t="shared" si="38"/>
        <v>7.1504961922661536E-2</v>
      </c>
      <c r="AA484">
        <f t="shared" si="39"/>
        <v>1.7423641147254365E-2</v>
      </c>
      <c r="AD484" s="2">
        <v>32203</v>
      </c>
      <c r="AE484">
        <v>3.7608279917159315E-2</v>
      </c>
    </row>
    <row r="485" spans="7:31" x14ac:dyDescent="0.25">
      <c r="G485" s="2"/>
      <c r="L485" s="2"/>
      <c r="P485" s="2">
        <v>36069</v>
      </c>
      <c r="Q485">
        <v>4307.7</v>
      </c>
      <c r="R485">
        <f t="shared" si="35"/>
        <v>7.6036613060127323E-2</v>
      </c>
      <c r="U485" s="2">
        <v>31686</v>
      </c>
      <c r="V485">
        <v>110.2</v>
      </c>
      <c r="W485">
        <f t="shared" si="36"/>
        <v>1.5546723738300017E-2</v>
      </c>
      <c r="Y485" s="2">
        <f t="shared" si="37"/>
        <v>36069</v>
      </c>
      <c r="Z485">
        <f t="shared" si="38"/>
        <v>7.6036613060127323E-2</v>
      </c>
      <c r="AA485">
        <f t="shared" si="39"/>
        <v>1.5546723738300017E-2</v>
      </c>
      <c r="AD485" s="2">
        <v>32234</v>
      </c>
      <c r="AE485">
        <v>3.9152456097181876E-2</v>
      </c>
    </row>
    <row r="486" spans="7:31" x14ac:dyDescent="0.25">
      <c r="G486" s="2"/>
      <c r="L486" s="2"/>
      <c r="P486" s="2">
        <v>36100</v>
      </c>
      <c r="Q486">
        <v>4346.3999999999996</v>
      </c>
      <c r="R486">
        <f t="shared" si="35"/>
        <v>7.9360383297666814E-2</v>
      </c>
      <c r="U486" s="2">
        <v>31717</v>
      </c>
      <c r="V486">
        <v>110.4</v>
      </c>
      <c r="W486">
        <f t="shared" si="36"/>
        <v>1.2762251613851916E-2</v>
      </c>
      <c r="Y486" s="2">
        <f t="shared" si="37"/>
        <v>36100</v>
      </c>
      <c r="Z486">
        <f t="shared" si="38"/>
        <v>7.9360383297666814E-2</v>
      </c>
      <c r="AA486">
        <f t="shared" si="39"/>
        <v>1.2762251613851916E-2</v>
      </c>
      <c r="AD486" s="2">
        <v>32264</v>
      </c>
      <c r="AE486">
        <v>3.9050514871872721E-2</v>
      </c>
    </row>
    <row r="487" spans="7:31" x14ac:dyDescent="0.25">
      <c r="G487" s="2"/>
      <c r="L487" s="2"/>
      <c r="P487" s="2">
        <v>36130</v>
      </c>
      <c r="Q487">
        <v>4375.2</v>
      </c>
      <c r="R487">
        <f t="shared" si="35"/>
        <v>8.1466512904246002E-2</v>
      </c>
      <c r="U487" s="2">
        <v>31747</v>
      </c>
      <c r="V487">
        <v>110.8</v>
      </c>
      <c r="W487">
        <f t="shared" si="36"/>
        <v>1.1802225056627869E-2</v>
      </c>
      <c r="Y487" s="2">
        <f t="shared" si="37"/>
        <v>36130</v>
      </c>
      <c r="Z487">
        <f t="shared" si="38"/>
        <v>8.1466512904246002E-2</v>
      </c>
      <c r="AA487">
        <f t="shared" si="39"/>
        <v>1.1802225056627869E-2</v>
      </c>
      <c r="AD487" s="2">
        <v>32295</v>
      </c>
      <c r="AE487">
        <v>3.8881787544207569E-2</v>
      </c>
    </row>
    <row r="488" spans="7:31" x14ac:dyDescent="0.25">
      <c r="G488" s="2"/>
      <c r="L488" s="2"/>
      <c r="P488" s="2">
        <v>36161</v>
      </c>
      <c r="Q488">
        <v>4402.6000000000004</v>
      </c>
      <c r="R488">
        <f t="shared" si="35"/>
        <v>8.19487007591988E-2</v>
      </c>
      <c r="U488" s="2">
        <v>31778</v>
      </c>
      <c r="V488">
        <v>111.4</v>
      </c>
      <c r="W488">
        <f t="shared" si="36"/>
        <v>1.355646608360761E-2</v>
      </c>
      <c r="Y488" s="2">
        <f t="shared" si="37"/>
        <v>36161</v>
      </c>
      <c r="Z488">
        <f t="shared" si="38"/>
        <v>8.19487007591988E-2</v>
      </c>
      <c r="AA488">
        <f t="shared" si="39"/>
        <v>1.355646608360761E-2</v>
      </c>
      <c r="AD488" s="2">
        <v>32325</v>
      </c>
      <c r="AE488">
        <v>4.0470438882955762E-2</v>
      </c>
    </row>
    <row r="489" spans="7:31" x14ac:dyDescent="0.25">
      <c r="G489" s="2"/>
      <c r="L489" s="2"/>
      <c r="P489" s="2">
        <v>36192</v>
      </c>
      <c r="Q489">
        <v>4425.3</v>
      </c>
      <c r="R489">
        <f t="shared" si="35"/>
        <v>7.9062087545697324E-2</v>
      </c>
      <c r="U489" s="2">
        <v>31809</v>
      </c>
      <c r="V489">
        <v>111.8</v>
      </c>
      <c r="W489">
        <f t="shared" si="36"/>
        <v>1.8962193439813646E-2</v>
      </c>
      <c r="Y489" s="2">
        <f t="shared" si="37"/>
        <v>36192</v>
      </c>
      <c r="Z489">
        <f t="shared" si="38"/>
        <v>7.9062087545697324E-2</v>
      </c>
      <c r="AA489">
        <f t="shared" si="39"/>
        <v>1.8962193439813646E-2</v>
      </c>
      <c r="AD489" s="2">
        <v>32356</v>
      </c>
      <c r="AE489">
        <v>4.0296922310764316E-2</v>
      </c>
    </row>
    <row r="490" spans="7:31" x14ac:dyDescent="0.25">
      <c r="G490" s="2"/>
      <c r="L490" s="2"/>
      <c r="P490" s="2">
        <v>36220</v>
      </c>
      <c r="Q490">
        <v>4432.1000000000004</v>
      </c>
      <c r="R490">
        <f t="shared" si="35"/>
        <v>7.4404802064552911E-2</v>
      </c>
      <c r="U490" s="2">
        <v>31837</v>
      </c>
      <c r="V490">
        <v>112.2</v>
      </c>
      <c r="W490">
        <f t="shared" si="36"/>
        <v>2.8018100249571631E-2</v>
      </c>
      <c r="Y490" s="2">
        <f t="shared" si="37"/>
        <v>36220</v>
      </c>
      <c r="Z490">
        <f t="shared" si="38"/>
        <v>7.4404802064552911E-2</v>
      </c>
      <c r="AA490">
        <f t="shared" si="39"/>
        <v>2.8018100249571631E-2</v>
      </c>
      <c r="AD490" s="2">
        <v>32387</v>
      </c>
      <c r="AE490">
        <v>4.099634723624046E-2</v>
      </c>
    </row>
    <row r="491" spans="7:31" x14ac:dyDescent="0.25">
      <c r="G491" s="2"/>
      <c r="L491" s="2"/>
      <c r="P491" s="2">
        <v>36251</v>
      </c>
      <c r="Q491">
        <v>4460.7</v>
      </c>
      <c r="R491">
        <f t="shared" si="35"/>
        <v>7.4561608540033575E-2</v>
      </c>
      <c r="U491" s="2">
        <v>31868</v>
      </c>
      <c r="V491">
        <v>112.7</v>
      </c>
      <c r="W491">
        <f t="shared" si="36"/>
        <v>3.6137626918566923E-2</v>
      </c>
      <c r="Y491" s="2">
        <f t="shared" si="37"/>
        <v>36251</v>
      </c>
      <c r="Z491">
        <f t="shared" si="38"/>
        <v>7.4561608540033575E-2</v>
      </c>
      <c r="AA491">
        <f t="shared" si="39"/>
        <v>3.6137626918566923E-2</v>
      </c>
      <c r="AD491" s="2">
        <v>32417</v>
      </c>
      <c r="AE491">
        <v>4.1725933670218041E-2</v>
      </c>
    </row>
    <row r="492" spans="7:31" x14ac:dyDescent="0.25">
      <c r="G492" s="2"/>
      <c r="L492" s="2"/>
      <c r="P492" s="2">
        <v>36281</v>
      </c>
      <c r="Q492">
        <v>4485.3</v>
      </c>
      <c r="R492">
        <f t="shared" si="35"/>
        <v>7.4233175287393038E-2</v>
      </c>
      <c r="U492" s="2">
        <v>31898</v>
      </c>
      <c r="V492">
        <v>113</v>
      </c>
      <c r="W492">
        <f t="shared" si="36"/>
        <v>3.6039936483197366E-2</v>
      </c>
      <c r="Y492" s="2">
        <f t="shared" si="37"/>
        <v>36281</v>
      </c>
      <c r="Z492">
        <f t="shared" si="38"/>
        <v>7.4233175287393038E-2</v>
      </c>
      <c r="AA492">
        <f t="shared" si="39"/>
        <v>3.6039936483197366E-2</v>
      </c>
      <c r="AD492" s="2">
        <v>32448</v>
      </c>
      <c r="AE492">
        <v>4.1584268906634136E-2</v>
      </c>
    </row>
    <row r="493" spans="7:31" x14ac:dyDescent="0.25">
      <c r="G493" s="2"/>
      <c r="L493" s="2"/>
      <c r="P493" s="2">
        <v>36312</v>
      </c>
      <c r="Q493">
        <v>4507.2</v>
      </c>
      <c r="R493">
        <f t="shared" si="35"/>
        <v>7.4384491089350746E-2</v>
      </c>
      <c r="U493" s="2">
        <v>31929</v>
      </c>
      <c r="V493">
        <v>113.5</v>
      </c>
      <c r="W493">
        <f t="shared" si="36"/>
        <v>3.6791946933576902E-2</v>
      </c>
      <c r="Y493" s="2">
        <f t="shared" si="37"/>
        <v>36312</v>
      </c>
      <c r="Z493">
        <f t="shared" si="38"/>
        <v>7.4384491089350746E-2</v>
      </c>
      <c r="AA493">
        <f t="shared" si="39"/>
        <v>3.6791946933576902E-2</v>
      </c>
      <c r="AD493" s="2">
        <v>32478</v>
      </c>
      <c r="AE493">
        <v>4.3172171865208497E-2</v>
      </c>
    </row>
    <row r="494" spans="7:31" x14ac:dyDescent="0.25">
      <c r="G494" s="2"/>
      <c r="L494" s="2"/>
      <c r="P494" s="2">
        <v>36342</v>
      </c>
      <c r="Q494">
        <v>4534.5</v>
      </c>
      <c r="R494">
        <f t="shared" si="35"/>
        <v>7.5725945761742963E-2</v>
      </c>
      <c r="U494" s="2">
        <v>31959</v>
      </c>
      <c r="V494">
        <v>113.8</v>
      </c>
      <c r="W494">
        <f t="shared" si="36"/>
        <v>3.8517972435674785E-2</v>
      </c>
      <c r="Y494" s="2">
        <f t="shared" si="37"/>
        <v>36342</v>
      </c>
      <c r="Z494">
        <f t="shared" si="38"/>
        <v>7.5725945761742963E-2</v>
      </c>
      <c r="AA494">
        <f t="shared" si="39"/>
        <v>3.8517972435674785E-2</v>
      </c>
      <c r="AD494" s="2">
        <v>32509</v>
      </c>
      <c r="AE494">
        <v>4.3851882528849195E-2</v>
      </c>
    </row>
    <row r="495" spans="7:31" x14ac:dyDescent="0.25">
      <c r="G495" s="2"/>
      <c r="L495" s="2"/>
      <c r="P495" s="2">
        <v>36373</v>
      </c>
      <c r="Q495">
        <v>4551.7</v>
      </c>
      <c r="R495">
        <f t="shared" si="35"/>
        <v>7.3606172337660425E-2</v>
      </c>
      <c r="U495" s="2">
        <v>31990</v>
      </c>
      <c r="V495">
        <v>114.3</v>
      </c>
      <c r="W495">
        <f t="shared" si="36"/>
        <v>4.1989196286849939E-2</v>
      </c>
      <c r="Y495" s="2">
        <f t="shared" si="37"/>
        <v>36373</v>
      </c>
      <c r="Z495">
        <f t="shared" si="38"/>
        <v>7.3606172337660425E-2</v>
      </c>
      <c r="AA495">
        <f t="shared" si="39"/>
        <v>4.1989196286849939E-2</v>
      </c>
      <c r="AD495" s="2">
        <v>32540</v>
      </c>
      <c r="AE495">
        <v>4.5424125114255531E-2</v>
      </c>
    </row>
    <row r="496" spans="7:31" x14ac:dyDescent="0.25">
      <c r="G496" s="2"/>
      <c r="L496" s="2"/>
      <c r="P496" s="2">
        <v>36404</v>
      </c>
      <c r="Q496">
        <v>4567.7</v>
      </c>
      <c r="R496">
        <f t="shared" si="35"/>
        <v>6.7958187606198095E-2</v>
      </c>
      <c r="U496" s="2">
        <v>32021</v>
      </c>
      <c r="V496">
        <v>114.7</v>
      </c>
      <c r="W496">
        <f t="shared" si="36"/>
        <v>4.1839658342908592E-2</v>
      </c>
      <c r="Y496" s="2">
        <f t="shared" si="37"/>
        <v>36404</v>
      </c>
      <c r="Z496">
        <f t="shared" si="38"/>
        <v>6.7958187606198095E-2</v>
      </c>
      <c r="AA496">
        <f t="shared" si="39"/>
        <v>4.1839658342908592E-2</v>
      </c>
      <c r="AD496" s="2">
        <v>32568</v>
      </c>
      <c r="AE496">
        <v>4.776777373173946E-2</v>
      </c>
    </row>
    <row r="497" spans="7:31" x14ac:dyDescent="0.25">
      <c r="G497" s="2"/>
      <c r="L497" s="2"/>
      <c r="P497" s="2">
        <v>36434</v>
      </c>
      <c r="Q497">
        <v>4591.5</v>
      </c>
      <c r="R497">
        <f t="shared" si="35"/>
        <v>6.3802649085136665E-2</v>
      </c>
      <c r="U497" s="2">
        <v>32051</v>
      </c>
      <c r="V497">
        <v>115</v>
      </c>
      <c r="W497">
        <f t="shared" si="36"/>
        <v>4.2635231644435834E-2</v>
      </c>
      <c r="Y497" s="2">
        <f t="shared" si="37"/>
        <v>36434</v>
      </c>
      <c r="Z497">
        <f t="shared" si="38"/>
        <v>6.3802649085136665E-2</v>
      </c>
      <c r="AA497">
        <f t="shared" si="39"/>
        <v>4.2635231644435834E-2</v>
      </c>
      <c r="AD497" s="2">
        <v>32599</v>
      </c>
      <c r="AE497">
        <v>4.911515604749539E-2</v>
      </c>
    </row>
    <row r="498" spans="7:31" x14ac:dyDescent="0.25">
      <c r="G498" s="2"/>
      <c r="L498" s="2"/>
      <c r="P498" s="2">
        <v>36465</v>
      </c>
      <c r="Q498">
        <v>4610.5</v>
      </c>
      <c r="R498">
        <f t="shared" si="35"/>
        <v>5.8988394741882999E-2</v>
      </c>
      <c r="U498" s="2">
        <v>32082</v>
      </c>
      <c r="V498">
        <v>115.4</v>
      </c>
      <c r="W498">
        <f t="shared" si="36"/>
        <v>4.4294220231003933E-2</v>
      </c>
      <c r="Y498" s="2">
        <f t="shared" si="37"/>
        <v>36465</v>
      </c>
      <c r="Z498">
        <f t="shared" si="38"/>
        <v>5.8988394741882999E-2</v>
      </c>
      <c r="AA498">
        <f t="shared" si="39"/>
        <v>4.4294220231003933E-2</v>
      </c>
      <c r="AD498" s="2">
        <v>32629</v>
      </c>
      <c r="AE498">
        <v>5.1420945814228958E-2</v>
      </c>
    </row>
    <row r="499" spans="7:31" x14ac:dyDescent="0.25">
      <c r="G499" s="2"/>
      <c r="L499" s="2"/>
      <c r="P499" s="2">
        <v>36495</v>
      </c>
      <c r="Q499">
        <v>4638</v>
      </c>
      <c r="R499">
        <f t="shared" si="35"/>
        <v>5.8331005782914502E-2</v>
      </c>
      <c r="U499" s="2">
        <v>32112</v>
      </c>
      <c r="V499">
        <v>115.6</v>
      </c>
      <c r="W499">
        <f t="shared" si="36"/>
        <v>4.2409181925093797E-2</v>
      </c>
      <c r="Y499" s="2">
        <f t="shared" si="37"/>
        <v>36495</v>
      </c>
      <c r="Z499">
        <f t="shared" si="38"/>
        <v>5.8331005782914502E-2</v>
      </c>
      <c r="AA499">
        <f t="shared" si="39"/>
        <v>4.2409181925093797E-2</v>
      </c>
      <c r="AD499" s="2">
        <v>32660</v>
      </c>
      <c r="AE499">
        <v>5.0403067744896113E-2</v>
      </c>
    </row>
    <row r="500" spans="7:31" x14ac:dyDescent="0.25">
      <c r="G500" s="2"/>
      <c r="L500" s="2"/>
      <c r="P500" s="2">
        <v>36526</v>
      </c>
      <c r="Q500">
        <v>4666.2</v>
      </c>
      <c r="R500">
        <f t="shared" si="35"/>
        <v>5.81497604497212E-2</v>
      </c>
      <c r="U500" s="2">
        <v>32143</v>
      </c>
      <c r="V500">
        <v>116</v>
      </c>
      <c r="W500">
        <f t="shared" si="36"/>
        <v>4.0462863613180744E-2</v>
      </c>
      <c r="Y500" s="2">
        <f t="shared" si="37"/>
        <v>36526</v>
      </c>
      <c r="Z500">
        <f t="shared" si="38"/>
        <v>5.81497604497212E-2</v>
      </c>
      <c r="AA500">
        <f t="shared" si="39"/>
        <v>4.0462863613180744E-2</v>
      </c>
      <c r="AD500" s="2">
        <v>32690</v>
      </c>
      <c r="AE500">
        <v>4.9392755329575877E-2</v>
      </c>
    </row>
    <row r="501" spans="7:31" x14ac:dyDescent="0.25">
      <c r="G501" s="2"/>
      <c r="L501" s="2"/>
      <c r="P501" s="2">
        <v>36557</v>
      </c>
      <c r="Q501">
        <v>4679.3999999999996</v>
      </c>
      <c r="R501">
        <f t="shared" si="35"/>
        <v>5.5831823810393644E-2</v>
      </c>
      <c r="U501" s="2">
        <v>32174</v>
      </c>
      <c r="V501">
        <v>116.2</v>
      </c>
      <c r="W501">
        <f t="shared" si="36"/>
        <v>3.8601283696812594E-2</v>
      </c>
      <c r="Y501" s="2">
        <f t="shared" si="37"/>
        <v>36557</v>
      </c>
      <c r="Z501">
        <f t="shared" si="38"/>
        <v>5.5831823810393644E-2</v>
      </c>
      <c r="AA501">
        <f t="shared" si="39"/>
        <v>3.8601283696812594E-2</v>
      </c>
      <c r="AD501" s="2">
        <v>32721</v>
      </c>
      <c r="AE501">
        <v>4.5182222793232363E-2</v>
      </c>
    </row>
    <row r="502" spans="7:31" x14ac:dyDescent="0.25">
      <c r="G502" s="2"/>
      <c r="L502" s="2"/>
      <c r="P502" s="2">
        <v>36586</v>
      </c>
      <c r="Q502">
        <v>4710.2</v>
      </c>
      <c r="R502">
        <f t="shared" si="35"/>
        <v>6.0856857604481007E-2</v>
      </c>
      <c r="U502" s="2">
        <v>32203</v>
      </c>
      <c r="V502">
        <v>116.5</v>
      </c>
      <c r="W502">
        <f t="shared" si="36"/>
        <v>3.7608279917159315E-2</v>
      </c>
      <c r="Y502" s="2">
        <f t="shared" si="37"/>
        <v>36586</v>
      </c>
      <c r="Z502">
        <f t="shared" si="38"/>
        <v>6.0856857604481007E-2</v>
      </c>
      <c r="AA502">
        <f t="shared" si="39"/>
        <v>3.7608279917159315E-2</v>
      </c>
      <c r="AD502" s="2">
        <v>32752</v>
      </c>
      <c r="AE502">
        <v>4.3396084563761761E-2</v>
      </c>
    </row>
    <row r="503" spans="7:31" x14ac:dyDescent="0.25">
      <c r="G503" s="2"/>
      <c r="L503" s="2"/>
      <c r="P503" s="2">
        <v>36617</v>
      </c>
      <c r="Q503">
        <v>4766.1000000000004</v>
      </c>
      <c r="R503">
        <f t="shared" si="35"/>
        <v>6.6222656022800308E-2</v>
      </c>
      <c r="U503" s="2">
        <v>32234</v>
      </c>
      <c r="V503">
        <v>117.2</v>
      </c>
      <c r="W503">
        <f t="shared" si="36"/>
        <v>3.9152456097181876E-2</v>
      </c>
      <c r="Y503" s="2">
        <f t="shared" si="37"/>
        <v>36617</v>
      </c>
      <c r="Z503">
        <f t="shared" si="38"/>
        <v>6.6222656022800308E-2</v>
      </c>
      <c r="AA503">
        <f t="shared" si="39"/>
        <v>3.9152456097181876E-2</v>
      </c>
      <c r="AD503" s="2">
        <v>32782</v>
      </c>
      <c r="AE503">
        <v>4.4850566165352213E-2</v>
      </c>
    </row>
    <row r="504" spans="7:31" x14ac:dyDescent="0.25">
      <c r="G504" s="2"/>
      <c r="L504" s="2"/>
      <c r="P504" s="2">
        <v>36647</v>
      </c>
      <c r="Q504">
        <v>4753.8999999999996</v>
      </c>
      <c r="R504">
        <f t="shared" si="35"/>
        <v>5.8159950892946455E-2</v>
      </c>
      <c r="U504" s="2">
        <v>32264</v>
      </c>
      <c r="V504">
        <v>117.5</v>
      </c>
      <c r="W504">
        <f t="shared" si="36"/>
        <v>3.9050514871872721E-2</v>
      </c>
      <c r="Y504" s="2">
        <f t="shared" si="37"/>
        <v>36647</v>
      </c>
      <c r="Z504">
        <f t="shared" si="38"/>
        <v>5.8159950892946455E-2</v>
      </c>
      <c r="AA504">
        <f t="shared" si="39"/>
        <v>3.9050514871872721E-2</v>
      </c>
      <c r="AD504" s="2">
        <v>32813</v>
      </c>
      <c r="AE504">
        <v>4.5499318069667893E-2</v>
      </c>
    </row>
    <row r="505" spans="7:31" x14ac:dyDescent="0.25">
      <c r="G505" s="2"/>
      <c r="L505" s="2"/>
      <c r="P505" s="2">
        <v>36678</v>
      </c>
      <c r="Q505">
        <v>4771.8</v>
      </c>
      <c r="R505">
        <f t="shared" si="35"/>
        <v>5.7047474069035431E-2</v>
      </c>
      <c r="U505" s="2">
        <v>32295</v>
      </c>
      <c r="V505">
        <v>118</v>
      </c>
      <c r="W505">
        <f t="shared" si="36"/>
        <v>3.8881787544207569E-2</v>
      </c>
      <c r="Y505" s="2">
        <f t="shared" si="37"/>
        <v>36678</v>
      </c>
      <c r="Z505">
        <f t="shared" si="38"/>
        <v>5.7047474069035431E-2</v>
      </c>
      <c r="AA505">
        <f t="shared" si="39"/>
        <v>3.8881787544207569E-2</v>
      </c>
      <c r="AD505" s="2">
        <v>32843</v>
      </c>
      <c r="AE505">
        <v>4.5351901252959514E-2</v>
      </c>
    </row>
    <row r="506" spans="7:31" x14ac:dyDescent="0.25">
      <c r="G506" s="2"/>
      <c r="L506" s="2"/>
      <c r="P506" s="2">
        <v>36708</v>
      </c>
      <c r="Q506">
        <v>4789.3999999999996</v>
      </c>
      <c r="R506">
        <f t="shared" si="35"/>
        <v>5.4690318711195118E-2</v>
      </c>
      <c r="U506" s="2">
        <v>32325</v>
      </c>
      <c r="V506">
        <v>118.5</v>
      </c>
      <c r="W506">
        <f t="shared" si="36"/>
        <v>4.0470438882955762E-2</v>
      </c>
      <c r="Y506" s="2">
        <f t="shared" si="37"/>
        <v>36708</v>
      </c>
      <c r="Z506">
        <f t="shared" si="38"/>
        <v>5.4690318711195118E-2</v>
      </c>
      <c r="AA506">
        <f t="shared" si="39"/>
        <v>4.0470438882955762E-2</v>
      </c>
      <c r="AD506" s="2">
        <v>32874</v>
      </c>
      <c r="AE506">
        <v>5.0674290963267588E-2</v>
      </c>
    </row>
    <row r="507" spans="7:31" x14ac:dyDescent="0.25">
      <c r="G507" s="2"/>
      <c r="L507" s="2"/>
      <c r="P507" s="2">
        <v>36739</v>
      </c>
      <c r="Q507">
        <v>4817.5</v>
      </c>
      <c r="R507">
        <f t="shared" si="35"/>
        <v>5.675433175085054E-2</v>
      </c>
      <c r="U507" s="2">
        <v>32356</v>
      </c>
      <c r="V507">
        <v>119</v>
      </c>
      <c r="W507">
        <f t="shared" si="36"/>
        <v>4.0296922310764316E-2</v>
      </c>
      <c r="Y507" s="2">
        <f t="shared" si="37"/>
        <v>36739</v>
      </c>
      <c r="Z507">
        <f t="shared" si="38"/>
        <v>5.675433175085054E-2</v>
      </c>
      <c r="AA507">
        <f t="shared" si="39"/>
        <v>4.0296922310764316E-2</v>
      </c>
      <c r="AD507" s="2">
        <v>32905</v>
      </c>
      <c r="AE507">
        <v>5.1293294387550148E-2</v>
      </c>
    </row>
    <row r="508" spans="7:31" x14ac:dyDescent="0.25">
      <c r="G508" s="2"/>
      <c r="L508" s="2"/>
      <c r="P508" s="2">
        <v>36770</v>
      </c>
      <c r="Q508">
        <v>4853.2</v>
      </c>
      <c r="R508">
        <f t="shared" si="35"/>
        <v>6.062848525421316E-2</v>
      </c>
      <c r="U508" s="2">
        <v>32387</v>
      </c>
      <c r="V508">
        <v>119.5</v>
      </c>
      <c r="W508">
        <f t="shared" si="36"/>
        <v>4.099634723624046E-2</v>
      </c>
      <c r="Y508" s="2">
        <f t="shared" si="37"/>
        <v>36770</v>
      </c>
      <c r="Z508">
        <f t="shared" si="38"/>
        <v>6.062848525421316E-2</v>
      </c>
      <c r="AA508">
        <f t="shared" si="39"/>
        <v>4.099634723624046E-2</v>
      </c>
      <c r="AD508" s="2">
        <v>32933</v>
      </c>
      <c r="AE508">
        <v>5.1047765066023487E-2</v>
      </c>
    </row>
    <row r="509" spans="7:31" x14ac:dyDescent="0.25">
      <c r="G509" s="2"/>
      <c r="L509" s="2"/>
      <c r="P509" s="2">
        <v>36800</v>
      </c>
      <c r="Q509">
        <v>4869.2</v>
      </c>
      <c r="R509">
        <f t="shared" si="35"/>
        <v>5.8722884481863247E-2</v>
      </c>
      <c r="U509" s="2">
        <v>32417</v>
      </c>
      <c r="V509">
        <v>119.9</v>
      </c>
      <c r="W509">
        <f t="shared" si="36"/>
        <v>4.1725933670218041E-2</v>
      </c>
      <c r="Y509" s="2">
        <f t="shared" si="37"/>
        <v>36800</v>
      </c>
      <c r="Z509">
        <f t="shared" si="38"/>
        <v>5.8722884481863247E-2</v>
      </c>
      <c r="AA509">
        <f t="shared" si="39"/>
        <v>4.1725933670218041E-2</v>
      </c>
      <c r="AD509" s="2">
        <v>32964</v>
      </c>
      <c r="AE509">
        <v>4.6039876754734088E-2</v>
      </c>
    </row>
    <row r="510" spans="7:31" x14ac:dyDescent="0.25">
      <c r="G510" s="2"/>
      <c r="L510" s="2"/>
      <c r="P510" s="2">
        <v>36831</v>
      </c>
      <c r="Q510">
        <v>4880.3</v>
      </c>
      <c r="R510">
        <f t="shared" si="35"/>
        <v>5.6870382388298779E-2</v>
      </c>
      <c r="U510" s="2">
        <v>32448</v>
      </c>
      <c r="V510">
        <v>120.3</v>
      </c>
      <c r="W510">
        <f t="shared" si="36"/>
        <v>4.1584268906634136E-2</v>
      </c>
      <c r="Y510" s="2">
        <f t="shared" si="37"/>
        <v>36831</v>
      </c>
      <c r="Z510">
        <f t="shared" si="38"/>
        <v>5.6870382388298779E-2</v>
      </c>
      <c r="AA510">
        <f t="shared" si="39"/>
        <v>4.1584268906634136E-2</v>
      </c>
      <c r="AD510" s="2">
        <v>32994</v>
      </c>
      <c r="AE510">
        <v>4.2728018454154082E-2</v>
      </c>
    </row>
    <row r="511" spans="7:31" x14ac:dyDescent="0.25">
      <c r="G511" s="2"/>
      <c r="L511" s="2"/>
      <c r="P511" s="2">
        <v>36861</v>
      </c>
      <c r="Q511">
        <v>4925</v>
      </c>
      <c r="R511">
        <f t="shared" si="35"/>
        <v>6.0041035790710851E-2</v>
      </c>
      <c r="U511" s="2">
        <v>32478</v>
      </c>
      <c r="V511">
        <v>120.7</v>
      </c>
      <c r="W511">
        <f t="shared" si="36"/>
        <v>4.3172171865208497E-2</v>
      </c>
      <c r="Y511" s="2">
        <f t="shared" si="37"/>
        <v>36861</v>
      </c>
      <c r="Z511">
        <f t="shared" si="38"/>
        <v>6.0041035790710851E-2</v>
      </c>
      <c r="AA511">
        <f t="shared" si="39"/>
        <v>4.3172171865208497E-2</v>
      </c>
      <c r="AD511" s="2">
        <v>33025</v>
      </c>
      <c r="AE511">
        <v>4.5677231465992563E-2</v>
      </c>
    </row>
    <row r="512" spans="7:31" x14ac:dyDescent="0.25">
      <c r="G512" s="2"/>
      <c r="L512" s="2"/>
      <c r="P512" s="2">
        <v>36892</v>
      </c>
      <c r="Q512">
        <v>4975.7</v>
      </c>
      <c r="R512">
        <f t="shared" si="35"/>
        <v>6.4221028283517612E-2</v>
      </c>
      <c r="U512" s="2">
        <v>32509</v>
      </c>
      <c r="V512">
        <v>121.2</v>
      </c>
      <c r="W512">
        <f t="shared" si="36"/>
        <v>4.3851882528849195E-2</v>
      </c>
      <c r="Y512" s="2">
        <f t="shared" si="37"/>
        <v>36892</v>
      </c>
      <c r="Z512">
        <f t="shared" si="38"/>
        <v>6.4221028283517612E-2</v>
      </c>
      <c r="AA512">
        <f t="shared" si="39"/>
        <v>4.3851882528849195E-2</v>
      </c>
      <c r="AD512" s="2">
        <v>33055</v>
      </c>
      <c r="AE512">
        <v>4.7067510857986328E-2</v>
      </c>
    </row>
    <row r="513" spans="7:31" x14ac:dyDescent="0.25">
      <c r="G513" s="2"/>
      <c r="L513" s="2"/>
      <c r="P513" s="2">
        <v>36923</v>
      </c>
      <c r="Q513">
        <v>5014.1000000000004</v>
      </c>
      <c r="R513">
        <f t="shared" si="35"/>
        <v>6.9084047111212854E-2</v>
      </c>
      <c r="U513" s="2">
        <v>32540</v>
      </c>
      <c r="V513">
        <v>121.6</v>
      </c>
      <c r="W513">
        <f t="shared" si="36"/>
        <v>4.5424125114255531E-2</v>
      </c>
      <c r="Y513" s="2">
        <f t="shared" si="37"/>
        <v>36923</v>
      </c>
      <c r="Z513">
        <f t="shared" si="38"/>
        <v>6.9084047111212854E-2</v>
      </c>
      <c r="AA513">
        <f t="shared" si="39"/>
        <v>4.5424125114255531E-2</v>
      </c>
      <c r="AD513" s="2">
        <v>33086</v>
      </c>
      <c r="AE513">
        <v>5.5461302986454797E-2</v>
      </c>
    </row>
    <row r="514" spans="7:31" x14ac:dyDescent="0.25">
      <c r="G514" s="2"/>
      <c r="L514" s="2"/>
      <c r="P514" s="2">
        <v>36951</v>
      </c>
      <c r="Q514">
        <v>5072</v>
      </c>
      <c r="R514">
        <f t="shared" si="35"/>
        <v>7.4004847163109844E-2</v>
      </c>
      <c r="U514" s="2">
        <v>32568</v>
      </c>
      <c r="V514">
        <v>122.2</v>
      </c>
      <c r="W514">
        <f t="shared" si="36"/>
        <v>4.776777373173946E-2</v>
      </c>
      <c r="Y514" s="2">
        <f t="shared" si="37"/>
        <v>36951</v>
      </c>
      <c r="Z514">
        <f t="shared" si="38"/>
        <v>7.4004847163109844E-2</v>
      </c>
      <c r="AA514">
        <f t="shared" si="39"/>
        <v>4.776777373173946E-2</v>
      </c>
      <c r="AD514" s="2">
        <v>33117</v>
      </c>
      <c r="AE514">
        <v>5.9870189490949244E-2</v>
      </c>
    </row>
    <row r="515" spans="7:31" x14ac:dyDescent="0.25">
      <c r="G515" s="2"/>
      <c r="L515" s="2"/>
      <c r="P515" s="2">
        <v>36982</v>
      </c>
      <c r="Q515">
        <v>5135.8999999999996</v>
      </c>
      <c r="R515">
        <f t="shared" si="35"/>
        <v>7.4726735381174691E-2</v>
      </c>
      <c r="U515" s="2">
        <v>32599</v>
      </c>
      <c r="V515">
        <v>123.1</v>
      </c>
      <c r="W515">
        <f t="shared" si="36"/>
        <v>4.911515604749539E-2</v>
      </c>
      <c r="Y515" s="2">
        <f t="shared" si="37"/>
        <v>36982</v>
      </c>
      <c r="Z515">
        <f t="shared" si="38"/>
        <v>7.4726735381174691E-2</v>
      </c>
      <c r="AA515">
        <f t="shared" si="39"/>
        <v>4.911515604749539E-2</v>
      </c>
      <c r="AD515" s="2">
        <v>33147</v>
      </c>
      <c r="AE515">
        <v>6.1843505282703326E-2</v>
      </c>
    </row>
    <row r="516" spans="7:31" x14ac:dyDescent="0.25">
      <c r="G516" s="2"/>
      <c r="L516" s="2"/>
      <c r="P516" s="2">
        <v>37012</v>
      </c>
      <c r="Q516">
        <v>5133</v>
      </c>
      <c r="R516">
        <f t="shared" si="35"/>
        <v>7.6724949779364948E-2</v>
      </c>
      <c r="U516" s="2">
        <v>32629</v>
      </c>
      <c r="V516">
        <v>123.7</v>
      </c>
      <c r="W516">
        <f t="shared" si="36"/>
        <v>5.1420945814228958E-2</v>
      </c>
      <c r="Y516" s="2">
        <f t="shared" si="37"/>
        <v>37012</v>
      </c>
      <c r="Z516">
        <f t="shared" si="38"/>
        <v>7.6724949779364948E-2</v>
      </c>
      <c r="AA516">
        <f t="shared" si="39"/>
        <v>5.1420945814228958E-2</v>
      </c>
      <c r="AD516" s="2">
        <v>33178</v>
      </c>
      <c r="AE516">
        <v>6.0110543057596111E-2</v>
      </c>
    </row>
    <row r="517" spans="7:31" x14ac:dyDescent="0.25">
      <c r="G517" s="2"/>
      <c r="L517" s="2"/>
      <c r="P517" s="2">
        <v>37043</v>
      </c>
      <c r="Q517">
        <v>5173.5</v>
      </c>
      <c r="R517">
        <f t="shared" si="35"/>
        <v>8.0825849853860987E-2</v>
      </c>
      <c r="U517" s="2">
        <v>32660</v>
      </c>
      <c r="V517">
        <v>124.1</v>
      </c>
      <c r="W517">
        <f t="shared" si="36"/>
        <v>5.0403067744896113E-2</v>
      </c>
      <c r="Y517" s="2">
        <f t="shared" si="37"/>
        <v>37043</v>
      </c>
      <c r="Z517">
        <f t="shared" si="38"/>
        <v>8.0825849853860987E-2</v>
      </c>
      <c r="AA517">
        <f t="shared" si="39"/>
        <v>5.0403067744896113E-2</v>
      </c>
      <c r="AD517" s="2">
        <v>33208</v>
      </c>
      <c r="AE517">
        <v>6.0671195181136284E-2</v>
      </c>
    </row>
    <row r="518" spans="7:31" x14ac:dyDescent="0.25">
      <c r="G518" s="2"/>
      <c r="L518" s="2"/>
      <c r="P518" s="2">
        <v>37073</v>
      </c>
      <c r="Q518">
        <v>5203.3999999999996</v>
      </c>
      <c r="R518">
        <f t="shared" si="35"/>
        <v>8.2907115460281844E-2</v>
      </c>
      <c r="U518" s="2">
        <v>32690</v>
      </c>
      <c r="V518">
        <v>124.5</v>
      </c>
      <c r="W518">
        <f t="shared" si="36"/>
        <v>4.9392755329575877E-2</v>
      </c>
      <c r="Y518" s="2">
        <f t="shared" si="37"/>
        <v>37073</v>
      </c>
      <c r="Z518">
        <f t="shared" si="38"/>
        <v>8.2907115460281844E-2</v>
      </c>
      <c r="AA518">
        <f t="shared" si="39"/>
        <v>4.9392755329575877E-2</v>
      </c>
      <c r="AD518" s="2">
        <v>33239</v>
      </c>
      <c r="AE518">
        <v>5.4933718817837374E-2</v>
      </c>
    </row>
    <row r="519" spans="7:31" x14ac:dyDescent="0.25">
      <c r="G519" s="2"/>
      <c r="L519" s="2"/>
      <c r="P519" s="2">
        <v>37104</v>
      </c>
      <c r="Q519">
        <v>5237.2</v>
      </c>
      <c r="R519">
        <f t="shared" si="35"/>
        <v>8.353188306507775E-2</v>
      </c>
      <c r="U519" s="2">
        <v>32721</v>
      </c>
      <c r="V519">
        <v>124.5</v>
      </c>
      <c r="W519">
        <f t="shared" si="36"/>
        <v>4.5182222793232363E-2</v>
      </c>
      <c r="Y519" s="2">
        <f t="shared" si="37"/>
        <v>37104</v>
      </c>
      <c r="Z519">
        <f t="shared" si="38"/>
        <v>8.353188306507775E-2</v>
      </c>
      <c r="AA519">
        <f t="shared" si="39"/>
        <v>4.5182222793232363E-2</v>
      </c>
      <c r="AD519" s="2">
        <v>33270</v>
      </c>
      <c r="AE519">
        <v>5.1761934558589573E-2</v>
      </c>
    </row>
    <row r="520" spans="7:31" x14ac:dyDescent="0.25">
      <c r="G520" s="2"/>
      <c r="L520" s="2"/>
      <c r="P520" s="2">
        <v>37135</v>
      </c>
      <c r="Q520">
        <v>5348.4</v>
      </c>
      <c r="R520">
        <f t="shared" si="35"/>
        <v>9.7159169562791803E-2</v>
      </c>
      <c r="U520" s="2">
        <v>32752</v>
      </c>
      <c r="V520">
        <v>124.8</v>
      </c>
      <c r="W520">
        <f t="shared" si="36"/>
        <v>4.3396084563761761E-2</v>
      </c>
      <c r="Y520" s="2">
        <f t="shared" si="37"/>
        <v>37135</v>
      </c>
      <c r="Z520">
        <f t="shared" si="38"/>
        <v>9.7159169562791803E-2</v>
      </c>
      <c r="AA520">
        <f t="shared" si="39"/>
        <v>4.3396084563761761E-2</v>
      </c>
      <c r="AD520" s="2">
        <v>33298</v>
      </c>
      <c r="AE520">
        <v>4.7085386674687868E-2</v>
      </c>
    </row>
    <row r="521" spans="7:31" x14ac:dyDescent="0.25">
      <c r="G521" s="2"/>
      <c r="L521" s="2"/>
      <c r="P521" s="2">
        <v>37165</v>
      </c>
      <c r="Q521">
        <v>5337.1</v>
      </c>
      <c r="R521">
        <f t="shared" si="35"/>
        <v>9.1752781741197609E-2</v>
      </c>
      <c r="U521" s="2">
        <v>32782</v>
      </c>
      <c r="V521">
        <v>125.4</v>
      </c>
      <c r="W521">
        <f t="shared" si="36"/>
        <v>4.4850566165352213E-2</v>
      </c>
      <c r="Y521" s="2">
        <f t="shared" si="37"/>
        <v>37165</v>
      </c>
      <c r="Z521">
        <f t="shared" si="38"/>
        <v>9.1752781741197609E-2</v>
      </c>
      <c r="AA521">
        <f t="shared" si="39"/>
        <v>4.4850566165352213E-2</v>
      </c>
      <c r="AD521" s="2">
        <v>33329</v>
      </c>
      <c r="AE521">
        <v>4.6978335021011119E-2</v>
      </c>
    </row>
    <row r="522" spans="7:31" x14ac:dyDescent="0.25">
      <c r="G522" s="2"/>
      <c r="L522" s="2"/>
      <c r="P522" s="2">
        <v>37196</v>
      </c>
      <c r="Q522">
        <v>5380.8</v>
      </c>
      <c r="R522">
        <f t="shared" si="35"/>
        <v>9.7630368618510488E-2</v>
      </c>
      <c r="U522" s="2">
        <v>32813</v>
      </c>
      <c r="V522">
        <v>125.9</v>
      </c>
      <c r="W522">
        <f t="shared" si="36"/>
        <v>4.5499318069667893E-2</v>
      </c>
      <c r="Y522" s="2">
        <f t="shared" si="37"/>
        <v>37196</v>
      </c>
      <c r="Z522">
        <f t="shared" si="38"/>
        <v>9.7630368618510488E-2</v>
      </c>
      <c r="AA522">
        <f t="shared" si="39"/>
        <v>4.5499318069667893E-2</v>
      </c>
      <c r="AD522" s="2">
        <v>33359</v>
      </c>
      <c r="AE522">
        <v>4.9122077653698248E-2</v>
      </c>
    </row>
    <row r="523" spans="7:31" x14ac:dyDescent="0.25">
      <c r="G523" s="2"/>
      <c r="L523" s="2"/>
      <c r="P523" s="2">
        <v>37226</v>
      </c>
      <c r="Q523">
        <v>5433.8</v>
      </c>
      <c r="R523">
        <f t="shared" si="35"/>
        <v>9.8314430402808739E-2</v>
      </c>
      <c r="U523" s="2">
        <v>32843</v>
      </c>
      <c r="V523">
        <v>126.3</v>
      </c>
      <c r="W523">
        <f t="shared" si="36"/>
        <v>4.5351901252959514E-2</v>
      </c>
      <c r="Y523" s="2">
        <f t="shared" si="37"/>
        <v>37226</v>
      </c>
      <c r="Z523">
        <f t="shared" si="38"/>
        <v>9.8314430402808739E-2</v>
      </c>
      <c r="AA523">
        <f t="shared" si="39"/>
        <v>4.5351901252959514E-2</v>
      </c>
      <c r="AD523" s="2">
        <v>33390</v>
      </c>
      <c r="AE523">
        <v>4.5889962059498579E-2</v>
      </c>
    </row>
    <row r="524" spans="7:31" x14ac:dyDescent="0.25">
      <c r="G524" s="2"/>
      <c r="L524" s="2"/>
      <c r="P524" s="2">
        <v>37257</v>
      </c>
      <c r="Q524">
        <v>5454.1</v>
      </c>
      <c r="R524">
        <f t="shared" si="35"/>
        <v>9.1801555191826978E-2</v>
      </c>
      <c r="U524" s="2">
        <v>32874</v>
      </c>
      <c r="V524">
        <v>127.5</v>
      </c>
      <c r="W524">
        <f t="shared" si="36"/>
        <v>5.0674290963267588E-2</v>
      </c>
      <c r="Y524" s="2">
        <f t="shared" si="37"/>
        <v>37257</v>
      </c>
      <c r="Z524">
        <f t="shared" si="38"/>
        <v>9.1801555191826978E-2</v>
      </c>
      <c r="AA524">
        <f t="shared" si="39"/>
        <v>5.0674290963267588E-2</v>
      </c>
      <c r="AD524" s="2">
        <v>33420</v>
      </c>
      <c r="AE524">
        <v>4.2751166952663233E-2</v>
      </c>
    </row>
    <row r="525" spans="7:31" x14ac:dyDescent="0.25">
      <c r="G525" s="2"/>
      <c r="L525" s="2"/>
      <c r="P525" s="2">
        <v>37288</v>
      </c>
      <c r="Q525">
        <v>5483.4</v>
      </c>
      <c r="R525">
        <f t="shared" si="35"/>
        <v>8.9471402830492153E-2</v>
      </c>
      <c r="U525" s="2">
        <v>32905</v>
      </c>
      <c r="V525">
        <v>128</v>
      </c>
      <c r="W525">
        <f t="shared" si="36"/>
        <v>5.1293294387550148E-2</v>
      </c>
      <c r="Y525" s="2">
        <f t="shared" si="37"/>
        <v>37288</v>
      </c>
      <c r="Z525">
        <f t="shared" si="38"/>
        <v>8.9471402830492153E-2</v>
      </c>
      <c r="AA525">
        <f t="shared" si="39"/>
        <v>5.1293294387550148E-2</v>
      </c>
      <c r="AD525" s="2">
        <v>33451</v>
      </c>
      <c r="AE525">
        <v>3.7289928245472836E-2</v>
      </c>
    </row>
    <row r="526" spans="7:31" x14ac:dyDescent="0.25">
      <c r="G526" s="2"/>
      <c r="L526" s="2"/>
      <c r="P526" s="2">
        <v>37316</v>
      </c>
      <c r="Q526">
        <v>5495.2</v>
      </c>
      <c r="R526">
        <f t="shared" si="35"/>
        <v>8.0139766782609811E-2</v>
      </c>
      <c r="U526" s="2">
        <v>32933</v>
      </c>
      <c r="V526">
        <v>128.6</v>
      </c>
      <c r="W526">
        <f t="shared" si="36"/>
        <v>5.1047765066023487E-2</v>
      </c>
      <c r="Y526" s="2">
        <f t="shared" si="37"/>
        <v>37316</v>
      </c>
      <c r="Z526">
        <f t="shared" si="38"/>
        <v>8.0139766782609811E-2</v>
      </c>
      <c r="AA526">
        <f t="shared" si="39"/>
        <v>5.1047765066023487E-2</v>
      </c>
      <c r="AD526" s="2">
        <v>33482</v>
      </c>
      <c r="AE526">
        <v>3.3398280401848446E-2</v>
      </c>
    </row>
    <row r="527" spans="7:31" x14ac:dyDescent="0.25">
      <c r="G527" s="2"/>
      <c r="L527" s="2"/>
      <c r="P527" s="2">
        <v>37347</v>
      </c>
      <c r="Q527">
        <v>5495.4</v>
      </c>
      <c r="R527">
        <f t="shared" si="35"/>
        <v>6.7656282861735306E-2</v>
      </c>
      <c r="U527" s="2">
        <v>32964</v>
      </c>
      <c r="V527">
        <v>128.9</v>
      </c>
      <c r="W527">
        <f t="shared" si="36"/>
        <v>4.6039876754734088E-2</v>
      </c>
      <c r="Y527" s="2">
        <f t="shared" si="37"/>
        <v>37347</v>
      </c>
      <c r="Z527">
        <f t="shared" si="38"/>
        <v>6.7656282861735306E-2</v>
      </c>
      <c r="AA527">
        <f t="shared" si="39"/>
        <v>4.6039876754734088E-2</v>
      </c>
      <c r="AD527" s="2">
        <v>33512</v>
      </c>
      <c r="AE527">
        <v>2.8087581810260609E-2</v>
      </c>
    </row>
    <row r="528" spans="7:31" x14ac:dyDescent="0.25">
      <c r="G528" s="2"/>
      <c r="L528" s="2"/>
      <c r="P528" s="2">
        <v>37377</v>
      </c>
      <c r="Q528">
        <v>5521.5</v>
      </c>
      <c r="R528">
        <f t="shared" si="35"/>
        <v>7.2959278926882476E-2</v>
      </c>
      <c r="U528" s="2">
        <v>32994</v>
      </c>
      <c r="V528">
        <v>129.1</v>
      </c>
      <c r="W528">
        <f t="shared" si="36"/>
        <v>4.2728018454154082E-2</v>
      </c>
      <c r="Y528" s="2">
        <f t="shared" si="37"/>
        <v>37377</v>
      </c>
      <c r="Z528">
        <f t="shared" si="38"/>
        <v>7.2959278926882476E-2</v>
      </c>
      <c r="AA528">
        <f t="shared" si="39"/>
        <v>4.2728018454154082E-2</v>
      </c>
      <c r="AD528" s="2">
        <v>33543</v>
      </c>
      <c r="AE528">
        <v>3.0204874471660759E-2</v>
      </c>
    </row>
    <row r="529" spans="7:31" x14ac:dyDescent="0.25">
      <c r="G529" s="2"/>
      <c r="L529" s="2"/>
      <c r="P529" s="2">
        <v>37408</v>
      </c>
      <c r="Q529">
        <v>5546.5</v>
      </c>
      <c r="R529">
        <f t="shared" si="35"/>
        <v>6.9617656133710071E-2</v>
      </c>
      <c r="U529" s="2">
        <v>33025</v>
      </c>
      <c r="V529">
        <v>129.9</v>
      </c>
      <c r="W529">
        <f t="shared" si="36"/>
        <v>4.5677231465992563E-2</v>
      </c>
      <c r="Y529" s="2">
        <f t="shared" si="37"/>
        <v>37408</v>
      </c>
      <c r="Z529">
        <f t="shared" si="38"/>
        <v>6.9617656133710071E-2</v>
      </c>
      <c r="AA529">
        <f t="shared" si="39"/>
        <v>4.5677231465992563E-2</v>
      </c>
      <c r="AD529" s="2">
        <v>33573</v>
      </c>
      <c r="AE529">
        <v>2.9370686795988199E-2</v>
      </c>
    </row>
    <row r="530" spans="7:31" x14ac:dyDescent="0.25">
      <c r="G530" s="2"/>
      <c r="L530" s="2"/>
      <c r="P530" s="2">
        <v>37438</v>
      </c>
      <c r="Q530">
        <v>5589.1</v>
      </c>
      <c r="R530">
        <f t="shared" si="35"/>
        <v>7.1506014338957868E-2</v>
      </c>
      <c r="U530" s="2">
        <v>33055</v>
      </c>
      <c r="V530">
        <v>130.5</v>
      </c>
      <c r="W530">
        <f t="shared" si="36"/>
        <v>4.7067510857986328E-2</v>
      </c>
      <c r="Y530" s="2">
        <f t="shared" si="37"/>
        <v>37438</v>
      </c>
      <c r="Z530">
        <f t="shared" si="38"/>
        <v>7.1506014338957868E-2</v>
      </c>
      <c r="AA530">
        <f t="shared" si="39"/>
        <v>4.7067510857986328E-2</v>
      </c>
      <c r="AD530" s="2">
        <v>33604</v>
      </c>
      <c r="AE530">
        <v>2.6375155254394045E-2</v>
      </c>
    </row>
    <row r="531" spans="7:31" x14ac:dyDescent="0.25">
      <c r="G531" s="2"/>
      <c r="L531" s="2"/>
      <c r="P531" s="2">
        <v>37469</v>
      </c>
      <c r="Q531">
        <v>5631.6</v>
      </c>
      <c r="R531">
        <f t="shared" si="35"/>
        <v>7.2606589234773367E-2</v>
      </c>
      <c r="U531" s="2">
        <v>33086</v>
      </c>
      <c r="V531">
        <v>131.6</v>
      </c>
      <c r="W531">
        <f t="shared" si="36"/>
        <v>5.5461302986454797E-2</v>
      </c>
      <c r="Y531" s="2">
        <f t="shared" si="37"/>
        <v>37469</v>
      </c>
      <c r="Z531">
        <f t="shared" si="38"/>
        <v>7.2606589234773367E-2</v>
      </c>
      <c r="AA531">
        <f t="shared" si="39"/>
        <v>5.5461302986454797E-2</v>
      </c>
      <c r="AD531" s="2">
        <v>33635</v>
      </c>
      <c r="AE531">
        <v>2.7799888277596274E-2</v>
      </c>
    </row>
    <row r="532" spans="7:31" x14ac:dyDescent="0.25">
      <c r="G532" s="2"/>
      <c r="L532" s="2"/>
      <c r="P532" s="2">
        <v>37500</v>
      </c>
      <c r="Q532">
        <v>5656</v>
      </c>
      <c r="R532">
        <f t="shared" ref="R532:R595" si="40">LN(Q532)-LN(Q520)</f>
        <v>5.5919477835898235E-2</v>
      </c>
      <c r="U532" s="2">
        <v>33117</v>
      </c>
      <c r="V532">
        <v>132.5</v>
      </c>
      <c r="W532">
        <f t="shared" ref="W532:W595" si="41">LN(V532)-LN(V520)</f>
        <v>5.9870189490949244E-2</v>
      </c>
      <c r="Y532" s="2">
        <f t="shared" si="37"/>
        <v>37500</v>
      </c>
      <c r="Z532">
        <f t="shared" si="38"/>
        <v>5.5919477835898235E-2</v>
      </c>
      <c r="AA532">
        <f t="shared" si="39"/>
        <v>5.9870189490949244E-2</v>
      </c>
      <c r="AD532" s="2">
        <v>33664</v>
      </c>
      <c r="AE532">
        <v>3.1400900451190594E-2</v>
      </c>
    </row>
    <row r="533" spans="7:31" x14ac:dyDescent="0.25">
      <c r="G533" s="2"/>
      <c r="L533" s="2"/>
      <c r="P533" s="2">
        <v>37530</v>
      </c>
      <c r="Q533">
        <v>5700.4</v>
      </c>
      <c r="R533">
        <f t="shared" si="40"/>
        <v>6.5853913522419205E-2</v>
      </c>
      <c r="U533" s="2">
        <v>33147</v>
      </c>
      <c r="V533">
        <v>133.4</v>
      </c>
      <c r="W533">
        <f t="shared" si="41"/>
        <v>6.1843505282703326E-2</v>
      </c>
      <c r="Y533" s="2">
        <f t="shared" ref="Y533:Y596" si="42">P533</f>
        <v>37530</v>
      </c>
      <c r="Z533">
        <f t="shared" ref="Z533:Z596" si="43">R533</f>
        <v>6.5853913522419205E-2</v>
      </c>
      <c r="AA533">
        <f t="shared" ref="AA533:AA596" si="44">W533</f>
        <v>6.1843505282703326E-2</v>
      </c>
      <c r="AD533" s="2">
        <v>33695</v>
      </c>
      <c r="AE533">
        <v>3.1332253360270457E-2</v>
      </c>
    </row>
    <row r="534" spans="7:31" x14ac:dyDescent="0.25">
      <c r="G534" s="2"/>
      <c r="L534" s="2"/>
      <c r="P534" s="2">
        <v>37561</v>
      </c>
      <c r="Q534">
        <v>5750.6</v>
      </c>
      <c r="R534">
        <f t="shared" si="40"/>
        <v>6.6467135187622262E-2</v>
      </c>
      <c r="U534" s="2">
        <v>33178</v>
      </c>
      <c r="V534">
        <v>133.69999999999999</v>
      </c>
      <c r="W534">
        <f t="shared" si="41"/>
        <v>6.0110543057596111E-2</v>
      </c>
      <c r="Y534" s="2">
        <f t="shared" si="42"/>
        <v>37561</v>
      </c>
      <c r="Z534">
        <f t="shared" si="43"/>
        <v>6.6467135187622262E-2</v>
      </c>
      <c r="AA534">
        <f t="shared" si="44"/>
        <v>6.0110543057596111E-2</v>
      </c>
      <c r="AD534" s="2">
        <v>33725</v>
      </c>
      <c r="AE534">
        <v>2.9787890756621138E-2</v>
      </c>
    </row>
    <row r="535" spans="7:31" x14ac:dyDescent="0.25">
      <c r="G535" s="2"/>
      <c r="L535" s="2"/>
      <c r="P535" s="2">
        <v>37591</v>
      </c>
      <c r="Q535">
        <v>5772</v>
      </c>
      <c r="R535">
        <f t="shared" si="40"/>
        <v>6.0379935884764535E-2</v>
      </c>
      <c r="U535" s="2">
        <v>33208</v>
      </c>
      <c r="V535">
        <v>134.19999999999999</v>
      </c>
      <c r="W535">
        <f t="shared" si="41"/>
        <v>6.0671195181136284E-2</v>
      </c>
      <c r="Y535" s="2">
        <f t="shared" si="42"/>
        <v>37591</v>
      </c>
      <c r="Z535">
        <f t="shared" si="43"/>
        <v>6.0379935884764535E-2</v>
      </c>
      <c r="AA535">
        <f t="shared" si="44"/>
        <v>6.0671195181136284E-2</v>
      </c>
      <c r="AD535" s="2">
        <v>33756</v>
      </c>
      <c r="AE535">
        <v>2.9701567606909229E-2</v>
      </c>
    </row>
    <row r="536" spans="7:31" x14ac:dyDescent="0.25">
      <c r="G536" s="2"/>
      <c r="L536" s="2"/>
      <c r="P536" s="2">
        <v>37622</v>
      </c>
      <c r="Q536">
        <v>5804.6</v>
      </c>
      <c r="R536">
        <f t="shared" si="40"/>
        <v>6.2283087238141022E-2</v>
      </c>
      <c r="U536" s="2">
        <v>33239</v>
      </c>
      <c r="V536">
        <v>134.69999999999999</v>
      </c>
      <c r="W536">
        <f t="shared" si="41"/>
        <v>5.4933718817837374E-2</v>
      </c>
      <c r="Y536" s="2">
        <f t="shared" si="42"/>
        <v>37622</v>
      </c>
      <c r="Z536">
        <f t="shared" si="43"/>
        <v>6.2283087238141022E-2</v>
      </c>
      <c r="AA536">
        <f t="shared" si="44"/>
        <v>5.4933718817837374E-2</v>
      </c>
      <c r="AD536" s="2">
        <v>33786</v>
      </c>
      <c r="AE536">
        <v>3.1083095058389354E-2</v>
      </c>
    </row>
    <row r="537" spans="7:31" x14ac:dyDescent="0.25">
      <c r="G537" s="2"/>
      <c r="L537" s="2"/>
      <c r="P537" s="2">
        <v>37653</v>
      </c>
      <c r="Q537">
        <v>5840.7</v>
      </c>
      <c r="R537">
        <f t="shared" si="40"/>
        <v>6.3125306146762483E-2</v>
      </c>
      <c r="U537" s="2">
        <v>33270</v>
      </c>
      <c r="V537">
        <v>134.80000000000001</v>
      </c>
      <c r="W537">
        <f t="shared" si="41"/>
        <v>5.1761934558589573E-2</v>
      </c>
      <c r="Y537" s="2">
        <f t="shared" si="42"/>
        <v>37653</v>
      </c>
      <c r="Z537">
        <f t="shared" si="43"/>
        <v>6.3125306146762483E-2</v>
      </c>
      <c r="AA537">
        <f t="shared" si="44"/>
        <v>5.1761934558589573E-2</v>
      </c>
      <c r="AD537" s="2">
        <v>33817</v>
      </c>
      <c r="AE537">
        <v>3.0283496587252934E-2</v>
      </c>
    </row>
    <row r="538" spans="7:31" x14ac:dyDescent="0.25">
      <c r="G538" s="2"/>
      <c r="L538" s="2"/>
      <c r="P538" s="2">
        <v>37681</v>
      </c>
      <c r="Q538">
        <v>5861.4</v>
      </c>
      <c r="R538">
        <f t="shared" si="40"/>
        <v>6.451349898727976E-2</v>
      </c>
      <c r="U538" s="2">
        <v>33298</v>
      </c>
      <c r="V538">
        <v>134.80000000000001</v>
      </c>
      <c r="W538">
        <f t="shared" si="41"/>
        <v>4.7085386674687868E-2</v>
      </c>
      <c r="Y538" s="2">
        <f t="shared" si="42"/>
        <v>37681</v>
      </c>
      <c r="Z538">
        <f t="shared" si="43"/>
        <v>6.451349898727976E-2</v>
      </c>
      <c r="AA538">
        <f t="shared" si="44"/>
        <v>4.7085386674687868E-2</v>
      </c>
      <c r="AD538" s="2">
        <v>33848</v>
      </c>
      <c r="AE538">
        <v>2.9487933030643454E-2</v>
      </c>
    </row>
    <row r="539" spans="7:31" x14ac:dyDescent="0.25">
      <c r="G539" s="2"/>
      <c r="L539" s="2"/>
      <c r="P539" s="2">
        <v>37712</v>
      </c>
      <c r="Q539">
        <v>5898.8</v>
      </c>
      <c r="R539">
        <f t="shared" si="40"/>
        <v>7.0837561739788057E-2</v>
      </c>
      <c r="U539" s="2">
        <v>33329</v>
      </c>
      <c r="V539">
        <v>135.1</v>
      </c>
      <c r="W539">
        <f t="shared" si="41"/>
        <v>4.6978335021011119E-2</v>
      </c>
      <c r="Y539" s="2">
        <f t="shared" si="42"/>
        <v>37712</v>
      </c>
      <c r="Z539">
        <f t="shared" si="43"/>
        <v>7.0837561739788057E-2</v>
      </c>
      <c r="AA539">
        <f t="shared" si="44"/>
        <v>4.6978335021011119E-2</v>
      </c>
      <c r="AD539" s="2">
        <v>33878</v>
      </c>
      <c r="AE539">
        <v>3.2272431404850366E-2</v>
      </c>
    </row>
    <row r="540" spans="7:31" x14ac:dyDescent="0.25">
      <c r="G540" s="2"/>
      <c r="L540" s="2"/>
      <c r="P540" s="2">
        <v>37742</v>
      </c>
      <c r="Q540">
        <v>5959.3</v>
      </c>
      <c r="R540">
        <f t="shared" si="40"/>
        <v>7.6303462010029577E-2</v>
      </c>
      <c r="U540" s="2">
        <v>33359</v>
      </c>
      <c r="V540">
        <v>135.6</v>
      </c>
      <c r="W540">
        <f t="shared" si="41"/>
        <v>4.9122077653698248E-2</v>
      </c>
      <c r="Y540" s="2">
        <f t="shared" si="42"/>
        <v>37742</v>
      </c>
      <c r="Z540">
        <f t="shared" si="43"/>
        <v>7.6303462010029577E-2</v>
      </c>
      <c r="AA540">
        <f t="shared" si="44"/>
        <v>4.9122077653698248E-2</v>
      </c>
      <c r="AD540" s="2">
        <v>33909</v>
      </c>
      <c r="AE540">
        <v>3.0727676523496505E-2</v>
      </c>
    </row>
    <row r="541" spans="7:31" x14ac:dyDescent="0.25">
      <c r="G541" s="2"/>
      <c r="L541" s="2"/>
      <c r="P541" s="2">
        <v>37773</v>
      </c>
      <c r="Q541">
        <v>5996</v>
      </c>
      <c r="R541">
        <f t="shared" si="40"/>
        <v>7.7925482043772476E-2</v>
      </c>
      <c r="U541" s="2">
        <v>33390</v>
      </c>
      <c r="V541">
        <v>136</v>
      </c>
      <c r="W541">
        <f t="shared" si="41"/>
        <v>4.5889962059498579E-2</v>
      </c>
      <c r="Y541" s="2">
        <f t="shared" si="42"/>
        <v>37773</v>
      </c>
      <c r="Z541">
        <f t="shared" si="43"/>
        <v>7.7925482043772476E-2</v>
      </c>
      <c r="AA541">
        <f t="shared" si="44"/>
        <v>4.5889962059498579E-2</v>
      </c>
      <c r="AD541" s="2">
        <v>33939</v>
      </c>
      <c r="AE541">
        <v>2.9235593762236611E-2</v>
      </c>
    </row>
    <row r="542" spans="7:31" x14ac:dyDescent="0.25">
      <c r="G542" s="2"/>
      <c r="L542" s="2"/>
      <c r="P542" s="2">
        <v>37803</v>
      </c>
      <c r="Q542">
        <v>6042.7</v>
      </c>
      <c r="R542">
        <f t="shared" si="40"/>
        <v>7.8032659514738256E-2</v>
      </c>
      <c r="U542" s="2">
        <v>33420</v>
      </c>
      <c r="V542">
        <v>136.19999999999999</v>
      </c>
      <c r="W542">
        <f t="shared" si="41"/>
        <v>4.2751166952663233E-2</v>
      </c>
      <c r="Y542" s="2">
        <f t="shared" si="42"/>
        <v>37803</v>
      </c>
      <c r="Z542">
        <f t="shared" si="43"/>
        <v>7.8032659514738256E-2</v>
      </c>
      <c r="AA542">
        <f t="shared" si="44"/>
        <v>4.2751166952663233E-2</v>
      </c>
      <c r="AD542" s="2">
        <v>33970</v>
      </c>
      <c r="AE542">
        <v>3.2019811234771822E-2</v>
      </c>
    </row>
    <row r="543" spans="7:31" x14ac:dyDescent="0.25">
      <c r="G543" s="2"/>
      <c r="L543" s="2"/>
      <c r="P543" s="2">
        <v>37834</v>
      </c>
      <c r="Q543">
        <v>6100.8</v>
      </c>
      <c r="R543">
        <f t="shared" si="40"/>
        <v>8.0026316514928197E-2</v>
      </c>
      <c r="U543" s="2">
        <v>33451</v>
      </c>
      <c r="V543">
        <v>136.6</v>
      </c>
      <c r="W543">
        <f t="shared" si="41"/>
        <v>3.7289928245472836E-2</v>
      </c>
      <c r="Y543" s="2">
        <f t="shared" si="42"/>
        <v>37834</v>
      </c>
      <c r="Z543">
        <f t="shared" si="43"/>
        <v>8.0026316514928197E-2</v>
      </c>
      <c r="AA543">
        <f t="shared" si="44"/>
        <v>3.7289928245472836E-2</v>
      </c>
      <c r="AD543" s="2">
        <v>34001</v>
      </c>
      <c r="AE543">
        <v>3.1951599806602005E-2</v>
      </c>
    </row>
    <row r="544" spans="7:31" x14ac:dyDescent="0.25">
      <c r="G544" s="2"/>
      <c r="L544" s="2"/>
      <c r="P544" s="2">
        <v>37865</v>
      </c>
      <c r="Q544">
        <v>6072.8</v>
      </c>
      <c r="R544">
        <f t="shared" si="40"/>
        <v>7.1102855126149223E-2</v>
      </c>
      <c r="U544" s="2">
        <v>33482</v>
      </c>
      <c r="V544">
        <v>137</v>
      </c>
      <c r="W544">
        <f t="shared" si="41"/>
        <v>3.3398280401848446E-2</v>
      </c>
      <c r="Y544" s="2">
        <f t="shared" si="42"/>
        <v>37865</v>
      </c>
      <c r="Z544">
        <f t="shared" si="43"/>
        <v>7.1102855126149223E-2</v>
      </c>
      <c r="AA544">
        <f t="shared" si="44"/>
        <v>3.3398280401848446E-2</v>
      </c>
      <c r="AD544" s="2">
        <v>34029</v>
      </c>
      <c r="AE544">
        <v>2.9747235904729052E-2</v>
      </c>
    </row>
    <row r="545" spans="7:31" x14ac:dyDescent="0.25">
      <c r="G545" s="2"/>
      <c r="L545" s="2"/>
      <c r="P545" s="2">
        <v>37895</v>
      </c>
      <c r="Q545">
        <v>6063.6</v>
      </c>
      <c r="R545">
        <f t="shared" si="40"/>
        <v>6.1767335286806002E-2</v>
      </c>
      <c r="U545" s="2">
        <v>33512</v>
      </c>
      <c r="V545">
        <v>137.19999999999999</v>
      </c>
      <c r="W545">
        <f t="shared" si="41"/>
        <v>2.8087581810260609E-2</v>
      </c>
      <c r="Y545" s="2">
        <f t="shared" si="42"/>
        <v>37895</v>
      </c>
      <c r="Z545">
        <f t="shared" si="43"/>
        <v>6.1767335286806002E-2</v>
      </c>
      <c r="AA545">
        <f t="shared" si="44"/>
        <v>2.8087581810260609E-2</v>
      </c>
      <c r="AD545" s="2">
        <v>34060</v>
      </c>
      <c r="AE545">
        <v>3.1075946960522849E-2</v>
      </c>
    </row>
    <row r="546" spans="7:31" x14ac:dyDescent="0.25">
      <c r="G546" s="2"/>
      <c r="L546" s="2"/>
      <c r="P546" s="2">
        <v>37926</v>
      </c>
      <c r="Q546">
        <v>6069.1</v>
      </c>
      <c r="R546">
        <f t="shared" si="40"/>
        <v>5.3906126705587809E-2</v>
      </c>
      <c r="U546" s="2">
        <v>33543</v>
      </c>
      <c r="V546">
        <v>137.80000000000001</v>
      </c>
      <c r="W546">
        <f t="shared" si="41"/>
        <v>3.0204874471660759E-2</v>
      </c>
      <c r="Y546" s="2">
        <f t="shared" si="42"/>
        <v>37926</v>
      </c>
      <c r="Z546">
        <f t="shared" si="43"/>
        <v>5.3906126705587809E-2</v>
      </c>
      <c r="AA546">
        <f t="shared" si="44"/>
        <v>3.0204874471660759E-2</v>
      </c>
      <c r="AD546" s="2">
        <v>34090</v>
      </c>
      <c r="AE546">
        <v>3.1703958587932846E-2</v>
      </c>
    </row>
    <row r="547" spans="7:31" x14ac:dyDescent="0.25">
      <c r="G547" s="2"/>
      <c r="L547" s="2"/>
      <c r="P547" s="2">
        <v>37956</v>
      </c>
      <c r="Q547">
        <v>6067.3</v>
      </c>
      <c r="R547">
        <f t="shared" si="40"/>
        <v>4.9895054658568583E-2</v>
      </c>
      <c r="U547" s="2">
        <v>33573</v>
      </c>
      <c r="V547">
        <v>138.19999999999999</v>
      </c>
      <c r="W547">
        <f t="shared" si="41"/>
        <v>2.9370686795988199E-2</v>
      </c>
      <c r="Y547" s="2">
        <f t="shared" si="42"/>
        <v>37956</v>
      </c>
      <c r="Z547">
        <f t="shared" si="43"/>
        <v>4.9895054658568583E-2</v>
      </c>
      <c r="AA547">
        <f t="shared" si="44"/>
        <v>2.9370686795988199E-2</v>
      </c>
      <c r="AD547" s="2">
        <v>34121</v>
      </c>
      <c r="AE547">
        <v>2.9538012436863603E-2</v>
      </c>
    </row>
    <row r="548" spans="7:31" x14ac:dyDescent="0.25">
      <c r="G548" s="2"/>
      <c r="L548" s="2"/>
      <c r="P548" s="2">
        <v>37987</v>
      </c>
      <c r="Q548">
        <v>6075.5</v>
      </c>
      <c r="R548">
        <f t="shared" si="40"/>
        <v>4.5613583706227701E-2</v>
      </c>
      <c r="U548" s="2">
        <v>33604</v>
      </c>
      <c r="V548">
        <v>138.30000000000001</v>
      </c>
      <c r="W548">
        <f t="shared" si="41"/>
        <v>2.6375155254394045E-2</v>
      </c>
      <c r="Y548" s="2">
        <f t="shared" si="42"/>
        <v>37987</v>
      </c>
      <c r="Z548">
        <f t="shared" si="43"/>
        <v>4.5613583706227701E-2</v>
      </c>
      <c r="AA548">
        <f t="shared" si="44"/>
        <v>2.6375155254394045E-2</v>
      </c>
      <c r="AD548" s="2">
        <v>34151</v>
      </c>
      <c r="AE548">
        <v>2.8072018778686036E-2</v>
      </c>
    </row>
    <row r="549" spans="7:31" x14ac:dyDescent="0.25">
      <c r="G549" s="2"/>
      <c r="L549" s="2"/>
      <c r="P549" s="2">
        <v>38018</v>
      </c>
      <c r="Q549">
        <v>6114.3</v>
      </c>
      <c r="R549">
        <f t="shared" si="40"/>
        <v>4.577963730746859E-2</v>
      </c>
      <c r="U549" s="2">
        <v>33635</v>
      </c>
      <c r="V549">
        <v>138.6</v>
      </c>
      <c r="W549">
        <f t="shared" si="41"/>
        <v>2.7799888277596274E-2</v>
      </c>
      <c r="Y549" s="2">
        <f t="shared" si="42"/>
        <v>38018</v>
      </c>
      <c r="Z549">
        <f t="shared" si="43"/>
        <v>4.577963730746859E-2</v>
      </c>
      <c r="AA549">
        <f t="shared" si="44"/>
        <v>2.7799888277596274E-2</v>
      </c>
      <c r="AD549" s="2">
        <v>34182</v>
      </c>
      <c r="AE549">
        <v>2.8013036227673815E-2</v>
      </c>
    </row>
    <row r="550" spans="7:31" x14ac:dyDescent="0.25">
      <c r="G550" s="2"/>
      <c r="L550" s="2"/>
      <c r="P550" s="2">
        <v>38047</v>
      </c>
      <c r="Q550">
        <v>6150.1</v>
      </c>
      <c r="R550">
        <f t="shared" si="40"/>
        <v>4.8079858944019449E-2</v>
      </c>
      <c r="U550" s="2">
        <v>33664</v>
      </c>
      <c r="V550">
        <v>139.1</v>
      </c>
      <c r="W550">
        <f t="shared" si="41"/>
        <v>3.1400900451190594E-2</v>
      </c>
      <c r="Y550" s="2">
        <f t="shared" si="42"/>
        <v>38047</v>
      </c>
      <c r="Z550">
        <f t="shared" si="43"/>
        <v>4.8079858944019449E-2</v>
      </c>
      <c r="AA550">
        <f t="shared" si="44"/>
        <v>3.1400900451190594E-2</v>
      </c>
      <c r="AD550" s="2">
        <v>34213</v>
      </c>
      <c r="AE550">
        <v>2.7264883561805675E-2</v>
      </c>
    </row>
    <row r="551" spans="7:31" x14ac:dyDescent="0.25">
      <c r="G551" s="2"/>
      <c r="L551" s="2"/>
      <c r="P551" s="2">
        <v>38078</v>
      </c>
      <c r="Q551">
        <v>6191.2</v>
      </c>
      <c r="R551">
        <f t="shared" si="40"/>
        <v>4.8379988579464239E-2</v>
      </c>
      <c r="U551" s="2">
        <v>33695</v>
      </c>
      <c r="V551">
        <v>139.4</v>
      </c>
      <c r="W551">
        <f t="shared" si="41"/>
        <v>3.1332253360270457E-2</v>
      </c>
      <c r="Y551" s="2">
        <f t="shared" si="42"/>
        <v>38078</v>
      </c>
      <c r="Z551">
        <f t="shared" si="43"/>
        <v>4.8379988579464239E-2</v>
      </c>
      <c r="AA551">
        <f t="shared" si="44"/>
        <v>3.1332253360270457E-2</v>
      </c>
      <c r="AD551" s="2">
        <v>34243</v>
      </c>
      <c r="AE551">
        <v>2.7150989065950704E-2</v>
      </c>
    </row>
    <row r="552" spans="7:31" x14ac:dyDescent="0.25">
      <c r="G552" s="2"/>
      <c r="L552" s="2"/>
      <c r="P552" s="2">
        <v>38108</v>
      </c>
      <c r="Q552">
        <v>6268.1</v>
      </c>
      <c r="R552">
        <f t="shared" si="40"/>
        <v>5.0520253903760803E-2</v>
      </c>
      <c r="U552" s="2">
        <v>33725</v>
      </c>
      <c r="V552">
        <v>139.69999999999999</v>
      </c>
      <c r="W552">
        <f t="shared" si="41"/>
        <v>2.9787890756621138E-2</v>
      </c>
      <c r="Y552" s="2">
        <f t="shared" si="42"/>
        <v>38108</v>
      </c>
      <c r="Z552">
        <f t="shared" si="43"/>
        <v>5.0520253903760803E-2</v>
      </c>
      <c r="AA552">
        <f t="shared" si="44"/>
        <v>2.9787890756621138E-2</v>
      </c>
      <c r="AD552" s="2">
        <v>34274</v>
      </c>
      <c r="AE552">
        <v>2.7075586605281643E-2</v>
      </c>
    </row>
    <row r="553" spans="7:31" x14ac:dyDescent="0.25">
      <c r="G553" s="2"/>
      <c r="L553" s="2"/>
      <c r="P553" s="2">
        <v>38139</v>
      </c>
      <c r="Q553">
        <v>6270.5</v>
      </c>
      <c r="R553">
        <f t="shared" si="40"/>
        <v>4.4763516041616214E-2</v>
      </c>
      <c r="U553" s="2">
        <v>33756</v>
      </c>
      <c r="V553">
        <v>140.1</v>
      </c>
      <c r="W553">
        <f t="shared" si="41"/>
        <v>2.9701567606909229E-2</v>
      </c>
      <c r="Y553" s="2">
        <f t="shared" si="42"/>
        <v>38139</v>
      </c>
      <c r="Z553">
        <f t="shared" si="43"/>
        <v>4.4763516041616214E-2</v>
      </c>
      <c r="AA553">
        <f t="shared" si="44"/>
        <v>2.9701567606909229E-2</v>
      </c>
      <c r="AD553" s="2">
        <v>34304</v>
      </c>
      <c r="AE553">
        <v>2.7721802930272155E-2</v>
      </c>
    </row>
    <row r="554" spans="7:31" x14ac:dyDescent="0.25">
      <c r="G554" s="2"/>
      <c r="L554" s="2"/>
      <c r="P554" s="2">
        <v>38169</v>
      </c>
      <c r="Q554">
        <v>6284.3</v>
      </c>
      <c r="R554">
        <f t="shared" si="40"/>
        <v>3.9203527615992328E-2</v>
      </c>
      <c r="U554" s="2">
        <v>33786</v>
      </c>
      <c r="V554">
        <v>140.5</v>
      </c>
      <c r="W554">
        <f t="shared" si="41"/>
        <v>3.1083095058389354E-2</v>
      </c>
      <c r="Y554" s="2">
        <f t="shared" si="42"/>
        <v>38169</v>
      </c>
      <c r="Z554">
        <f t="shared" si="43"/>
        <v>3.9203527615992328E-2</v>
      </c>
      <c r="AA554">
        <f t="shared" si="44"/>
        <v>3.1083095058389354E-2</v>
      </c>
      <c r="AD554" s="2">
        <v>34335</v>
      </c>
      <c r="AE554">
        <v>2.4214258120593968E-2</v>
      </c>
    </row>
    <row r="555" spans="7:31" x14ac:dyDescent="0.25">
      <c r="G555" s="2"/>
      <c r="L555" s="2"/>
      <c r="P555" s="2">
        <v>38200</v>
      </c>
      <c r="Q555">
        <v>6310.6</v>
      </c>
      <c r="R555">
        <f t="shared" si="40"/>
        <v>3.3810849074694005E-2</v>
      </c>
      <c r="U555" s="2">
        <v>33817</v>
      </c>
      <c r="V555">
        <v>140.80000000000001</v>
      </c>
      <c r="W555">
        <f t="shared" si="41"/>
        <v>3.0283496587252934E-2</v>
      </c>
      <c r="Y555" s="2">
        <f t="shared" si="42"/>
        <v>38200</v>
      </c>
      <c r="Z555">
        <f t="shared" si="43"/>
        <v>3.3810849074694005E-2</v>
      </c>
      <c r="AA555">
        <f t="shared" si="44"/>
        <v>3.0283496587252934E-2</v>
      </c>
      <c r="AD555" s="2">
        <v>34366</v>
      </c>
      <c r="AE555">
        <v>2.4845998586530804E-2</v>
      </c>
    </row>
    <row r="556" spans="7:31" x14ac:dyDescent="0.25">
      <c r="G556" s="2"/>
      <c r="L556" s="2"/>
      <c r="P556" s="2">
        <v>38231</v>
      </c>
      <c r="Q556">
        <v>6345.3</v>
      </c>
      <c r="R556">
        <f t="shared" si="40"/>
        <v>4.3894597652080591E-2</v>
      </c>
      <c r="U556" s="2">
        <v>33848</v>
      </c>
      <c r="V556">
        <v>141.1</v>
      </c>
      <c r="W556">
        <f t="shared" si="41"/>
        <v>2.9487933030643454E-2</v>
      </c>
      <c r="Y556" s="2">
        <f t="shared" si="42"/>
        <v>38231</v>
      </c>
      <c r="Z556">
        <f t="shared" si="43"/>
        <v>4.3894597652080591E-2</v>
      </c>
      <c r="AA556">
        <f t="shared" si="44"/>
        <v>2.9487933030643454E-2</v>
      </c>
      <c r="AD556" s="2">
        <v>34394</v>
      </c>
      <c r="AE556">
        <v>2.6172292773265937E-2</v>
      </c>
    </row>
    <row r="557" spans="7:31" x14ac:dyDescent="0.25">
      <c r="G557" s="2"/>
      <c r="L557" s="2"/>
      <c r="P557" s="2">
        <v>38261</v>
      </c>
      <c r="Q557">
        <v>6373.3</v>
      </c>
      <c r="R557">
        <f t="shared" si="40"/>
        <v>4.9813705712219658E-2</v>
      </c>
      <c r="U557" s="2">
        <v>33878</v>
      </c>
      <c r="V557">
        <v>141.69999999999999</v>
      </c>
      <c r="W557">
        <f t="shared" si="41"/>
        <v>3.2272431404850366E-2</v>
      </c>
      <c r="Y557" s="2">
        <f t="shared" si="42"/>
        <v>38261</v>
      </c>
      <c r="Z557">
        <f t="shared" si="43"/>
        <v>4.9813705712219658E-2</v>
      </c>
      <c r="AA557">
        <f t="shared" si="44"/>
        <v>3.2272431404850366E-2</v>
      </c>
      <c r="AD557" s="2">
        <v>34425</v>
      </c>
      <c r="AE557">
        <v>2.3368761007829697E-2</v>
      </c>
    </row>
    <row r="558" spans="7:31" x14ac:dyDescent="0.25">
      <c r="G558" s="2"/>
      <c r="L558" s="2"/>
      <c r="P558" s="2">
        <v>38292</v>
      </c>
      <c r="Q558">
        <v>6399.8</v>
      </c>
      <c r="R558">
        <f t="shared" si="40"/>
        <v>5.3056415980256233E-2</v>
      </c>
      <c r="U558" s="2">
        <v>33909</v>
      </c>
      <c r="V558">
        <v>142.1</v>
      </c>
      <c r="W558">
        <f t="shared" si="41"/>
        <v>3.0727676523496505E-2</v>
      </c>
      <c r="Y558" s="2">
        <f t="shared" si="42"/>
        <v>38292</v>
      </c>
      <c r="Z558">
        <f t="shared" si="43"/>
        <v>5.3056415980256233E-2</v>
      </c>
      <c r="AA558">
        <f t="shared" si="44"/>
        <v>3.0727676523496505E-2</v>
      </c>
      <c r="AD558" s="2">
        <v>34455</v>
      </c>
      <c r="AE558">
        <v>2.2626950929026002E-2</v>
      </c>
    </row>
    <row r="559" spans="7:31" x14ac:dyDescent="0.25">
      <c r="G559" s="2"/>
      <c r="L559" s="2"/>
      <c r="P559" s="2">
        <v>38322</v>
      </c>
      <c r="Q559">
        <v>6418.3</v>
      </c>
      <c r="R559">
        <f t="shared" si="40"/>
        <v>5.6239589558838787E-2</v>
      </c>
      <c r="U559" s="2">
        <v>33939</v>
      </c>
      <c r="V559">
        <v>142.30000000000001</v>
      </c>
      <c r="W559">
        <f t="shared" si="41"/>
        <v>2.9235593762236611E-2</v>
      </c>
      <c r="Y559" s="2">
        <f t="shared" si="42"/>
        <v>38322</v>
      </c>
      <c r="Z559">
        <f t="shared" si="43"/>
        <v>5.6239589558838787E-2</v>
      </c>
      <c r="AA559">
        <f t="shared" si="44"/>
        <v>2.9235593762236611E-2</v>
      </c>
      <c r="AD559" s="2">
        <v>34486</v>
      </c>
      <c r="AE559">
        <v>2.4641903936928777E-2</v>
      </c>
    </row>
    <row r="560" spans="7:31" x14ac:dyDescent="0.25">
      <c r="G560" s="2"/>
      <c r="L560" s="2"/>
      <c r="P560" s="2">
        <v>38353</v>
      </c>
      <c r="Q560">
        <v>6424.5</v>
      </c>
      <c r="R560">
        <f t="shared" si="40"/>
        <v>5.5854516374870045E-2</v>
      </c>
      <c r="U560" s="2">
        <v>33970</v>
      </c>
      <c r="V560">
        <v>142.80000000000001</v>
      </c>
      <c r="W560">
        <f t="shared" si="41"/>
        <v>3.2019811234771822E-2</v>
      </c>
      <c r="Y560" s="2">
        <f t="shared" si="42"/>
        <v>38353</v>
      </c>
      <c r="Z560">
        <f t="shared" si="43"/>
        <v>5.5854516374870045E-2</v>
      </c>
      <c r="AA560">
        <f t="shared" si="44"/>
        <v>3.2019811234771822E-2</v>
      </c>
      <c r="AD560" s="2">
        <v>34516</v>
      </c>
      <c r="AE560">
        <v>2.6631823180792935E-2</v>
      </c>
    </row>
    <row r="561" spans="7:31" x14ac:dyDescent="0.25">
      <c r="G561" s="2"/>
      <c r="L561" s="2"/>
      <c r="P561" s="2">
        <v>38384</v>
      </c>
      <c r="Q561">
        <v>6432.8</v>
      </c>
      <c r="R561">
        <f t="shared" si="40"/>
        <v>5.0779612273496255E-2</v>
      </c>
      <c r="U561" s="2">
        <v>34001</v>
      </c>
      <c r="V561">
        <v>143.1</v>
      </c>
      <c r="W561">
        <f t="shared" si="41"/>
        <v>3.1951599806602005E-2</v>
      </c>
      <c r="Y561" s="2">
        <f t="shared" si="42"/>
        <v>38384</v>
      </c>
      <c r="Z561">
        <f t="shared" si="43"/>
        <v>5.0779612273496255E-2</v>
      </c>
      <c r="AA561">
        <f t="shared" si="44"/>
        <v>3.1951599806602005E-2</v>
      </c>
      <c r="AD561" s="2">
        <v>34547</v>
      </c>
      <c r="AE561">
        <v>2.859282599384283E-2</v>
      </c>
    </row>
    <row r="562" spans="7:31" x14ac:dyDescent="0.25">
      <c r="G562" s="2"/>
      <c r="L562" s="2"/>
      <c r="P562" s="2">
        <v>38412</v>
      </c>
      <c r="Q562">
        <v>6441.9</v>
      </c>
      <c r="R562">
        <f t="shared" si="40"/>
        <v>4.6355185810226018E-2</v>
      </c>
      <c r="U562" s="2">
        <v>34029</v>
      </c>
      <c r="V562">
        <v>143.30000000000001</v>
      </c>
      <c r="W562">
        <f t="shared" si="41"/>
        <v>2.9747235904729052E-2</v>
      </c>
      <c r="Y562" s="2">
        <f t="shared" si="42"/>
        <v>38412</v>
      </c>
      <c r="Z562">
        <f t="shared" si="43"/>
        <v>4.6355185810226018E-2</v>
      </c>
      <c r="AA562">
        <f t="shared" si="44"/>
        <v>2.9747235904729052E-2</v>
      </c>
      <c r="AD562" s="2">
        <v>34578</v>
      </c>
      <c r="AE562">
        <v>2.9223962124570235E-2</v>
      </c>
    </row>
    <row r="563" spans="7:31" x14ac:dyDescent="0.25">
      <c r="G563" s="2"/>
      <c r="L563" s="2"/>
      <c r="P563" s="2">
        <v>38443</v>
      </c>
      <c r="Q563">
        <v>6455.9</v>
      </c>
      <c r="R563">
        <f t="shared" si="40"/>
        <v>4.1865512406410232E-2</v>
      </c>
      <c r="U563" s="2">
        <v>34060</v>
      </c>
      <c r="V563">
        <v>143.80000000000001</v>
      </c>
      <c r="W563">
        <f t="shared" si="41"/>
        <v>3.1075946960522849E-2</v>
      </c>
      <c r="Y563" s="2">
        <f t="shared" si="42"/>
        <v>38443</v>
      </c>
      <c r="Z563">
        <f t="shared" si="43"/>
        <v>4.1865512406410232E-2</v>
      </c>
      <c r="AA563">
        <f t="shared" si="44"/>
        <v>3.1075946960522849E-2</v>
      </c>
      <c r="AD563" s="2">
        <v>34608</v>
      </c>
      <c r="AE563">
        <v>2.5764136936131443E-2</v>
      </c>
    </row>
    <row r="564" spans="7:31" x14ac:dyDescent="0.25">
      <c r="G564" s="2"/>
      <c r="L564" s="2"/>
      <c r="P564" s="2">
        <v>38473</v>
      </c>
      <c r="Q564">
        <v>6473.3</v>
      </c>
      <c r="R564">
        <f t="shared" si="40"/>
        <v>3.2212746432385586E-2</v>
      </c>
      <c r="U564" s="2">
        <v>34090</v>
      </c>
      <c r="V564">
        <v>144.19999999999999</v>
      </c>
      <c r="W564">
        <f t="shared" si="41"/>
        <v>3.1703958587932846E-2</v>
      </c>
      <c r="Y564" s="2">
        <f t="shared" si="42"/>
        <v>38473</v>
      </c>
      <c r="Z564">
        <f t="shared" si="43"/>
        <v>3.2212746432385586E-2</v>
      </c>
      <c r="AA564">
        <f t="shared" si="44"/>
        <v>3.1703958587932846E-2</v>
      </c>
      <c r="AD564" s="2">
        <v>34639</v>
      </c>
      <c r="AE564">
        <v>2.5694449374783268E-2</v>
      </c>
    </row>
    <row r="565" spans="7:31" x14ac:dyDescent="0.25">
      <c r="G565" s="2"/>
      <c r="L565" s="2"/>
      <c r="P565" s="2">
        <v>38504</v>
      </c>
      <c r="Q565">
        <v>6505.8</v>
      </c>
      <c r="R565">
        <f t="shared" si="40"/>
        <v>3.6837990442087687E-2</v>
      </c>
      <c r="U565" s="2">
        <v>34121</v>
      </c>
      <c r="V565">
        <v>144.30000000000001</v>
      </c>
      <c r="W565">
        <f t="shared" si="41"/>
        <v>2.9538012436863603E-2</v>
      </c>
      <c r="Y565" s="2">
        <f t="shared" si="42"/>
        <v>38504</v>
      </c>
      <c r="Z565">
        <f t="shared" si="43"/>
        <v>3.6837990442087687E-2</v>
      </c>
      <c r="AA565">
        <f t="shared" si="44"/>
        <v>2.9538012436863603E-2</v>
      </c>
      <c r="AD565" s="2">
        <v>34669</v>
      </c>
      <c r="AE565">
        <v>2.5642430613337375E-2</v>
      </c>
    </row>
    <row r="566" spans="7:31" x14ac:dyDescent="0.25">
      <c r="G566" s="2"/>
      <c r="L566" s="2"/>
      <c r="P566" s="2">
        <v>38534</v>
      </c>
      <c r="Q566">
        <v>6537.4</v>
      </c>
      <c r="R566">
        <f t="shared" si="40"/>
        <v>3.9485073360287615E-2</v>
      </c>
      <c r="U566" s="2">
        <v>34151</v>
      </c>
      <c r="V566">
        <v>144.5</v>
      </c>
      <c r="W566">
        <f t="shared" si="41"/>
        <v>2.8072018778686036E-2</v>
      </c>
      <c r="Y566" s="2">
        <f t="shared" si="42"/>
        <v>38534</v>
      </c>
      <c r="Z566">
        <f t="shared" si="43"/>
        <v>3.9485073360287615E-2</v>
      </c>
      <c r="AA566">
        <f t="shared" si="44"/>
        <v>2.8072018778686036E-2</v>
      </c>
      <c r="AD566" s="2">
        <v>34700</v>
      </c>
      <c r="AE566">
        <v>2.8303776162851513E-2</v>
      </c>
    </row>
    <row r="567" spans="7:31" x14ac:dyDescent="0.25">
      <c r="G567" s="2"/>
      <c r="L567" s="2"/>
      <c r="P567" s="2">
        <v>38565</v>
      </c>
      <c r="Q567">
        <v>6570.2</v>
      </c>
      <c r="R567">
        <f t="shared" si="40"/>
        <v>4.0313514237636738E-2</v>
      </c>
      <c r="U567" s="2">
        <v>34182</v>
      </c>
      <c r="V567">
        <v>144.80000000000001</v>
      </c>
      <c r="W567">
        <f t="shared" si="41"/>
        <v>2.8013036227673815E-2</v>
      </c>
      <c r="Y567" s="2">
        <f t="shared" si="42"/>
        <v>38565</v>
      </c>
      <c r="Z567">
        <f t="shared" si="43"/>
        <v>4.0313514237636738E-2</v>
      </c>
      <c r="AA567">
        <f t="shared" si="44"/>
        <v>2.8013036227673815E-2</v>
      </c>
      <c r="AD567" s="2">
        <v>34731</v>
      </c>
      <c r="AE567">
        <v>2.8227680624867801E-2</v>
      </c>
    </row>
    <row r="568" spans="7:31" x14ac:dyDescent="0.25">
      <c r="G568" s="2"/>
      <c r="L568" s="2"/>
      <c r="P568" s="2">
        <v>38596</v>
      </c>
      <c r="Q568">
        <v>6604.3</v>
      </c>
      <c r="R568">
        <f t="shared" si="40"/>
        <v>4.0006570667536323E-2</v>
      </c>
      <c r="U568" s="2">
        <v>34213</v>
      </c>
      <c r="V568">
        <v>145</v>
      </c>
      <c r="W568">
        <f t="shared" si="41"/>
        <v>2.7264883561805675E-2</v>
      </c>
      <c r="Y568" s="2">
        <f t="shared" si="42"/>
        <v>38596</v>
      </c>
      <c r="Z568">
        <f t="shared" si="43"/>
        <v>4.0006570667536323E-2</v>
      </c>
      <c r="AA568">
        <f t="shared" si="44"/>
        <v>2.7264883561805675E-2</v>
      </c>
      <c r="AD568" s="2">
        <v>34759</v>
      </c>
      <c r="AE568">
        <v>2.7490836138040819E-2</v>
      </c>
    </row>
    <row r="569" spans="7:31" x14ac:dyDescent="0.25">
      <c r="G569" s="2"/>
      <c r="L569" s="2"/>
      <c r="P569" s="2">
        <v>38626</v>
      </c>
      <c r="Q569">
        <v>6638.6</v>
      </c>
      <c r="R569">
        <f t="shared" si="40"/>
        <v>4.0783709068312746E-2</v>
      </c>
      <c r="U569" s="2">
        <v>34243</v>
      </c>
      <c r="V569">
        <v>145.6</v>
      </c>
      <c r="W569">
        <f t="shared" si="41"/>
        <v>2.7150989065950704E-2</v>
      </c>
      <c r="Y569" s="2">
        <f t="shared" si="42"/>
        <v>38626</v>
      </c>
      <c r="Z569">
        <f t="shared" si="43"/>
        <v>4.0783709068312746E-2</v>
      </c>
      <c r="AA569">
        <f t="shared" si="44"/>
        <v>2.7150989065950704E-2</v>
      </c>
      <c r="AD569" s="2">
        <v>34790</v>
      </c>
      <c r="AE569">
        <v>3.0771658666753687E-2</v>
      </c>
    </row>
    <row r="570" spans="7:31" x14ac:dyDescent="0.25">
      <c r="G570" s="2"/>
      <c r="L570" s="2"/>
      <c r="P570" s="2">
        <v>38657</v>
      </c>
      <c r="Q570">
        <v>6655</v>
      </c>
      <c r="R570">
        <f t="shared" si="40"/>
        <v>3.9101711969740549E-2</v>
      </c>
      <c r="U570" s="2">
        <v>34274</v>
      </c>
      <c r="V570">
        <v>146</v>
      </c>
      <c r="W570">
        <f t="shared" si="41"/>
        <v>2.7075586605281643E-2</v>
      </c>
      <c r="Y570" s="2">
        <f t="shared" si="42"/>
        <v>38657</v>
      </c>
      <c r="Z570">
        <f t="shared" si="43"/>
        <v>3.9101711969740549E-2</v>
      </c>
      <c r="AA570">
        <f t="shared" si="44"/>
        <v>2.7075586605281643E-2</v>
      </c>
      <c r="AD570" s="2">
        <v>34820</v>
      </c>
      <c r="AE570">
        <v>3.0710023485371885E-2</v>
      </c>
    </row>
    <row r="571" spans="7:31" x14ac:dyDescent="0.25">
      <c r="G571" s="2"/>
      <c r="L571" s="2"/>
      <c r="P571" s="2">
        <v>38687</v>
      </c>
      <c r="Q571">
        <v>6681.9</v>
      </c>
      <c r="R571">
        <f t="shared" si="40"/>
        <v>4.0249093114379519E-2</v>
      </c>
      <c r="U571" s="2">
        <v>34304</v>
      </c>
      <c r="V571">
        <v>146.30000000000001</v>
      </c>
      <c r="W571">
        <f t="shared" si="41"/>
        <v>2.7721802930272155E-2</v>
      </c>
      <c r="Y571" s="2">
        <f t="shared" si="42"/>
        <v>38687</v>
      </c>
      <c r="Z571">
        <f t="shared" si="43"/>
        <v>4.0249093114379519E-2</v>
      </c>
      <c r="AA571">
        <f t="shared" si="44"/>
        <v>2.7721802930272155E-2</v>
      </c>
      <c r="AD571" s="2">
        <v>34851</v>
      </c>
      <c r="AE571">
        <v>2.9972273535792127E-2</v>
      </c>
    </row>
    <row r="572" spans="7:31" x14ac:dyDescent="0.25">
      <c r="G572" s="2"/>
      <c r="L572" s="2"/>
      <c r="P572" s="2">
        <v>38718</v>
      </c>
      <c r="Q572">
        <v>6724.3</v>
      </c>
      <c r="R572">
        <f t="shared" si="40"/>
        <v>4.5609024109515062E-2</v>
      </c>
      <c r="U572" s="2">
        <v>34335</v>
      </c>
      <c r="V572">
        <v>146.30000000000001</v>
      </c>
      <c r="W572">
        <f t="shared" si="41"/>
        <v>2.4214258120593968E-2</v>
      </c>
      <c r="Y572" s="2">
        <f t="shared" si="42"/>
        <v>38718</v>
      </c>
      <c r="Z572">
        <f t="shared" si="43"/>
        <v>4.5609024109515062E-2</v>
      </c>
      <c r="AA572">
        <f t="shared" si="44"/>
        <v>2.4214258120593968E-2</v>
      </c>
      <c r="AD572" s="2">
        <v>34881</v>
      </c>
      <c r="AE572">
        <v>2.7908788117076533E-2</v>
      </c>
    </row>
    <row r="573" spans="7:31" x14ac:dyDescent="0.25">
      <c r="G573" s="2"/>
      <c r="L573" s="2"/>
      <c r="P573" s="2">
        <v>38749</v>
      </c>
      <c r="Q573">
        <v>6748.6</v>
      </c>
      <c r="R573">
        <f t="shared" si="40"/>
        <v>4.7925173713338154E-2</v>
      </c>
      <c r="U573" s="2">
        <v>34366</v>
      </c>
      <c r="V573">
        <v>146.69999999999999</v>
      </c>
      <c r="W573">
        <f t="shared" si="41"/>
        <v>2.4845998586530804E-2</v>
      </c>
      <c r="Y573" s="2">
        <f t="shared" si="42"/>
        <v>38749</v>
      </c>
      <c r="Z573">
        <f t="shared" si="43"/>
        <v>4.7925173713338154E-2</v>
      </c>
      <c r="AA573">
        <f t="shared" si="44"/>
        <v>2.4845998586530804E-2</v>
      </c>
      <c r="AD573" s="2">
        <v>34912</v>
      </c>
      <c r="AE573">
        <v>2.5837806989557066E-2</v>
      </c>
    </row>
    <row r="574" spans="7:31" x14ac:dyDescent="0.25">
      <c r="G574" s="2"/>
      <c r="L574" s="2"/>
      <c r="P574" s="2">
        <v>38777</v>
      </c>
      <c r="Q574">
        <v>6762.9</v>
      </c>
      <c r="R574">
        <f t="shared" si="40"/>
        <v>4.8628264487000195E-2</v>
      </c>
      <c r="U574" s="2">
        <v>34394</v>
      </c>
      <c r="V574">
        <v>147.1</v>
      </c>
      <c r="W574">
        <f t="shared" si="41"/>
        <v>2.6172292773265937E-2</v>
      </c>
      <c r="Y574" s="2">
        <f t="shared" si="42"/>
        <v>38777</v>
      </c>
      <c r="Z574">
        <f t="shared" si="43"/>
        <v>4.8628264487000195E-2</v>
      </c>
      <c r="AA574">
        <f t="shared" si="44"/>
        <v>2.6172292773265937E-2</v>
      </c>
      <c r="AD574" s="2">
        <v>34943</v>
      </c>
      <c r="AE574">
        <v>2.5133598118493694E-2</v>
      </c>
    </row>
    <row r="575" spans="7:31" x14ac:dyDescent="0.25">
      <c r="G575" s="2"/>
      <c r="L575" s="2"/>
      <c r="P575" s="2">
        <v>38808</v>
      </c>
      <c r="Q575">
        <v>6800.1</v>
      </c>
      <c r="R575">
        <f t="shared" si="40"/>
        <v>5.1942876575761687E-2</v>
      </c>
      <c r="U575" s="2">
        <v>34425</v>
      </c>
      <c r="V575">
        <v>147.19999999999999</v>
      </c>
      <c r="W575">
        <f t="shared" si="41"/>
        <v>2.3368761007829697E-2</v>
      </c>
      <c r="Y575" s="2">
        <f t="shared" si="42"/>
        <v>38808</v>
      </c>
      <c r="Z575">
        <f t="shared" si="43"/>
        <v>5.1942876575761687E-2</v>
      </c>
      <c r="AA575">
        <f t="shared" si="44"/>
        <v>2.3368761007829697E-2</v>
      </c>
      <c r="AD575" s="2">
        <v>34973</v>
      </c>
      <c r="AE575">
        <v>2.7073294328534558E-2</v>
      </c>
    </row>
    <row r="576" spans="7:31" x14ac:dyDescent="0.25">
      <c r="G576" s="2"/>
      <c r="L576" s="2"/>
      <c r="P576" s="2">
        <v>38838</v>
      </c>
      <c r="Q576">
        <v>6806.9</v>
      </c>
      <c r="R576">
        <f t="shared" si="40"/>
        <v>5.0250778747168212E-2</v>
      </c>
      <c r="U576" s="2">
        <v>34455</v>
      </c>
      <c r="V576">
        <v>147.5</v>
      </c>
      <c r="W576">
        <f t="shared" si="41"/>
        <v>2.2626950929026002E-2</v>
      </c>
      <c r="Y576" s="2">
        <f t="shared" si="42"/>
        <v>38838</v>
      </c>
      <c r="Z576">
        <f t="shared" si="43"/>
        <v>5.0250778747168212E-2</v>
      </c>
      <c r="AA576">
        <f t="shared" si="44"/>
        <v>2.2626950929026002E-2</v>
      </c>
      <c r="AD576" s="2">
        <v>35004</v>
      </c>
      <c r="AE576">
        <v>2.570157946143059E-2</v>
      </c>
    </row>
    <row r="577" spans="7:31" x14ac:dyDescent="0.25">
      <c r="G577" s="2"/>
      <c r="L577" s="2"/>
      <c r="P577" s="2">
        <v>38869</v>
      </c>
      <c r="Q577">
        <v>6844.9</v>
      </c>
      <c r="R577">
        <f t="shared" si="40"/>
        <v>5.0809762705844363E-2</v>
      </c>
      <c r="U577" s="2">
        <v>34486</v>
      </c>
      <c r="V577">
        <v>147.9</v>
      </c>
      <c r="W577">
        <f t="shared" si="41"/>
        <v>2.4641903936928777E-2</v>
      </c>
      <c r="Y577" s="2">
        <f t="shared" si="42"/>
        <v>38869</v>
      </c>
      <c r="Z577">
        <f t="shared" si="43"/>
        <v>5.0809762705844363E-2</v>
      </c>
      <c r="AA577">
        <f t="shared" si="44"/>
        <v>2.4641903936928777E-2</v>
      </c>
      <c r="AD577" s="2">
        <v>35034</v>
      </c>
      <c r="AE577">
        <v>2.500130220541763E-2</v>
      </c>
    </row>
    <row r="578" spans="7:31" x14ac:dyDescent="0.25">
      <c r="G578" s="2"/>
      <c r="L578" s="2"/>
      <c r="P578" s="2">
        <v>38899</v>
      </c>
      <c r="Q578">
        <v>6886.3</v>
      </c>
      <c r="R578">
        <f t="shared" si="40"/>
        <v>5.199439771737957E-2</v>
      </c>
      <c r="U578" s="2">
        <v>34516</v>
      </c>
      <c r="V578">
        <v>148.4</v>
      </c>
      <c r="W578">
        <f t="shared" si="41"/>
        <v>2.6631823180792935E-2</v>
      </c>
      <c r="Y578" s="2">
        <f t="shared" si="42"/>
        <v>38899</v>
      </c>
      <c r="Z578">
        <f t="shared" si="43"/>
        <v>5.199439771737957E-2</v>
      </c>
      <c r="AA578">
        <f t="shared" si="44"/>
        <v>2.6631823180792935E-2</v>
      </c>
      <c r="AD578" s="2">
        <v>35065</v>
      </c>
      <c r="AE578">
        <v>2.7524673390090015E-2</v>
      </c>
    </row>
    <row r="579" spans="7:31" x14ac:dyDescent="0.25">
      <c r="G579" s="2"/>
      <c r="L579" s="2"/>
      <c r="P579" s="2">
        <v>38930</v>
      </c>
      <c r="Q579">
        <v>6917.1</v>
      </c>
      <c r="R579">
        <f t="shared" si="40"/>
        <v>5.1452333215046053E-2</v>
      </c>
      <c r="U579" s="2">
        <v>34547</v>
      </c>
      <c r="V579">
        <v>149</v>
      </c>
      <c r="W579">
        <f t="shared" si="41"/>
        <v>2.859282599384283E-2</v>
      </c>
      <c r="Y579" s="2">
        <f t="shared" si="42"/>
        <v>38930</v>
      </c>
      <c r="Z579">
        <f t="shared" si="43"/>
        <v>5.1452333215046053E-2</v>
      </c>
      <c r="AA579">
        <f t="shared" si="44"/>
        <v>2.859282599384283E-2</v>
      </c>
      <c r="AD579" s="2">
        <v>35096</v>
      </c>
      <c r="AE579">
        <v>2.6807751145443426E-2</v>
      </c>
    </row>
    <row r="580" spans="7:31" x14ac:dyDescent="0.25">
      <c r="G580" s="2"/>
      <c r="L580" s="2"/>
      <c r="P580" s="2">
        <v>38961</v>
      </c>
      <c r="Q580">
        <v>6944.2</v>
      </c>
      <c r="R580">
        <f t="shared" si="40"/>
        <v>5.0185826746563578E-2</v>
      </c>
      <c r="U580" s="2">
        <v>34578</v>
      </c>
      <c r="V580">
        <v>149.30000000000001</v>
      </c>
      <c r="W580">
        <f t="shared" si="41"/>
        <v>2.9223962124570235E-2</v>
      </c>
      <c r="Y580" s="2">
        <f t="shared" si="42"/>
        <v>38961</v>
      </c>
      <c r="Z580">
        <f t="shared" si="43"/>
        <v>5.0185826746563578E-2</v>
      </c>
      <c r="AA580">
        <f t="shared" si="44"/>
        <v>2.9223962124570235E-2</v>
      </c>
      <c r="AD580" s="2">
        <v>35125</v>
      </c>
      <c r="AE580">
        <v>2.8042267873855664E-2</v>
      </c>
    </row>
    <row r="581" spans="7:31" x14ac:dyDescent="0.25">
      <c r="G581" s="2"/>
      <c r="L581" s="2"/>
      <c r="P581" s="2">
        <v>38991</v>
      </c>
      <c r="Q581">
        <v>6993.3</v>
      </c>
      <c r="R581">
        <f t="shared" si="40"/>
        <v>5.205144996019051E-2</v>
      </c>
      <c r="U581" s="2">
        <v>34608</v>
      </c>
      <c r="V581">
        <v>149.4</v>
      </c>
      <c r="W581">
        <f t="shared" si="41"/>
        <v>2.5764136936131443E-2</v>
      </c>
      <c r="Y581" s="2">
        <f t="shared" si="42"/>
        <v>38991</v>
      </c>
      <c r="Z581">
        <f t="shared" si="43"/>
        <v>5.205144996019051E-2</v>
      </c>
      <c r="AA581">
        <f t="shared" si="44"/>
        <v>2.5764136936131443E-2</v>
      </c>
      <c r="AD581" s="2">
        <v>35156</v>
      </c>
      <c r="AE581">
        <v>2.7932962559856556E-2</v>
      </c>
    </row>
    <row r="582" spans="7:31" x14ac:dyDescent="0.25">
      <c r="G582" s="2"/>
      <c r="L582" s="2"/>
      <c r="P582" s="2">
        <v>39022</v>
      </c>
      <c r="Q582">
        <v>7028.4</v>
      </c>
      <c r="R582">
        <f t="shared" si="40"/>
        <v>5.4590632054525301E-2</v>
      </c>
      <c r="U582" s="2">
        <v>34639</v>
      </c>
      <c r="V582">
        <v>149.80000000000001</v>
      </c>
      <c r="W582">
        <f t="shared" si="41"/>
        <v>2.5694449374783268E-2</v>
      </c>
      <c r="Y582" s="2">
        <f t="shared" si="42"/>
        <v>39022</v>
      </c>
      <c r="Z582">
        <f t="shared" si="43"/>
        <v>5.4590632054525301E-2</v>
      </c>
      <c r="AA582">
        <f t="shared" si="44"/>
        <v>2.5694449374783268E-2</v>
      </c>
      <c r="AD582" s="2">
        <v>35186</v>
      </c>
      <c r="AE582">
        <v>2.7878628845964037E-2</v>
      </c>
    </row>
    <row r="583" spans="7:31" x14ac:dyDescent="0.25">
      <c r="G583" s="2"/>
      <c r="L583" s="2"/>
      <c r="P583" s="2">
        <v>39052</v>
      </c>
      <c r="Q583">
        <v>7071.6</v>
      </c>
      <c r="R583">
        <f t="shared" si="40"/>
        <v>5.6684384406318955E-2</v>
      </c>
      <c r="U583" s="2">
        <v>34669</v>
      </c>
      <c r="V583">
        <v>150.1</v>
      </c>
      <c r="W583">
        <f t="shared" si="41"/>
        <v>2.5642430613337375E-2</v>
      </c>
      <c r="Y583" s="2">
        <f t="shared" si="42"/>
        <v>39052</v>
      </c>
      <c r="Z583">
        <f t="shared" si="43"/>
        <v>5.6684384406318955E-2</v>
      </c>
      <c r="AA583">
        <f t="shared" si="44"/>
        <v>2.5642430613337375E-2</v>
      </c>
      <c r="AD583" s="2">
        <v>35217</v>
      </c>
      <c r="AE583">
        <v>2.7824506109428881E-2</v>
      </c>
    </row>
    <row r="584" spans="7:31" x14ac:dyDescent="0.25">
      <c r="G584" s="2"/>
      <c r="L584" s="2"/>
      <c r="P584" s="2">
        <v>39083</v>
      </c>
      <c r="Q584">
        <v>7109.6</v>
      </c>
      <c r="R584">
        <f t="shared" si="40"/>
        <v>5.5718152591214931E-2</v>
      </c>
      <c r="U584" s="2">
        <v>34700</v>
      </c>
      <c r="V584">
        <v>150.5</v>
      </c>
      <c r="W584">
        <f t="shared" si="41"/>
        <v>2.8303776162851513E-2</v>
      </c>
      <c r="Y584" s="2">
        <f t="shared" si="42"/>
        <v>39083</v>
      </c>
      <c r="Z584">
        <f t="shared" si="43"/>
        <v>5.5718152591214931E-2</v>
      </c>
      <c r="AA584">
        <f t="shared" si="44"/>
        <v>2.8303776162851513E-2</v>
      </c>
      <c r="AD584" s="2">
        <v>35247</v>
      </c>
      <c r="AE584">
        <v>2.8425686497951297E-2</v>
      </c>
    </row>
    <row r="585" spans="7:31" x14ac:dyDescent="0.25">
      <c r="G585" s="2"/>
      <c r="L585" s="2"/>
      <c r="P585" s="2">
        <v>39114</v>
      </c>
      <c r="Q585">
        <v>7125.3</v>
      </c>
      <c r="R585">
        <f t="shared" si="40"/>
        <v>5.431675456632945E-2</v>
      </c>
      <c r="U585" s="2">
        <v>34731</v>
      </c>
      <c r="V585">
        <v>150.9</v>
      </c>
      <c r="W585">
        <f t="shared" si="41"/>
        <v>2.8227680624867801E-2</v>
      </c>
      <c r="Y585" s="2">
        <f t="shared" si="42"/>
        <v>39114</v>
      </c>
      <c r="Z585">
        <f t="shared" si="43"/>
        <v>5.431675456632945E-2</v>
      </c>
      <c r="AA585">
        <f t="shared" si="44"/>
        <v>2.8227680624867801E-2</v>
      </c>
      <c r="AD585" s="2">
        <v>35278</v>
      </c>
      <c r="AE585">
        <v>2.7734767060089816E-2</v>
      </c>
    </row>
    <row r="586" spans="7:31" x14ac:dyDescent="0.25">
      <c r="G586" s="2"/>
      <c r="L586" s="2"/>
      <c r="P586" s="2">
        <v>39142</v>
      </c>
      <c r="Q586">
        <v>7159.1</v>
      </c>
      <c r="R586">
        <f t="shared" si="40"/>
        <v>5.6932482601775192E-2</v>
      </c>
      <c r="U586" s="2">
        <v>34759</v>
      </c>
      <c r="V586">
        <v>151.19999999999999</v>
      </c>
      <c r="W586">
        <f t="shared" si="41"/>
        <v>2.7490836138040819E-2</v>
      </c>
      <c r="Y586" s="2">
        <f t="shared" si="42"/>
        <v>39142</v>
      </c>
      <c r="Z586">
        <f t="shared" si="43"/>
        <v>5.6932482601775192E-2</v>
      </c>
      <c r="AA586">
        <f t="shared" si="44"/>
        <v>2.7490836138040819E-2</v>
      </c>
      <c r="AD586" s="2">
        <v>35309</v>
      </c>
      <c r="AE586">
        <v>2.9603191305354493E-2</v>
      </c>
    </row>
    <row r="587" spans="7:31" x14ac:dyDescent="0.25">
      <c r="G587" s="2"/>
      <c r="L587" s="2"/>
      <c r="P587" s="2">
        <v>39173</v>
      </c>
      <c r="Q587">
        <v>7231.3</v>
      </c>
      <c r="R587">
        <f t="shared" si="40"/>
        <v>6.1481508413541164E-2</v>
      </c>
      <c r="U587" s="2">
        <v>34790</v>
      </c>
      <c r="V587">
        <v>151.80000000000001</v>
      </c>
      <c r="W587">
        <f t="shared" si="41"/>
        <v>3.0771658666753687E-2</v>
      </c>
      <c r="Y587" s="2">
        <f t="shared" si="42"/>
        <v>39173</v>
      </c>
      <c r="Z587">
        <f t="shared" si="43"/>
        <v>6.1481508413541164E-2</v>
      </c>
      <c r="AA587">
        <f t="shared" si="44"/>
        <v>3.0771658666753687E-2</v>
      </c>
      <c r="AD587" s="2">
        <v>35339</v>
      </c>
      <c r="AE587">
        <v>3.0159488306302329E-2</v>
      </c>
    </row>
    <row r="588" spans="7:31" x14ac:dyDescent="0.25">
      <c r="G588" s="2"/>
      <c r="L588" s="2"/>
      <c r="P588" s="2">
        <v>39203</v>
      </c>
      <c r="Q588">
        <v>7245.4</v>
      </c>
      <c r="R588">
        <f t="shared" si="40"/>
        <v>6.2429981140203594E-2</v>
      </c>
      <c r="U588" s="2">
        <v>34820</v>
      </c>
      <c r="V588">
        <v>152.1</v>
      </c>
      <c r="W588">
        <f t="shared" si="41"/>
        <v>3.0710023485371885E-2</v>
      </c>
      <c r="Y588" s="2">
        <f t="shared" si="42"/>
        <v>39203</v>
      </c>
      <c r="Z588">
        <f t="shared" si="43"/>
        <v>6.2429981140203594E-2</v>
      </c>
      <c r="AA588">
        <f t="shared" si="44"/>
        <v>3.0710023485371885E-2</v>
      </c>
      <c r="AD588" s="2">
        <v>35370</v>
      </c>
      <c r="AE588">
        <v>3.2012976987813246E-2</v>
      </c>
    </row>
    <row r="589" spans="7:31" x14ac:dyDescent="0.25">
      <c r="G589" s="2"/>
      <c r="L589" s="2"/>
      <c r="P589" s="2">
        <v>39234</v>
      </c>
      <c r="Q589">
        <v>7278.6</v>
      </c>
      <c r="R589">
        <f t="shared" si="40"/>
        <v>6.1434686592892973E-2</v>
      </c>
      <c r="U589" s="2">
        <v>34851</v>
      </c>
      <c r="V589">
        <v>152.4</v>
      </c>
      <c r="W589">
        <f t="shared" si="41"/>
        <v>2.9972273535792127E-2</v>
      </c>
      <c r="Y589" s="2">
        <f t="shared" si="42"/>
        <v>39234</v>
      </c>
      <c r="Z589">
        <f t="shared" si="43"/>
        <v>6.1434686592892973E-2</v>
      </c>
      <c r="AA589">
        <f t="shared" si="44"/>
        <v>2.9972273535792127E-2</v>
      </c>
      <c r="AD589" s="2">
        <v>35400</v>
      </c>
      <c r="AE589">
        <v>3.3229894498907342E-2</v>
      </c>
    </row>
    <row r="590" spans="7:31" x14ac:dyDescent="0.25">
      <c r="G590" s="2"/>
      <c r="L590" s="2"/>
      <c r="P590" s="2">
        <v>39264</v>
      </c>
      <c r="Q590">
        <v>7309</v>
      </c>
      <c r="R590">
        <f t="shared" si="40"/>
        <v>5.9572534873936434E-2</v>
      </c>
      <c r="U590" s="2">
        <v>34881</v>
      </c>
      <c r="V590">
        <v>152.6</v>
      </c>
      <c r="W590">
        <f t="shared" si="41"/>
        <v>2.7908788117076533E-2</v>
      </c>
      <c r="Y590" s="2">
        <f t="shared" si="42"/>
        <v>39264</v>
      </c>
      <c r="Z590">
        <f t="shared" si="43"/>
        <v>5.9572534873936434E-2</v>
      </c>
      <c r="AA590">
        <f t="shared" si="44"/>
        <v>2.7908788117076533E-2</v>
      </c>
      <c r="AD590" s="2">
        <v>35431</v>
      </c>
      <c r="AE590">
        <v>2.9929008777094701E-2</v>
      </c>
    </row>
    <row r="591" spans="7:31" x14ac:dyDescent="0.25">
      <c r="G591" s="2"/>
      <c r="L591" s="2"/>
      <c r="P591" s="2">
        <v>39295</v>
      </c>
      <c r="Q591">
        <v>7385.1</v>
      </c>
      <c r="R591">
        <f t="shared" si="40"/>
        <v>6.5467850204534273E-2</v>
      </c>
      <c r="U591" s="2">
        <v>34912</v>
      </c>
      <c r="V591">
        <v>152.9</v>
      </c>
      <c r="W591">
        <f t="shared" si="41"/>
        <v>2.5837806989557066E-2</v>
      </c>
      <c r="Y591" s="2">
        <f t="shared" si="42"/>
        <v>39295</v>
      </c>
      <c r="Z591">
        <f t="shared" si="43"/>
        <v>6.5467850204534273E-2</v>
      </c>
      <c r="AA591">
        <f t="shared" si="44"/>
        <v>2.5837806989557066E-2</v>
      </c>
      <c r="AD591" s="2">
        <v>35462</v>
      </c>
      <c r="AE591">
        <v>2.9871938301719858E-2</v>
      </c>
    </row>
    <row r="592" spans="7:31" x14ac:dyDescent="0.25">
      <c r="G592" s="2"/>
      <c r="L592" s="2"/>
      <c r="P592" s="2">
        <v>39326</v>
      </c>
      <c r="Q592">
        <v>7403.2</v>
      </c>
      <c r="R592">
        <f t="shared" si="40"/>
        <v>6.4005560383996851E-2</v>
      </c>
      <c r="U592" s="2">
        <v>34943</v>
      </c>
      <c r="V592">
        <v>153.1</v>
      </c>
      <c r="W592">
        <f t="shared" si="41"/>
        <v>2.5133598118493694E-2</v>
      </c>
      <c r="Y592" s="2">
        <f t="shared" si="42"/>
        <v>39326</v>
      </c>
      <c r="Z592">
        <f t="shared" si="43"/>
        <v>6.4005560383996851E-2</v>
      </c>
      <c r="AA592">
        <f t="shared" si="44"/>
        <v>2.5133598118493694E-2</v>
      </c>
      <c r="AD592" s="2">
        <v>35490</v>
      </c>
      <c r="AE592">
        <v>2.727730171288556E-2</v>
      </c>
    </row>
    <row r="593" spans="7:31" x14ac:dyDescent="0.25">
      <c r="G593" s="2"/>
      <c r="L593" s="2"/>
      <c r="P593" s="2">
        <v>39356</v>
      </c>
      <c r="Q593">
        <v>7417.2</v>
      </c>
      <c r="R593">
        <f t="shared" si="40"/>
        <v>5.8849079626641654E-2</v>
      </c>
      <c r="U593" s="2">
        <v>34973</v>
      </c>
      <c r="V593">
        <v>153.5</v>
      </c>
      <c r="W593">
        <f t="shared" si="41"/>
        <v>2.7073294328534558E-2</v>
      </c>
      <c r="Y593" s="2">
        <f t="shared" si="42"/>
        <v>39356</v>
      </c>
      <c r="Z593">
        <f t="shared" si="43"/>
        <v>5.8849079626641654E-2</v>
      </c>
      <c r="AA593">
        <f t="shared" si="44"/>
        <v>2.7073294328534558E-2</v>
      </c>
      <c r="AD593" s="2">
        <v>35521</v>
      </c>
      <c r="AE593">
        <v>2.4051792318521947E-2</v>
      </c>
    </row>
    <row r="594" spans="7:31" x14ac:dyDescent="0.25">
      <c r="G594" s="2"/>
      <c r="L594" s="2"/>
      <c r="P594" s="2">
        <v>39387</v>
      </c>
      <c r="Q594">
        <v>7441.8</v>
      </c>
      <c r="R594">
        <f t="shared" si="40"/>
        <v>5.715367116560266E-2</v>
      </c>
      <c r="U594" s="2">
        <v>35004</v>
      </c>
      <c r="V594">
        <v>153.69999999999999</v>
      </c>
      <c r="W594">
        <f t="shared" si="41"/>
        <v>2.570157946143059E-2</v>
      </c>
      <c r="Y594" s="2">
        <f t="shared" si="42"/>
        <v>39387</v>
      </c>
      <c r="Z594">
        <f t="shared" si="43"/>
        <v>5.715367116560266E-2</v>
      </c>
      <c r="AA594">
        <f t="shared" si="44"/>
        <v>2.570157946143059E-2</v>
      </c>
      <c r="AD594" s="2">
        <v>35551</v>
      </c>
      <c r="AE594">
        <v>2.2131791728697614E-2</v>
      </c>
    </row>
    <row r="595" spans="7:31" x14ac:dyDescent="0.25">
      <c r="G595" s="2"/>
      <c r="L595" s="2"/>
      <c r="P595" s="2">
        <v>39417</v>
      </c>
      <c r="Q595">
        <v>7471.6</v>
      </c>
      <c r="R595">
        <f t="shared" si="40"/>
        <v>5.5022403653280705E-2</v>
      </c>
      <c r="U595" s="2">
        <v>35034</v>
      </c>
      <c r="V595">
        <v>153.9</v>
      </c>
      <c r="W595">
        <f t="shared" si="41"/>
        <v>2.500130220541763E-2</v>
      </c>
      <c r="Y595" s="2">
        <f t="shared" si="42"/>
        <v>39417</v>
      </c>
      <c r="Z595">
        <f t="shared" si="43"/>
        <v>5.5022403653280705E-2</v>
      </c>
      <c r="AA595">
        <f t="shared" si="44"/>
        <v>2.500130220541763E-2</v>
      </c>
      <c r="AD595" s="2">
        <v>35582</v>
      </c>
      <c r="AE595">
        <v>2.2089885272284171E-2</v>
      </c>
    </row>
    <row r="596" spans="7:31" x14ac:dyDescent="0.25">
      <c r="G596" s="2"/>
      <c r="L596" s="2"/>
      <c r="P596" s="2">
        <v>39448</v>
      </c>
      <c r="Q596">
        <v>7505.5</v>
      </c>
      <c r="R596">
        <f t="shared" ref="R596:R659" si="45">LN(Q596)-LN(Q584)</f>
        <v>5.4190101675965607E-2</v>
      </c>
      <c r="U596" s="2">
        <v>35065</v>
      </c>
      <c r="V596">
        <v>154.69999999999999</v>
      </c>
      <c r="W596">
        <f t="shared" ref="W596:W659" si="46">LN(V596)-LN(V584)</f>
        <v>2.7524673390090015E-2</v>
      </c>
      <c r="Y596" s="2">
        <f t="shared" si="42"/>
        <v>39448</v>
      </c>
      <c r="Z596">
        <f t="shared" si="43"/>
        <v>5.4190101675965607E-2</v>
      </c>
      <c r="AA596">
        <f t="shared" si="44"/>
        <v>2.7524673390090015E-2</v>
      </c>
      <c r="AD596" s="2">
        <v>35612</v>
      </c>
      <c r="AE596">
        <v>2.1424890084106529E-2</v>
      </c>
    </row>
    <row r="597" spans="7:31" x14ac:dyDescent="0.25">
      <c r="G597" s="2"/>
      <c r="L597" s="2"/>
      <c r="P597" s="2">
        <v>39479</v>
      </c>
      <c r="Q597">
        <v>7590.6</v>
      </c>
      <c r="R597">
        <f t="shared" si="45"/>
        <v>6.325880913507298E-2</v>
      </c>
      <c r="U597" s="2">
        <v>35096</v>
      </c>
      <c r="V597">
        <v>155</v>
      </c>
      <c r="W597">
        <f t="shared" si="46"/>
        <v>2.6807751145443426E-2</v>
      </c>
      <c r="Y597" s="2">
        <f t="shared" ref="Y597:Y660" si="47">P597</f>
        <v>39479</v>
      </c>
      <c r="Z597">
        <f t="shared" ref="Z597:Z660" si="48">R597</f>
        <v>6.325880913507298E-2</v>
      </c>
      <c r="AA597">
        <f t="shared" ref="AA597:AA660" si="49">W597</f>
        <v>2.6807751145443426E-2</v>
      </c>
      <c r="AD597" s="2">
        <v>35643</v>
      </c>
      <c r="AE597">
        <v>2.2642476749759943E-2</v>
      </c>
    </row>
    <row r="598" spans="7:31" x14ac:dyDescent="0.25">
      <c r="G598" s="2"/>
      <c r="L598" s="2"/>
      <c r="P598" s="2">
        <v>39508</v>
      </c>
      <c r="Q598">
        <v>7656.2</v>
      </c>
      <c r="R598">
        <f t="shared" si="45"/>
        <v>6.7131502363595885E-2</v>
      </c>
      <c r="U598" s="2">
        <v>35125</v>
      </c>
      <c r="V598">
        <v>155.5</v>
      </c>
      <c r="W598">
        <f t="shared" si="46"/>
        <v>2.8042267873855664E-2</v>
      </c>
      <c r="Y598" s="2">
        <f t="shared" si="47"/>
        <v>39508</v>
      </c>
      <c r="Z598">
        <f t="shared" si="48"/>
        <v>6.7131502363595885E-2</v>
      </c>
      <c r="AA598">
        <f t="shared" si="49"/>
        <v>2.8042267873855664E-2</v>
      </c>
      <c r="AD598" s="2">
        <v>35674</v>
      </c>
      <c r="AE598">
        <v>2.1951336103534835E-2</v>
      </c>
    </row>
    <row r="599" spans="7:31" x14ac:dyDescent="0.25">
      <c r="G599" s="2"/>
      <c r="L599" s="2"/>
      <c r="P599" s="2">
        <v>39539</v>
      </c>
      <c r="Q599">
        <v>7699.2</v>
      </c>
      <c r="R599">
        <f t="shared" si="45"/>
        <v>6.2697600988343538E-2</v>
      </c>
      <c r="U599" s="2">
        <v>35156</v>
      </c>
      <c r="V599">
        <v>156.1</v>
      </c>
      <c r="W599">
        <f t="shared" si="46"/>
        <v>2.7932962559856556E-2</v>
      </c>
      <c r="Y599" s="2">
        <f t="shared" si="47"/>
        <v>39539</v>
      </c>
      <c r="Z599">
        <f t="shared" si="48"/>
        <v>6.2697600988343538E-2</v>
      </c>
      <c r="AA599">
        <f t="shared" si="49"/>
        <v>2.7932962559856556E-2</v>
      </c>
      <c r="AD599" s="2">
        <v>35704</v>
      </c>
      <c r="AE599">
        <v>2.0645087329157263E-2</v>
      </c>
    </row>
    <row r="600" spans="7:31" x14ac:dyDescent="0.25">
      <c r="G600" s="2"/>
      <c r="L600" s="2"/>
      <c r="P600" s="2">
        <v>39569</v>
      </c>
      <c r="Q600">
        <v>7711.2</v>
      </c>
      <c r="R600">
        <f t="shared" si="45"/>
        <v>6.2307032749025382E-2</v>
      </c>
      <c r="U600" s="2">
        <v>35186</v>
      </c>
      <c r="V600">
        <v>156.4</v>
      </c>
      <c r="W600">
        <f t="shared" si="46"/>
        <v>2.7878628845964037E-2</v>
      </c>
      <c r="Y600" s="2">
        <f t="shared" si="47"/>
        <v>39569</v>
      </c>
      <c r="Z600">
        <f t="shared" si="48"/>
        <v>6.2307032749025382E-2</v>
      </c>
      <c r="AA600">
        <f t="shared" si="49"/>
        <v>2.7878628845964037E-2</v>
      </c>
      <c r="AD600" s="2">
        <v>35735</v>
      </c>
      <c r="AE600">
        <v>1.8727139050697339E-2</v>
      </c>
    </row>
    <row r="601" spans="7:31" x14ac:dyDescent="0.25">
      <c r="G601" s="2"/>
      <c r="L601" s="2"/>
      <c r="P601" s="2">
        <v>39600</v>
      </c>
      <c r="Q601">
        <v>7728.9</v>
      </c>
      <c r="R601">
        <f t="shared" si="45"/>
        <v>6.0028013733857577E-2</v>
      </c>
      <c r="U601" s="2">
        <v>35217</v>
      </c>
      <c r="V601">
        <v>156.69999999999999</v>
      </c>
      <c r="W601">
        <f t="shared" si="46"/>
        <v>2.7824506109428881E-2</v>
      </c>
      <c r="Y601" s="2">
        <f t="shared" si="47"/>
        <v>39600</v>
      </c>
      <c r="Z601">
        <f t="shared" si="48"/>
        <v>6.0028013733857577E-2</v>
      </c>
      <c r="AA601">
        <f t="shared" si="49"/>
        <v>2.7824506109428881E-2</v>
      </c>
      <c r="AD601" s="2">
        <v>35765</v>
      </c>
      <c r="AE601">
        <v>1.6828069280650837E-2</v>
      </c>
    </row>
    <row r="602" spans="7:31" x14ac:dyDescent="0.25">
      <c r="G602" s="2"/>
      <c r="L602" s="2"/>
      <c r="P602" s="2">
        <v>39630</v>
      </c>
      <c r="Q602">
        <v>7775.4</v>
      </c>
      <c r="R602">
        <f t="shared" si="45"/>
        <v>6.1858438189032583E-2</v>
      </c>
      <c r="U602" s="2">
        <v>35247</v>
      </c>
      <c r="V602">
        <v>157</v>
      </c>
      <c r="W602">
        <f t="shared" si="46"/>
        <v>2.8425686497951297E-2</v>
      </c>
      <c r="Y602" s="2">
        <f t="shared" si="47"/>
        <v>39630</v>
      </c>
      <c r="Z602">
        <f t="shared" si="48"/>
        <v>6.1858438189032583E-2</v>
      </c>
      <c r="AA602">
        <f t="shared" si="49"/>
        <v>2.8425686497951297E-2</v>
      </c>
      <c r="AD602" s="2">
        <v>35796</v>
      </c>
      <c r="AE602">
        <v>1.6179568876268924E-2</v>
      </c>
    </row>
    <row r="603" spans="7:31" x14ac:dyDescent="0.25">
      <c r="G603" s="2"/>
      <c r="L603" s="2"/>
      <c r="P603" s="2">
        <v>39661</v>
      </c>
      <c r="Q603">
        <v>7790.2</v>
      </c>
      <c r="R603">
        <f t="shared" si="45"/>
        <v>5.3402076640962193E-2</v>
      </c>
      <c r="U603" s="2">
        <v>35278</v>
      </c>
      <c r="V603">
        <v>157.19999999999999</v>
      </c>
      <c r="W603">
        <f t="shared" si="46"/>
        <v>2.7734767060089816E-2</v>
      </c>
      <c r="Y603" s="2">
        <f t="shared" si="47"/>
        <v>39661</v>
      </c>
      <c r="Z603">
        <f t="shared" si="48"/>
        <v>5.3402076640962193E-2</v>
      </c>
      <c r="AA603">
        <f t="shared" si="49"/>
        <v>2.7734767060089816E-2</v>
      </c>
      <c r="AD603" s="2">
        <v>35827</v>
      </c>
      <c r="AE603">
        <v>1.4299280011417004E-2</v>
      </c>
    </row>
    <row r="604" spans="7:31" x14ac:dyDescent="0.25">
      <c r="G604" s="2"/>
      <c r="L604" s="2"/>
      <c r="P604" s="2">
        <v>39692</v>
      </c>
      <c r="Q604">
        <v>7859.5</v>
      </c>
      <c r="R604">
        <f t="shared" si="45"/>
        <v>5.9810652015556798E-2</v>
      </c>
      <c r="U604" s="2">
        <v>35309</v>
      </c>
      <c r="V604">
        <v>157.69999999999999</v>
      </c>
      <c r="W604">
        <f t="shared" si="46"/>
        <v>2.9603191305354493E-2</v>
      </c>
      <c r="Y604" s="2">
        <f t="shared" si="47"/>
        <v>39692</v>
      </c>
      <c r="Z604">
        <f t="shared" si="48"/>
        <v>5.9810652015556798E-2</v>
      </c>
      <c r="AA604">
        <f t="shared" si="49"/>
        <v>2.9603191305354493E-2</v>
      </c>
      <c r="AD604" s="2">
        <v>35855</v>
      </c>
      <c r="AE604">
        <v>1.3673301900209545E-2</v>
      </c>
    </row>
    <row r="605" spans="7:31" x14ac:dyDescent="0.25">
      <c r="G605" s="2"/>
      <c r="L605" s="2"/>
      <c r="P605" s="2">
        <v>39722</v>
      </c>
      <c r="Q605">
        <v>7965.3</v>
      </c>
      <c r="R605">
        <f t="shared" si="45"/>
        <v>7.1292979965047465E-2</v>
      </c>
      <c r="U605" s="2">
        <v>35339</v>
      </c>
      <c r="V605">
        <v>158.19999999999999</v>
      </c>
      <c r="W605">
        <f t="shared" si="46"/>
        <v>3.0159488306302329E-2</v>
      </c>
      <c r="Y605" s="2">
        <f t="shared" si="47"/>
        <v>39722</v>
      </c>
      <c r="Z605">
        <f t="shared" si="48"/>
        <v>7.1292979965047465E-2</v>
      </c>
      <c r="AA605">
        <f t="shared" si="49"/>
        <v>3.0159488306302329E-2</v>
      </c>
      <c r="AD605" s="2">
        <v>35886</v>
      </c>
      <c r="AE605">
        <v>1.4281521841404299E-2</v>
      </c>
    </row>
    <row r="606" spans="7:31" x14ac:dyDescent="0.25">
      <c r="G606" s="2"/>
      <c r="L606" s="2"/>
      <c r="P606" s="2">
        <v>39753</v>
      </c>
      <c r="Q606">
        <v>8015.8</v>
      </c>
      <c r="R606">
        <f t="shared" si="45"/>
        <v>7.4301838864247571E-2</v>
      </c>
      <c r="U606" s="2">
        <v>35370</v>
      </c>
      <c r="V606">
        <v>158.69999999999999</v>
      </c>
      <c r="W606">
        <f t="shared" si="46"/>
        <v>3.2012976987813246E-2</v>
      </c>
      <c r="Y606" s="2">
        <f t="shared" si="47"/>
        <v>39753</v>
      </c>
      <c r="Z606">
        <f t="shared" si="48"/>
        <v>7.4301838864247571E-2</v>
      </c>
      <c r="AA606">
        <f t="shared" si="49"/>
        <v>3.2012976987813246E-2</v>
      </c>
      <c r="AD606" s="2">
        <v>35916</v>
      </c>
      <c r="AE606">
        <v>1.6744577273802186E-2</v>
      </c>
    </row>
    <row r="607" spans="7:31" x14ac:dyDescent="0.25">
      <c r="G607" s="2"/>
      <c r="L607" s="2"/>
      <c r="P607" s="2">
        <v>39783</v>
      </c>
      <c r="Q607">
        <v>8192.1</v>
      </c>
      <c r="R607">
        <f t="shared" si="45"/>
        <v>9.2061108950884929E-2</v>
      </c>
      <c r="U607" s="2">
        <v>35400</v>
      </c>
      <c r="V607">
        <v>159.1</v>
      </c>
      <c r="W607">
        <f t="shared" si="46"/>
        <v>3.3229894498907342E-2</v>
      </c>
      <c r="Y607" s="2">
        <f t="shared" si="47"/>
        <v>39783</v>
      </c>
      <c r="Z607">
        <f t="shared" si="48"/>
        <v>9.2061108950884929E-2</v>
      </c>
      <c r="AA607">
        <f t="shared" si="49"/>
        <v>3.3229894498907342E-2</v>
      </c>
      <c r="AD607" s="2">
        <v>35947</v>
      </c>
      <c r="AE607">
        <v>1.6099418934181209E-2</v>
      </c>
    </row>
    <row r="608" spans="7:31" x14ac:dyDescent="0.25">
      <c r="G608" s="2"/>
      <c r="L608" s="2"/>
      <c r="P608" s="2">
        <v>39814</v>
      </c>
      <c r="Q608">
        <v>8273.7000000000007</v>
      </c>
      <c r="R608">
        <f t="shared" si="45"/>
        <v>9.744572410569674E-2</v>
      </c>
      <c r="U608" s="2">
        <v>35431</v>
      </c>
      <c r="V608">
        <v>159.4</v>
      </c>
      <c r="W608">
        <f t="shared" si="46"/>
        <v>2.9929008777094701E-2</v>
      </c>
      <c r="Y608" s="2">
        <f t="shared" si="47"/>
        <v>39814</v>
      </c>
      <c r="Z608">
        <f t="shared" si="48"/>
        <v>9.744572410569674E-2</v>
      </c>
      <c r="AA608">
        <f t="shared" si="49"/>
        <v>2.9929008777094701E-2</v>
      </c>
      <c r="AD608" s="2">
        <v>35977</v>
      </c>
      <c r="AE608">
        <v>1.7305747097592139E-2</v>
      </c>
    </row>
    <row r="609" spans="7:31" x14ac:dyDescent="0.25">
      <c r="G609" s="2"/>
      <c r="L609" s="2"/>
      <c r="P609" s="2">
        <v>39845</v>
      </c>
      <c r="Q609">
        <v>8303.1</v>
      </c>
      <c r="R609">
        <f t="shared" si="45"/>
        <v>8.9718299380400879E-2</v>
      </c>
      <c r="U609" s="2">
        <v>35462</v>
      </c>
      <c r="V609">
        <v>159.69999999999999</v>
      </c>
      <c r="W609">
        <f t="shared" si="46"/>
        <v>2.9871938301719858E-2</v>
      </c>
      <c r="Y609" s="2">
        <f t="shared" si="47"/>
        <v>39845</v>
      </c>
      <c r="Z609">
        <f t="shared" si="48"/>
        <v>8.9718299380400879E-2</v>
      </c>
      <c r="AA609">
        <f t="shared" si="49"/>
        <v>2.9871938301719858E-2</v>
      </c>
      <c r="AD609" s="2">
        <v>36008</v>
      </c>
      <c r="AE609">
        <v>1.6039825681036568E-2</v>
      </c>
    </row>
    <row r="610" spans="7:31" x14ac:dyDescent="0.25">
      <c r="G610" s="2"/>
      <c r="L610" s="2"/>
      <c r="P610" s="2">
        <v>39873</v>
      </c>
      <c r="Q610">
        <v>8369.2999999999993</v>
      </c>
      <c r="R610">
        <f t="shared" si="45"/>
        <v>8.9054471873485141E-2</v>
      </c>
      <c r="U610" s="2">
        <v>35490</v>
      </c>
      <c r="V610">
        <v>159.80000000000001</v>
      </c>
      <c r="W610">
        <f t="shared" si="46"/>
        <v>2.727730171288556E-2</v>
      </c>
      <c r="Y610" s="2">
        <f t="shared" si="47"/>
        <v>39873</v>
      </c>
      <c r="Z610">
        <f t="shared" si="48"/>
        <v>8.9054471873485141E-2</v>
      </c>
      <c r="AA610">
        <f t="shared" si="49"/>
        <v>2.727730171288556E-2</v>
      </c>
      <c r="AD610" s="2">
        <v>36039</v>
      </c>
      <c r="AE610">
        <v>1.4167160264780598E-2</v>
      </c>
    </row>
    <row r="611" spans="7:31" x14ac:dyDescent="0.25">
      <c r="G611" s="2"/>
      <c r="L611" s="2"/>
      <c r="P611" s="2">
        <v>39904</v>
      </c>
      <c r="Q611">
        <v>8372.9</v>
      </c>
      <c r="R611">
        <f t="shared" si="45"/>
        <v>8.3883872642202206E-2</v>
      </c>
      <c r="U611" s="2">
        <v>35521</v>
      </c>
      <c r="V611">
        <v>159.9</v>
      </c>
      <c r="W611">
        <f t="shared" si="46"/>
        <v>2.4051792318521947E-2</v>
      </c>
      <c r="Y611" s="2">
        <f t="shared" si="47"/>
        <v>39904</v>
      </c>
      <c r="Z611">
        <f t="shared" si="48"/>
        <v>8.3883872642202206E-2</v>
      </c>
      <c r="AA611">
        <f t="shared" si="49"/>
        <v>2.4051792318521947E-2</v>
      </c>
      <c r="AD611" s="2">
        <v>36069</v>
      </c>
      <c r="AE611">
        <v>1.4751343087072932E-2</v>
      </c>
    </row>
    <row r="612" spans="7:31" x14ac:dyDescent="0.25">
      <c r="G612" s="2"/>
      <c r="L612" s="2"/>
      <c r="P612" s="2">
        <v>39934</v>
      </c>
      <c r="Q612">
        <v>8430.7000000000007</v>
      </c>
      <c r="R612">
        <f t="shared" si="45"/>
        <v>8.9205987852208679E-2</v>
      </c>
      <c r="U612" s="2">
        <v>35551</v>
      </c>
      <c r="V612">
        <v>159.9</v>
      </c>
      <c r="W612">
        <f t="shared" si="46"/>
        <v>2.2131791728697614E-2</v>
      </c>
      <c r="Y612" s="2">
        <f t="shared" si="47"/>
        <v>39934</v>
      </c>
      <c r="Z612">
        <f t="shared" si="48"/>
        <v>8.9205987852208679E-2</v>
      </c>
      <c r="AA612">
        <f t="shared" si="49"/>
        <v>2.2131791728697614E-2</v>
      </c>
      <c r="AD612" s="2">
        <v>36100</v>
      </c>
      <c r="AE612">
        <v>1.4733231512984446E-2</v>
      </c>
    </row>
    <row r="613" spans="7:31" x14ac:dyDescent="0.25">
      <c r="G613" s="2"/>
      <c r="L613" s="2"/>
      <c r="P613" s="2">
        <v>39965</v>
      </c>
      <c r="Q613">
        <v>8440.5</v>
      </c>
      <c r="R613">
        <f t="shared" si="45"/>
        <v>8.8074998802657234E-2</v>
      </c>
      <c r="U613" s="2">
        <v>35582</v>
      </c>
      <c r="V613">
        <v>160.19999999999999</v>
      </c>
      <c r="W613">
        <f t="shared" si="46"/>
        <v>2.2089885272284171E-2</v>
      </c>
      <c r="Y613" s="2">
        <f t="shared" si="47"/>
        <v>39965</v>
      </c>
      <c r="Z613">
        <f t="shared" si="48"/>
        <v>8.8074998802657234E-2</v>
      </c>
      <c r="AA613">
        <f t="shared" si="49"/>
        <v>2.2089885272284171E-2</v>
      </c>
      <c r="AD613" s="2">
        <v>36130</v>
      </c>
      <c r="AE613">
        <v>1.5941477997688303E-2</v>
      </c>
    </row>
    <row r="614" spans="7:31" x14ac:dyDescent="0.25">
      <c r="G614" s="2"/>
      <c r="L614" s="2"/>
      <c r="P614" s="2">
        <v>39995</v>
      </c>
      <c r="Q614">
        <v>8445.1</v>
      </c>
      <c r="R614">
        <f t="shared" si="45"/>
        <v>8.2621487828596685E-2</v>
      </c>
      <c r="U614" s="2">
        <v>35612</v>
      </c>
      <c r="V614">
        <v>160.4</v>
      </c>
      <c r="W614">
        <f t="shared" si="46"/>
        <v>2.1424890084106529E-2</v>
      </c>
      <c r="Y614" s="2">
        <f t="shared" si="47"/>
        <v>39995</v>
      </c>
      <c r="Z614">
        <f t="shared" si="48"/>
        <v>8.2621487828596685E-2</v>
      </c>
      <c r="AA614">
        <f t="shared" si="49"/>
        <v>2.1424890084106529E-2</v>
      </c>
      <c r="AD614" s="2">
        <v>36161</v>
      </c>
      <c r="AE614">
        <v>1.652930195121094E-2</v>
      </c>
    </row>
    <row r="615" spans="7:31" x14ac:dyDescent="0.25">
      <c r="G615" s="2"/>
      <c r="L615" s="2"/>
      <c r="P615" s="2">
        <v>40026</v>
      </c>
      <c r="Q615">
        <v>8445</v>
      </c>
      <c r="R615">
        <f t="shared" si="45"/>
        <v>8.0708016765727919E-2</v>
      </c>
      <c r="U615" s="2">
        <v>35643</v>
      </c>
      <c r="V615">
        <v>160.80000000000001</v>
      </c>
      <c r="W615">
        <f t="shared" si="46"/>
        <v>2.2642476749759943E-2</v>
      </c>
      <c r="Y615" s="2">
        <f t="shared" si="47"/>
        <v>40026</v>
      </c>
      <c r="Z615">
        <f t="shared" si="48"/>
        <v>8.0708016765727919E-2</v>
      </c>
      <c r="AA615">
        <f t="shared" si="49"/>
        <v>2.2642476749759943E-2</v>
      </c>
      <c r="AD615" s="2">
        <v>36192</v>
      </c>
      <c r="AE615">
        <v>1.652930195121094E-2</v>
      </c>
    </row>
    <row r="616" spans="7:31" x14ac:dyDescent="0.25">
      <c r="G616" s="2"/>
      <c r="L616" s="2"/>
      <c r="P616" s="2">
        <v>40057</v>
      </c>
      <c r="Q616">
        <v>8444.2000000000007</v>
      </c>
      <c r="R616">
        <f t="shared" si="45"/>
        <v>7.1756823976553363E-2</v>
      </c>
      <c r="U616" s="2">
        <v>35674</v>
      </c>
      <c r="V616">
        <v>161.19999999999999</v>
      </c>
      <c r="W616">
        <f t="shared" si="46"/>
        <v>2.1951336103534835E-2</v>
      </c>
      <c r="Y616" s="2">
        <f t="shared" si="47"/>
        <v>40057</v>
      </c>
      <c r="Z616">
        <f t="shared" si="48"/>
        <v>7.1756823976553363E-2</v>
      </c>
      <c r="AA616">
        <f t="shared" si="49"/>
        <v>2.1951336103534835E-2</v>
      </c>
      <c r="AD616" s="2">
        <v>36220</v>
      </c>
      <c r="AE616">
        <v>1.713628224298791E-2</v>
      </c>
    </row>
    <row r="617" spans="7:31" x14ac:dyDescent="0.25">
      <c r="G617" s="2"/>
      <c r="L617" s="2"/>
      <c r="P617" s="2">
        <v>40087</v>
      </c>
      <c r="Q617">
        <v>8471.1</v>
      </c>
      <c r="R617">
        <f t="shared" si="45"/>
        <v>6.1565762925299694E-2</v>
      </c>
      <c r="U617" s="2">
        <v>35704</v>
      </c>
      <c r="V617">
        <v>161.5</v>
      </c>
      <c r="W617">
        <f t="shared" si="46"/>
        <v>2.0645087329157263E-2</v>
      </c>
      <c r="Y617" s="2">
        <f t="shared" si="47"/>
        <v>40087</v>
      </c>
      <c r="Z617">
        <f t="shared" si="48"/>
        <v>6.1565762925299694E-2</v>
      </c>
      <c r="AA617">
        <f t="shared" si="49"/>
        <v>2.0645087329157263E-2</v>
      </c>
      <c r="AD617" s="2">
        <v>36251</v>
      </c>
      <c r="AE617">
        <v>2.2555055515086408E-2</v>
      </c>
    </row>
    <row r="618" spans="7:31" x14ac:dyDescent="0.25">
      <c r="G618" s="2"/>
      <c r="L618" s="2"/>
      <c r="P618" s="2">
        <v>40118</v>
      </c>
      <c r="Q618">
        <v>8500.7999999999993</v>
      </c>
      <c r="R618">
        <f t="shared" si="45"/>
        <v>5.8745682783092334E-2</v>
      </c>
      <c r="U618" s="2">
        <v>35735</v>
      </c>
      <c r="V618">
        <v>161.69999999999999</v>
      </c>
      <c r="W618">
        <f t="shared" si="46"/>
        <v>1.8727139050697339E-2</v>
      </c>
      <c r="Y618" s="2">
        <f t="shared" si="47"/>
        <v>40118</v>
      </c>
      <c r="Z618">
        <f t="shared" si="48"/>
        <v>5.8745682783092334E-2</v>
      </c>
      <c r="AA618">
        <f t="shared" si="49"/>
        <v>1.8727139050697339E-2</v>
      </c>
      <c r="AD618" s="2">
        <v>36281</v>
      </c>
      <c r="AE618">
        <v>2.0694591242833127E-2</v>
      </c>
    </row>
    <row r="619" spans="7:31" x14ac:dyDescent="0.25">
      <c r="G619" s="2"/>
      <c r="L619" s="2"/>
      <c r="P619" s="2">
        <v>40148</v>
      </c>
      <c r="Q619">
        <v>8496</v>
      </c>
      <c r="R619">
        <f t="shared" si="45"/>
        <v>3.6425189245687051E-2</v>
      </c>
      <c r="U619" s="2">
        <v>35765</v>
      </c>
      <c r="V619">
        <v>161.80000000000001</v>
      </c>
      <c r="W619">
        <f t="shared" si="46"/>
        <v>1.6828069280650837E-2</v>
      </c>
      <c r="Y619" s="2">
        <f t="shared" si="47"/>
        <v>40148</v>
      </c>
      <c r="Z619">
        <f t="shared" si="48"/>
        <v>3.6425189245687051E-2</v>
      </c>
      <c r="AA619">
        <f t="shared" si="49"/>
        <v>1.6828069280650837E-2</v>
      </c>
      <c r="AD619" s="2">
        <v>36312</v>
      </c>
      <c r="AE619">
        <v>1.9465334788103306E-2</v>
      </c>
    </row>
    <row r="620" spans="7:31" x14ac:dyDescent="0.25">
      <c r="G620" s="2"/>
      <c r="L620" s="2"/>
      <c r="P620" s="2">
        <v>40179</v>
      </c>
      <c r="Q620">
        <v>8458.1</v>
      </c>
      <c r="R620">
        <f t="shared" si="45"/>
        <v>2.2042752882647676E-2</v>
      </c>
      <c r="U620" s="2">
        <v>35796</v>
      </c>
      <c r="V620">
        <v>162</v>
      </c>
      <c r="W620">
        <f t="shared" si="46"/>
        <v>1.6179568876268924E-2</v>
      </c>
      <c r="Y620" s="2">
        <f t="shared" si="47"/>
        <v>40179</v>
      </c>
      <c r="Z620">
        <f t="shared" si="48"/>
        <v>2.2042752882647676E-2</v>
      </c>
      <c r="AA620">
        <f t="shared" si="49"/>
        <v>1.6179568876268924E-2</v>
      </c>
      <c r="AD620" s="2">
        <v>36342</v>
      </c>
      <c r="AE620">
        <v>2.1219347226741903E-2</v>
      </c>
    </row>
    <row r="621" spans="7:31" x14ac:dyDescent="0.25">
      <c r="G621" s="2"/>
      <c r="L621" s="2"/>
      <c r="P621" s="2">
        <v>40210</v>
      </c>
      <c r="Q621">
        <v>8507.4</v>
      </c>
      <c r="R621">
        <f t="shared" si="45"/>
        <v>2.4307433942485801E-2</v>
      </c>
      <c r="U621" s="2">
        <v>35827</v>
      </c>
      <c r="V621">
        <v>162</v>
      </c>
      <c r="W621">
        <f t="shared" si="46"/>
        <v>1.4299280011417004E-2</v>
      </c>
      <c r="Y621" s="2">
        <f t="shared" si="47"/>
        <v>40210</v>
      </c>
      <c r="Z621">
        <f t="shared" si="48"/>
        <v>2.4307433942485801E-2</v>
      </c>
      <c r="AA621">
        <f t="shared" si="49"/>
        <v>1.4299280011417004E-2</v>
      </c>
      <c r="AD621" s="2">
        <v>36373</v>
      </c>
      <c r="AE621">
        <v>2.2391253175445769E-2</v>
      </c>
    </row>
    <row r="622" spans="7:31" x14ac:dyDescent="0.25">
      <c r="G622" s="2"/>
      <c r="L622" s="2"/>
      <c r="P622" s="2">
        <v>40238</v>
      </c>
      <c r="Q622">
        <v>8504.5</v>
      </c>
      <c r="R622">
        <f t="shared" si="45"/>
        <v>1.6025186187093254E-2</v>
      </c>
      <c r="U622" s="2">
        <v>35855</v>
      </c>
      <c r="V622">
        <v>162</v>
      </c>
      <c r="W622">
        <f t="shared" si="46"/>
        <v>1.3673301900209545E-2</v>
      </c>
      <c r="Y622" s="2">
        <f t="shared" si="47"/>
        <v>40238</v>
      </c>
      <c r="Z622">
        <f t="shared" si="48"/>
        <v>1.6025186187093254E-2</v>
      </c>
      <c r="AA622">
        <f t="shared" si="49"/>
        <v>1.3673301900209545E-2</v>
      </c>
      <c r="AD622" s="2">
        <v>36404</v>
      </c>
      <c r="AE622">
        <v>2.59598036957982E-2</v>
      </c>
    </row>
    <row r="623" spans="7:31" x14ac:dyDescent="0.25">
      <c r="G623" s="2"/>
      <c r="L623" s="2"/>
      <c r="P623" s="2">
        <v>40269</v>
      </c>
      <c r="Q623">
        <v>8535.2000000000007</v>
      </c>
      <c r="R623">
        <f t="shared" si="45"/>
        <v>1.9198488894742738E-2</v>
      </c>
      <c r="U623" s="2">
        <v>35886</v>
      </c>
      <c r="V623">
        <v>162.19999999999999</v>
      </c>
      <c r="W623">
        <f t="shared" si="46"/>
        <v>1.4281521841404299E-2</v>
      </c>
      <c r="Y623" s="2">
        <f t="shared" si="47"/>
        <v>40269</v>
      </c>
      <c r="Z623">
        <f t="shared" si="48"/>
        <v>1.9198488894742738E-2</v>
      </c>
      <c r="AA623">
        <f t="shared" si="49"/>
        <v>1.4281521841404299E-2</v>
      </c>
      <c r="AD623" s="2">
        <v>36434</v>
      </c>
      <c r="AE623">
        <v>2.5302554664786037E-2</v>
      </c>
    </row>
    <row r="624" spans="7:31" x14ac:dyDescent="0.25">
      <c r="G624" s="2"/>
      <c r="L624" s="2"/>
      <c r="P624" s="2">
        <v>40299</v>
      </c>
      <c r="Q624">
        <v>8589.9</v>
      </c>
      <c r="R624">
        <f t="shared" si="45"/>
        <v>1.8707289145032391E-2</v>
      </c>
      <c r="U624" s="2">
        <v>35916</v>
      </c>
      <c r="V624">
        <v>162.6</v>
      </c>
      <c r="W624">
        <f t="shared" si="46"/>
        <v>1.6744577273802186E-2</v>
      </c>
      <c r="Y624" s="2">
        <f t="shared" si="47"/>
        <v>40299</v>
      </c>
      <c r="Z624">
        <f t="shared" si="48"/>
        <v>1.8707289145032391E-2</v>
      </c>
      <c r="AA624">
        <f t="shared" si="49"/>
        <v>1.6744577273802186E-2</v>
      </c>
      <c r="AD624" s="2">
        <v>36465</v>
      </c>
      <c r="AE624">
        <v>2.5866103712180788E-2</v>
      </c>
    </row>
    <row r="625" spans="7:31" x14ac:dyDescent="0.25">
      <c r="G625" s="2"/>
      <c r="L625" s="2"/>
      <c r="P625" s="2">
        <v>40330</v>
      </c>
      <c r="Q625">
        <v>8609</v>
      </c>
      <c r="R625">
        <f t="shared" si="45"/>
        <v>1.9766619116511563E-2</v>
      </c>
      <c r="U625" s="2">
        <v>35947</v>
      </c>
      <c r="V625">
        <v>162.80000000000001</v>
      </c>
      <c r="W625">
        <f t="shared" si="46"/>
        <v>1.6099418934181209E-2</v>
      </c>
      <c r="Y625" s="2">
        <f t="shared" si="47"/>
        <v>40330</v>
      </c>
      <c r="Z625">
        <f t="shared" si="48"/>
        <v>1.9766619116511563E-2</v>
      </c>
      <c r="AA625">
        <f t="shared" si="49"/>
        <v>1.6099418934181209E-2</v>
      </c>
      <c r="AD625" s="2">
        <v>36495</v>
      </c>
      <c r="AE625">
        <v>2.6412099539776968E-2</v>
      </c>
    </row>
    <row r="626" spans="7:31" x14ac:dyDescent="0.25">
      <c r="G626" s="2"/>
      <c r="L626" s="2"/>
      <c r="P626" s="2">
        <v>40360</v>
      </c>
      <c r="Q626">
        <v>8618.7999999999993</v>
      </c>
      <c r="R626">
        <f t="shared" si="45"/>
        <v>2.0359472332057038E-2</v>
      </c>
      <c r="U626" s="2">
        <v>35977</v>
      </c>
      <c r="V626">
        <v>163.19999999999999</v>
      </c>
      <c r="W626">
        <f t="shared" si="46"/>
        <v>1.7305747097592139E-2</v>
      </c>
      <c r="Y626" s="2">
        <f t="shared" si="47"/>
        <v>40360</v>
      </c>
      <c r="Z626">
        <f t="shared" si="48"/>
        <v>2.0359472332057038E-2</v>
      </c>
      <c r="AA626">
        <f t="shared" si="49"/>
        <v>1.7305747097592139E-2</v>
      </c>
      <c r="AD626" s="2">
        <v>36526</v>
      </c>
      <c r="AE626">
        <v>2.7546651955494994E-2</v>
      </c>
    </row>
    <row r="627" spans="7:31" x14ac:dyDescent="0.25">
      <c r="G627" s="2"/>
      <c r="L627" s="2"/>
      <c r="P627" s="2">
        <v>40391</v>
      </c>
      <c r="Q627">
        <v>8669.1</v>
      </c>
      <c r="R627">
        <f t="shared" si="45"/>
        <v>2.6190428916073927E-2</v>
      </c>
      <c r="U627" s="2">
        <v>36008</v>
      </c>
      <c r="V627">
        <v>163.4</v>
      </c>
      <c r="W627">
        <f t="shared" si="46"/>
        <v>1.6039825681036568E-2</v>
      </c>
      <c r="Y627" s="2">
        <f t="shared" si="47"/>
        <v>40391</v>
      </c>
      <c r="Z627">
        <f t="shared" si="48"/>
        <v>2.6190428916073927E-2</v>
      </c>
      <c r="AA627">
        <f t="shared" si="49"/>
        <v>1.6039825681036568E-2</v>
      </c>
      <c r="AD627" s="2">
        <v>36557</v>
      </c>
      <c r="AE627">
        <v>3.1672799866667489E-2</v>
      </c>
    </row>
    <row r="628" spans="7:31" x14ac:dyDescent="0.25">
      <c r="G628" s="2"/>
      <c r="L628" s="2"/>
      <c r="P628" s="2">
        <v>40422</v>
      </c>
      <c r="Q628">
        <v>8700.1</v>
      </c>
      <c r="R628">
        <f t="shared" si="45"/>
        <v>2.9854704684645128E-2</v>
      </c>
      <c r="U628" s="2">
        <v>36039</v>
      </c>
      <c r="V628">
        <v>163.5</v>
      </c>
      <c r="W628">
        <f t="shared" si="46"/>
        <v>1.4167160264780598E-2</v>
      </c>
      <c r="Y628" s="2">
        <f t="shared" si="47"/>
        <v>40422</v>
      </c>
      <c r="Z628">
        <f t="shared" si="48"/>
        <v>2.9854704684645128E-2</v>
      </c>
      <c r="AA628">
        <f t="shared" si="49"/>
        <v>1.4167160264780598E-2</v>
      </c>
      <c r="AD628" s="2">
        <v>36586</v>
      </c>
      <c r="AE628">
        <v>3.6930939027288723E-2</v>
      </c>
    </row>
    <row r="629" spans="7:31" x14ac:dyDescent="0.25">
      <c r="G629" s="2"/>
      <c r="L629" s="2"/>
      <c r="P629" s="2">
        <v>40452</v>
      </c>
      <c r="Q629">
        <v>8749.4</v>
      </c>
      <c r="R629">
        <f t="shared" si="45"/>
        <v>3.2324756228385709E-2</v>
      </c>
      <c r="U629" s="2">
        <v>36069</v>
      </c>
      <c r="V629">
        <v>163.9</v>
      </c>
      <c r="W629">
        <f t="shared" si="46"/>
        <v>1.4751343087072932E-2</v>
      </c>
      <c r="Y629" s="2">
        <f t="shared" si="47"/>
        <v>40452</v>
      </c>
      <c r="Z629">
        <f t="shared" si="48"/>
        <v>3.2324756228385709E-2</v>
      </c>
      <c r="AA629">
        <f t="shared" si="49"/>
        <v>1.4751343087072932E-2</v>
      </c>
      <c r="AD629" s="2">
        <v>36617</v>
      </c>
      <c r="AE629">
        <v>2.9693392925146611E-2</v>
      </c>
    </row>
    <row r="630" spans="7:31" x14ac:dyDescent="0.25">
      <c r="G630" s="2"/>
      <c r="L630" s="2"/>
      <c r="P630" s="2">
        <v>40483</v>
      </c>
      <c r="Q630">
        <v>8770</v>
      </c>
      <c r="R630">
        <f t="shared" si="45"/>
        <v>3.1176529669549424E-2</v>
      </c>
      <c r="U630" s="2">
        <v>36100</v>
      </c>
      <c r="V630">
        <v>164.1</v>
      </c>
      <c r="W630">
        <f t="shared" si="46"/>
        <v>1.4733231512984446E-2</v>
      </c>
      <c r="Y630" s="2">
        <f t="shared" si="47"/>
        <v>40483</v>
      </c>
      <c r="Z630">
        <f t="shared" si="48"/>
        <v>3.1176529669549424E-2</v>
      </c>
      <c r="AA630">
        <f t="shared" si="49"/>
        <v>1.4733231512984446E-2</v>
      </c>
      <c r="AD630" s="2">
        <v>36647</v>
      </c>
      <c r="AE630">
        <v>3.0844675351097806E-2</v>
      </c>
    </row>
    <row r="631" spans="7:31" x14ac:dyDescent="0.25">
      <c r="G631" s="2"/>
      <c r="L631" s="2"/>
      <c r="P631" s="2">
        <v>40513</v>
      </c>
      <c r="Q631">
        <v>8801.7999999999993</v>
      </c>
      <c r="R631">
        <f t="shared" si="45"/>
        <v>3.5360781522554063E-2</v>
      </c>
      <c r="U631" s="2">
        <v>36130</v>
      </c>
      <c r="V631">
        <v>164.4</v>
      </c>
      <c r="W631">
        <f t="shared" si="46"/>
        <v>1.5941477997688303E-2</v>
      </c>
      <c r="Y631" s="2">
        <f t="shared" si="47"/>
        <v>40513</v>
      </c>
      <c r="Z631">
        <f t="shared" si="48"/>
        <v>3.5360781522554063E-2</v>
      </c>
      <c r="AA631">
        <f t="shared" si="49"/>
        <v>1.5941477997688303E-2</v>
      </c>
      <c r="AD631" s="2">
        <v>36678</v>
      </c>
      <c r="AE631">
        <v>3.6668803637086356E-2</v>
      </c>
    </row>
    <row r="632" spans="7:31" x14ac:dyDescent="0.25">
      <c r="G632" s="2"/>
      <c r="L632" s="2"/>
      <c r="P632" s="2">
        <v>40544</v>
      </c>
      <c r="Q632">
        <v>8823.1</v>
      </c>
      <c r="R632">
        <f t="shared" si="45"/>
        <v>4.224872008267333E-2</v>
      </c>
      <c r="U632" s="2">
        <v>36161</v>
      </c>
      <c r="V632">
        <v>164.7</v>
      </c>
      <c r="W632">
        <f t="shared" si="46"/>
        <v>1.652930195121094E-2</v>
      </c>
      <c r="Y632" s="2">
        <f t="shared" si="47"/>
        <v>40544</v>
      </c>
      <c r="Z632">
        <f t="shared" si="48"/>
        <v>4.224872008267333E-2</v>
      </c>
      <c r="AA632">
        <f t="shared" si="49"/>
        <v>1.652930195121094E-2</v>
      </c>
      <c r="AD632" s="2">
        <v>36708</v>
      </c>
      <c r="AE632">
        <v>3.5360195395884197E-2</v>
      </c>
    </row>
    <row r="633" spans="7:31" x14ac:dyDescent="0.25">
      <c r="G633" s="2"/>
      <c r="L633" s="2"/>
      <c r="P633" s="2">
        <v>40575</v>
      </c>
      <c r="Q633">
        <v>8886.9</v>
      </c>
      <c r="R633">
        <f t="shared" si="45"/>
        <v>4.3641909312466254E-2</v>
      </c>
      <c r="U633" s="2">
        <v>36192</v>
      </c>
      <c r="V633">
        <v>164.7</v>
      </c>
      <c r="W633">
        <f t="shared" si="46"/>
        <v>1.652930195121094E-2</v>
      </c>
      <c r="Y633" s="2">
        <f t="shared" si="47"/>
        <v>40575</v>
      </c>
      <c r="Z633">
        <f t="shared" si="48"/>
        <v>4.3641909312466254E-2</v>
      </c>
      <c r="AA633">
        <f t="shared" si="49"/>
        <v>1.652930195121094E-2</v>
      </c>
      <c r="AD633" s="2">
        <v>36739</v>
      </c>
      <c r="AE633">
        <v>3.296354955128411E-2</v>
      </c>
    </row>
    <row r="634" spans="7:31" x14ac:dyDescent="0.25">
      <c r="G634" s="2"/>
      <c r="L634" s="2"/>
      <c r="P634" s="2">
        <v>40603</v>
      </c>
      <c r="Q634">
        <v>8943.5</v>
      </c>
      <c r="R634">
        <f t="shared" si="45"/>
        <v>5.0331576279154078E-2</v>
      </c>
      <c r="U634" s="2">
        <v>36220</v>
      </c>
      <c r="V634">
        <v>164.8</v>
      </c>
      <c r="W634">
        <f t="shared" si="46"/>
        <v>1.713628224298791E-2</v>
      </c>
      <c r="Y634" s="2">
        <f t="shared" si="47"/>
        <v>40603</v>
      </c>
      <c r="Z634">
        <f t="shared" si="48"/>
        <v>5.0331576279154078E-2</v>
      </c>
      <c r="AA634">
        <f t="shared" si="49"/>
        <v>1.713628224298791E-2</v>
      </c>
      <c r="AD634" s="2">
        <v>36770</v>
      </c>
      <c r="AE634">
        <v>3.3981008193143758E-2</v>
      </c>
    </row>
    <row r="635" spans="7:31" x14ac:dyDescent="0.25">
      <c r="G635" s="2"/>
      <c r="L635" s="2"/>
      <c r="P635" s="2">
        <v>40634</v>
      </c>
      <c r="Q635">
        <v>9004.9</v>
      </c>
      <c r="R635">
        <f t="shared" si="45"/>
        <v>5.3570084729447132E-2</v>
      </c>
      <c r="U635" s="2">
        <v>36251</v>
      </c>
      <c r="V635">
        <v>165.9</v>
      </c>
      <c r="W635">
        <f t="shared" si="46"/>
        <v>2.2555055515086408E-2</v>
      </c>
      <c r="Y635" s="2">
        <f t="shared" si="47"/>
        <v>40634</v>
      </c>
      <c r="Z635">
        <f t="shared" si="48"/>
        <v>5.3570084729447132E-2</v>
      </c>
      <c r="AA635">
        <f t="shared" si="49"/>
        <v>2.2555055515086408E-2</v>
      </c>
      <c r="AD635" s="2">
        <v>36800</v>
      </c>
      <c r="AE635">
        <v>3.3921380945667323E-2</v>
      </c>
    </row>
    <row r="636" spans="7:31" x14ac:dyDescent="0.25">
      <c r="G636" s="2"/>
      <c r="L636" s="2"/>
      <c r="P636" s="2">
        <v>40664</v>
      </c>
      <c r="Q636">
        <v>9075.5</v>
      </c>
      <c r="R636">
        <f t="shared" si="45"/>
        <v>5.4991380567033232E-2</v>
      </c>
      <c r="U636" s="2">
        <v>36281</v>
      </c>
      <c r="V636">
        <v>166</v>
      </c>
      <c r="W636">
        <f t="shared" si="46"/>
        <v>2.0694591242833127E-2</v>
      </c>
      <c r="Y636" s="2">
        <f t="shared" si="47"/>
        <v>40664</v>
      </c>
      <c r="Z636">
        <f t="shared" si="48"/>
        <v>5.4991380567033232E-2</v>
      </c>
      <c r="AA636">
        <f t="shared" si="49"/>
        <v>2.0694591242833127E-2</v>
      </c>
      <c r="AD636" s="2">
        <v>36831</v>
      </c>
      <c r="AE636">
        <v>3.3861962610176377E-2</v>
      </c>
    </row>
    <row r="637" spans="7:31" x14ac:dyDescent="0.25">
      <c r="G637" s="2"/>
      <c r="L637" s="2"/>
      <c r="P637" s="2">
        <v>40695</v>
      </c>
      <c r="Q637">
        <v>9151</v>
      </c>
      <c r="R637">
        <f t="shared" si="45"/>
        <v>6.1054995257423528E-2</v>
      </c>
      <c r="U637" s="2">
        <v>36312</v>
      </c>
      <c r="V637">
        <v>166</v>
      </c>
      <c r="W637">
        <f t="shared" si="46"/>
        <v>1.9465334788103306E-2</v>
      </c>
      <c r="Y637" s="2">
        <f t="shared" si="47"/>
        <v>40695</v>
      </c>
      <c r="Z637">
        <f t="shared" si="48"/>
        <v>6.1054995257423528E-2</v>
      </c>
      <c r="AA637">
        <f t="shared" si="49"/>
        <v>1.9465334788103306E-2</v>
      </c>
      <c r="AD637" s="2">
        <v>36861</v>
      </c>
      <c r="AE637">
        <v>3.3783061243644497E-2</v>
      </c>
    </row>
    <row r="638" spans="7:31" x14ac:dyDescent="0.25">
      <c r="G638" s="2"/>
      <c r="L638" s="2"/>
      <c r="P638" s="2">
        <v>40725</v>
      </c>
      <c r="Q638">
        <v>9316.6</v>
      </c>
      <c r="R638">
        <f t="shared" si="45"/>
        <v>7.7851891424392861E-2</v>
      </c>
      <c r="U638" s="2">
        <v>36342</v>
      </c>
      <c r="V638">
        <v>166.7</v>
      </c>
      <c r="W638">
        <f t="shared" si="46"/>
        <v>2.1219347226741903E-2</v>
      </c>
      <c r="Y638" s="2">
        <f t="shared" si="47"/>
        <v>40725</v>
      </c>
      <c r="Z638">
        <f t="shared" si="48"/>
        <v>7.7851891424392861E-2</v>
      </c>
      <c r="AA638">
        <f t="shared" si="49"/>
        <v>2.1219347226741903E-2</v>
      </c>
      <c r="AD638" s="2">
        <v>36892</v>
      </c>
      <c r="AE638">
        <v>3.6536392061926826E-2</v>
      </c>
    </row>
    <row r="639" spans="7:31" x14ac:dyDescent="0.25">
      <c r="G639" s="2"/>
      <c r="L639" s="2"/>
      <c r="P639" s="2">
        <v>40756</v>
      </c>
      <c r="Q639">
        <v>9507.6</v>
      </c>
      <c r="R639">
        <f t="shared" si="45"/>
        <v>9.2326499601220746E-2</v>
      </c>
      <c r="U639" s="2">
        <v>36373</v>
      </c>
      <c r="V639">
        <v>167.1</v>
      </c>
      <c r="W639">
        <f t="shared" si="46"/>
        <v>2.2391253175445769E-2</v>
      </c>
      <c r="Y639" s="2">
        <f t="shared" si="47"/>
        <v>40756</v>
      </c>
      <c r="Z639">
        <f t="shared" si="48"/>
        <v>9.2326499601220746E-2</v>
      </c>
      <c r="AA639">
        <f t="shared" si="49"/>
        <v>2.2391253175445769E-2</v>
      </c>
      <c r="AD639" s="2">
        <v>36923</v>
      </c>
      <c r="AE639">
        <v>3.4685557987889304E-2</v>
      </c>
    </row>
    <row r="640" spans="7:31" x14ac:dyDescent="0.25">
      <c r="G640" s="2"/>
      <c r="L640" s="2"/>
      <c r="P640" s="2">
        <v>40787</v>
      </c>
      <c r="Q640">
        <v>9528.2999999999993</v>
      </c>
      <c r="R640">
        <f t="shared" si="45"/>
        <v>9.0931797856063312E-2</v>
      </c>
      <c r="U640" s="2">
        <v>36404</v>
      </c>
      <c r="V640">
        <v>167.8</v>
      </c>
      <c r="W640">
        <f t="shared" si="46"/>
        <v>2.59598036957982E-2</v>
      </c>
      <c r="Y640" s="2">
        <f t="shared" si="47"/>
        <v>40787</v>
      </c>
      <c r="Z640">
        <f t="shared" si="48"/>
        <v>9.0931797856063312E-2</v>
      </c>
      <c r="AA640">
        <f t="shared" si="49"/>
        <v>2.59598036957982E-2</v>
      </c>
      <c r="AD640" s="2">
        <v>36951</v>
      </c>
      <c r="AE640">
        <v>2.9388458999499711E-2</v>
      </c>
    </row>
    <row r="641" spans="7:31" x14ac:dyDescent="0.25">
      <c r="G641" s="2"/>
      <c r="L641" s="2"/>
      <c r="P641" s="2">
        <v>40817</v>
      </c>
      <c r="Q641">
        <v>9562.1</v>
      </c>
      <c r="R641">
        <f t="shared" si="45"/>
        <v>8.8822241622569464E-2</v>
      </c>
      <c r="U641" s="2">
        <v>36434</v>
      </c>
      <c r="V641">
        <v>168.1</v>
      </c>
      <c r="W641">
        <f t="shared" si="46"/>
        <v>2.5302554664786037E-2</v>
      </c>
      <c r="Y641" s="2">
        <f t="shared" si="47"/>
        <v>40817</v>
      </c>
      <c r="Z641">
        <f t="shared" si="48"/>
        <v>8.8822241622569464E-2</v>
      </c>
      <c r="AA641">
        <f t="shared" si="49"/>
        <v>2.5302554664786037E-2</v>
      </c>
      <c r="AD641" s="2">
        <v>36982</v>
      </c>
      <c r="AE641">
        <v>3.1675553451145255E-2</v>
      </c>
    </row>
    <row r="642" spans="7:31" x14ac:dyDescent="0.25">
      <c r="G642" s="2"/>
      <c r="L642" s="2"/>
      <c r="P642" s="2">
        <v>40848</v>
      </c>
      <c r="Q642">
        <v>9612.6</v>
      </c>
      <c r="R642">
        <f t="shared" si="45"/>
        <v>9.1737931514494164E-2</v>
      </c>
      <c r="U642" s="2">
        <v>36465</v>
      </c>
      <c r="V642">
        <v>168.4</v>
      </c>
      <c r="W642">
        <f t="shared" si="46"/>
        <v>2.5866103712180788E-2</v>
      </c>
      <c r="Y642" s="2">
        <f t="shared" si="47"/>
        <v>40848</v>
      </c>
      <c r="Z642">
        <f t="shared" si="48"/>
        <v>9.1737931514494164E-2</v>
      </c>
      <c r="AA642">
        <f t="shared" si="49"/>
        <v>2.5866103712180788E-2</v>
      </c>
      <c r="AD642" s="2">
        <v>37012</v>
      </c>
      <c r="AE642">
        <v>3.5010749372521133E-2</v>
      </c>
    </row>
    <row r="643" spans="7:31" x14ac:dyDescent="0.25">
      <c r="G643" s="2"/>
      <c r="L643" s="2"/>
      <c r="P643" s="2">
        <v>40878</v>
      </c>
      <c r="Q643">
        <v>9660.1</v>
      </c>
      <c r="R643">
        <f t="shared" si="45"/>
        <v>9.3047754115580972E-2</v>
      </c>
      <c r="U643" s="2">
        <v>36495</v>
      </c>
      <c r="V643">
        <v>168.8</v>
      </c>
      <c r="W643">
        <f t="shared" si="46"/>
        <v>2.6412099539776968E-2</v>
      </c>
      <c r="Y643" s="2">
        <f t="shared" si="47"/>
        <v>40878</v>
      </c>
      <c r="Z643">
        <f t="shared" si="48"/>
        <v>9.3047754115580972E-2</v>
      </c>
      <c r="AA643">
        <f t="shared" si="49"/>
        <v>2.6412099539776968E-2</v>
      </c>
      <c r="AD643" s="2">
        <v>37043</v>
      </c>
      <c r="AE643">
        <v>3.1440143166975965E-2</v>
      </c>
    </row>
    <row r="644" spans="7:31" x14ac:dyDescent="0.25">
      <c r="G644" s="2"/>
      <c r="L644" s="2"/>
      <c r="P644" s="2">
        <v>40909</v>
      </c>
      <c r="Q644">
        <v>9733.2999999999993</v>
      </c>
      <c r="R644">
        <f t="shared" si="45"/>
        <v>9.8179713753616227E-2</v>
      </c>
      <c r="U644" s="2">
        <v>36526</v>
      </c>
      <c r="V644">
        <v>169.3</v>
      </c>
      <c r="W644">
        <f t="shared" si="46"/>
        <v>2.7546651955494994E-2</v>
      </c>
      <c r="Y644" s="2">
        <f t="shared" si="47"/>
        <v>40909</v>
      </c>
      <c r="Z644">
        <f t="shared" si="48"/>
        <v>9.8179713753616227E-2</v>
      </c>
      <c r="AA644">
        <f t="shared" si="49"/>
        <v>2.7546651955494994E-2</v>
      </c>
      <c r="AD644" s="2">
        <v>37073</v>
      </c>
      <c r="AE644">
        <v>2.6851084722846252E-2</v>
      </c>
    </row>
    <row r="645" spans="7:31" x14ac:dyDescent="0.25">
      <c r="G645" s="2"/>
      <c r="L645" s="2"/>
      <c r="P645" s="2">
        <v>40940</v>
      </c>
      <c r="Q645">
        <v>9785.7000000000007</v>
      </c>
      <c r="R645">
        <f t="shared" si="45"/>
        <v>9.6343854055890077E-2</v>
      </c>
      <c r="U645" s="2">
        <v>36557</v>
      </c>
      <c r="V645">
        <v>170</v>
      </c>
      <c r="W645">
        <f t="shared" si="46"/>
        <v>3.1672799866667489E-2</v>
      </c>
      <c r="Y645" s="2">
        <f t="shared" si="47"/>
        <v>40940</v>
      </c>
      <c r="Z645">
        <f t="shared" si="48"/>
        <v>9.6343854055890077E-2</v>
      </c>
      <c r="AA645">
        <f t="shared" si="49"/>
        <v>3.1672799866667489E-2</v>
      </c>
      <c r="AD645" s="2">
        <v>37104</v>
      </c>
      <c r="AE645">
        <v>2.6851084722846252E-2</v>
      </c>
    </row>
    <row r="646" spans="7:31" x14ac:dyDescent="0.25">
      <c r="G646" s="2"/>
      <c r="L646" s="2"/>
      <c r="P646" s="2">
        <v>40969</v>
      </c>
      <c r="Q646">
        <v>9830.6</v>
      </c>
      <c r="R646">
        <f t="shared" si="45"/>
        <v>9.4572958485068526E-2</v>
      </c>
      <c r="U646" s="2">
        <v>36586</v>
      </c>
      <c r="V646">
        <v>171</v>
      </c>
      <c r="W646">
        <f t="shared" si="46"/>
        <v>3.6930939027288723E-2</v>
      </c>
      <c r="Y646" s="2">
        <f t="shared" si="47"/>
        <v>40969</v>
      </c>
      <c r="Z646">
        <f t="shared" si="48"/>
        <v>9.4572958485068526E-2</v>
      </c>
      <c r="AA646">
        <f t="shared" si="49"/>
        <v>3.6930939027288723E-2</v>
      </c>
      <c r="AD646" s="2">
        <v>37135</v>
      </c>
      <c r="AE646">
        <v>2.5591388069366339E-2</v>
      </c>
    </row>
    <row r="647" spans="7:31" x14ac:dyDescent="0.25">
      <c r="G647" s="2"/>
      <c r="L647" s="2"/>
      <c r="P647" s="2">
        <v>41000</v>
      </c>
      <c r="Q647">
        <v>9884.6</v>
      </c>
      <c r="R647">
        <f t="shared" si="45"/>
        <v>9.3209116827733141E-2</v>
      </c>
      <c r="U647" s="2">
        <v>36617</v>
      </c>
      <c r="V647">
        <v>170.9</v>
      </c>
      <c r="W647">
        <f t="shared" si="46"/>
        <v>2.9693392925146611E-2</v>
      </c>
      <c r="Y647" s="2">
        <f t="shared" si="47"/>
        <v>41000</v>
      </c>
      <c r="Z647">
        <f t="shared" si="48"/>
        <v>9.3209116827733141E-2</v>
      </c>
      <c r="AA647">
        <f t="shared" si="49"/>
        <v>2.9693392925146611E-2</v>
      </c>
      <c r="AD647" s="2">
        <v>37165</v>
      </c>
      <c r="AE647">
        <v>2.1053409197832273E-2</v>
      </c>
    </row>
    <row r="648" spans="7:31" x14ac:dyDescent="0.25">
      <c r="G648" s="2"/>
      <c r="L648" s="2"/>
      <c r="P648" s="2">
        <v>41030</v>
      </c>
      <c r="Q648">
        <v>9928.4</v>
      </c>
      <c r="R648">
        <f t="shared" si="45"/>
        <v>8.9820862127425016E-2</v>
      </c>
      <c r="U648" s="2">
        <v>36647</v>
      </c>
      <c r="V648">
        <v>171.2</v>
      </c>
      <c r="W648">
        <f t="shared" si="46"/>
        <v>3.0844675351097806E-2</v>
      </c>
      <c r="Y648" s="2">
        <f t="shared" si="47"/>
        <v>41030</v>
      </c>
      <c r="Z648">
        <f t="shared" si="48"/>
        <v>8.9820862127425016E-2</v>
      </c>
      <c r="AA648">
        <f t="shared" si="49"/>
        <v>3.0844675351097806E-2</v>
      </c>
      <c r="AD648" s="2">
        <v>37196</v>
      </c>
      <c r="AE648">
        <v>1.8766544497068161E-2</v>
      </c>
    </row>
    <row r="649" spans="7:31" x14ac:dyDescent="0.25">
      <c r="G649" s="2"/>
      <c r="L649" s="2"/>
      <c r="P649" s="2">
        <v>41061</v>
      </c>
      <c r="Q649">
        <v>9999.2999999999993</v>
      </c>
      <c r="R649">
        <f t="shared" si="45"/>
        <v>8.8651927610689185E-2</v>
      </c>
      <c r="U649" s="2">
        <v>36678</v>
      </c>
      <c r="V649">
        <v>172.2</v>
      </c>
      <c r="W649">
        <f t="shared" si="46"/>
        <v>3.6668803637086356E-2</v>
      </c>
      <c r="Y649" s="2">
        <f t="shared" si="47"/>
        <v>41061</v>
      </c>
      <c r="Z649">
        <f t="shared" si="48"/>
        <v>8.8651927610689185E-2</v>
      </c>
      <c r="AA649">
        <f t="shared" si="49"/>
        <v>3.6668803637086356E-2</v>
      </c>
      <c r="AD649" s="2">
        <v>37226</v>
      </c>
      <c r="AE649">
        <v>1.5909426469977284E-2</v>
      </c>
    </row>
    <row r="650" spans="7:31" x14ac:dyDescent="0.25">
      <c r="G650" s="2"/>
      <c r="L650" s="2"/>
      <c r="P650" s="2">
        <v>41091</v>
      </c>
      <c r="Q650">
        <v>10051.799999999999</v>
      </c>
      <c r="R650">
        <f t="shared" si="45"/>
        <v>7.5953967673070721E-2</v>
      </c>
      <c r="U650" s="2">
        <v>36708</v>
      </c>
      <c r="V650">
        <v>172.7</v>
      </c>
      <c r="W650">
        <f t="shared" si="46"/>
        <v>3.5360195395884197E-2</v>
      </c>
      <c r="Y650" s="2">
        <f t="shared" si="47"/>
        <v>41091</v>
      </c>
      <c r="Z650">
        <f t="shared" si="48"/>
        <v>7.5953967673070721E-2</v>
      </c>
      <c r="AA650">
        <f t="shared" si="49"/>
        <v>3.5360195395884197E-2</v>
      </c>
      <c r="AD650" s="2">
        <v>37257</v>
      </c>
      <c r="AE650">
        <v>1.1888053959589584E-2</v>
      </c>
    </row>
    <row r="651" spans="7:31" x14ac:dyDescent="0.25">
      <c r="G651" s="2"/>
      <c r="L651" s="2"/>
      <c r="P651" s="2">
        <v>41122</v>
      </c>
      <c r="Q651">
        <v>10121.299999999999</v>
      </c>
      <c r="R651">
        <f t="shared" si="45"/>
        <v>6.2550635330197224E-2</v>
      </c>
      <c r="U651" s="2">
        <v>36739</v>
      </c>
      <c r="V651">
        <v>172.7</v>
      </c>
      <c r="W651">
        <f t="shared" si="46"/>
        <v>3.296354955128411E-2</v>
      </c>
      <c r="Y651" s="2">
        <f t="shared" si="47"/>
        <v>41122</v>
      </c>
      <c r="Z651">
        <f t="shared" si="48"/>
        <v>6.2550635330197224E-2</v>
      </c>
      <c r="AA651">
        <f t="shared" si="49"/>
        <v>3.296354955128411E-2</v>
      </c>
      <c r="AD651" s="2">
        <v>37288</v>
      </c>
      <c r="AE651">
        <v>1.1299555253933669E-2</v>
      </c>
    </row>
    <row r="652" spans="7:31" x14ac:dyDescent="0.25">
      <c r="G652" s="2"/>
      <c r="L652" s="2"/>
      <c r="P652" s="2">
        <v>41153</v>
      </c>
      <c r="Q652">
        <v>10200.799999999999</v>
      </c>
      <c r="R652">
        <f t="shared" si="45"/>
        <v>6.8199830883777679E-2</v>
      </c>
      <c r="U652" s="2">
        <v>36770</v>
      </c>
      <c r="V652">
        <v>173.6</v>
      </c>
      <c r="W652">
        <f t="shared" si="46"/>
        <v>3.3981008193143758E-2</v>
      </c>
      <c r="Y652" s="2">
        <f t="shared" si="47"/>
        <v>41153</v>
      </c>
      <c r="Z652">
        <f t="shared" si="48"/>
        <v>6.8199830883777679E-2</v>
      </c>
      <c r="AA652">
        <f t="shared" si="49"/>
        <v>3.3981008193143758E-2</v>
      </c>
      <c r="AD652" s="2">
        <v>37316</v>
      </c>
      <c r="AE652">
        <v>1.3536585717533356E-2</v>
      </c>
    </row>
    <row r="653" spans="7:31" x14ac:dyDescent="0.25">
      <c r="G653" s="2"/>
      <c r="L653" s="2"/>
      <c r="P653" s="2">
        <v>41183</v>
      </c>
      <c r="Q653">
        <v>10267.299999999999</v>
      </c>
      <c r="R653">
        <f t="shared" si="45"/>
        <v>7.1156719508067567E-2</v>
      </c>
      <c r="U653" s="2">
        <v>36800</v>
      </c>
      <c r="V653">
        <v>173.9</v>
      </c>
      <c r="W653">
        <f t="shared" si="46"/>
        <v>3.3921380945667323E-2</v>
      </c>
      <c r="Y653" s="2">
        <f t="shared" si="47"/>
        <v>41183</v>
      </c>
      <c r="Z653">
        <f t="shared" si="48"/>
        <v>7.1156719508067567E-2</v>
      </c>
      <c r="AA653">
        <f t="shared" si="49"/>
        <v>3.3921380945667323E-2</v>
      </c>
      <c r="AD653" s="2">
        <v>37347</v>
      </c>
      <c r="AE653">
        <v>1.6306237038396176E-2</v>
      </c>
    </row>
    <row r="654" spans="7:31" x14ac:dyDescent="0.25">
      <c r="G654" s="2"/>
      <c r="L654" s="2"/>
      <c r="P654" s="2">
        <v>41214</v>
      </c>
      <c r="Q654">
        <v>10337.6</v>
      </c>
      <c r="R654">
        <f t="shared" si="45"/>
        <v>7.2712995923177814E-2</v>
      </c>
      <c r="U654" s="2">
        <v>36831</v>
      </c>
      <c r="V654">
        <v>174.2</v>
      </c>
      <c r="W654">
        <f t="shared" si="46"/>
        <v>3.3861962610176377E-2</v>
      </c>
      <c r="Y654" s="2">
        <f t="shared" si="47"/>
        <v>41214</v>
      </c>
      <c r="Z654">
        <f t="shared" si="48"/>
        <v>7.2712995923177814E-2</v>
      </c>
      <c r="AA654">
        <f t="shared" si="49"/>
        <v>3.3861962610176377E-2</v>
      </c>
      <c r="AD654" s="2">
        <v>37377</v>
      </c>
      <c r="AE654">
        <v>1.2331994848170602E-2</v>
      </c>
    </row>
    <row r="655" spans="7:31" x14ac:dyDescent="0.25">
      <c r="G655" s="2"/>
      <c r="L655" s="2"/>
      <c r="P655" s="2">
        <v>41244</v>
      </c>
      <c r="Q655">
        <v>10459.700000000001</v>
      </c>
      <c r="R655">
        <f t="shared" si="45"/>
        <v>7.9525777399423347E-2</v>
      </c>
      <c r="U655" s="2">
        <v>36861</v>
      </c>
      <c r="V655">
        <v>174.6</v>
      </c>
      <c r="W655">
        <f t="shared" si="46"/>
        <v>3.3783061243644497E-2</v>
      </c>
      <c r="Y655" s="2">
        <f t="shared" si="47"/>
        <v>41244</v>
      </c>
      <c r="Z655">
        <f t="shared" si="48"/>
        <v>7.9525777399423347E-2</v>
      </c>
      <c r="AA655">
        <f t="shared" si="49"/>
        <v>3.3783061243644497E-2</v>
      </c>
      <c r="AD655" s="2">
        <v>37408</v>
      </c>
      <c r="AE655">
        <v>1.0635420707493459E-2</v>
      </c>
    </row>
    <row r="656" spans="7:31" x14ac:dyDescent="0.25">
      <c r="G656" s="2"/>
      <c r="L656" s="2"/>
      <c r="P656" s="2">
        <v>41275</v>
      </c>
      <c r="Q656">
        <v>10482.9</v>
      </c>
      <c r="R656">
        <f t="shared" si="45"/>
        <v>7.4192362228178155E-2</v>
      </c>
      <c r="U656" s="2">
        <v>36892</v>
      </c>
      <c r="V656">
        <v>175.6</v>
      </c>
      <c r="W656">
        <f t="shared" si="46"/>
        <v>3.6536392061926826E-2</v>
      </c>
      <c r="Y656" s="2">
        <f t="shared" si="47"/>
        <v>41275</v>
      </c>
      <c r="Z656">
        <f t="shared" si="48"/>
        <v>7.4192362228178155E-2</v>
      </c>
      <c r="AA656">
        <f t="shared" si="49"/>
        <v>3.6536392061926826E-2</v>
      </c>
      <c r="AD656" s="2">
        <v>37438</v>
      </c>
      <c r="AE656">
        <v>1.45497810147317E-2</v>
      </c>
    </row>
    <row r="657" spans="7:31" x14ac:dyDescent="0.25">
      <c r="G657" s="2"/>
      <c r="L657" s="2"/>
      <c r="P657" s="2">
        <v>41306</v>
      </c>
      <c r="Q657">
        <v>10501.3</v>
      </c>
      <c r="R657">
        <f t="shared" si="45"/>
        <v>7.0576922665734898E-2</v>
      </c>
      <c r="U657" s="2">
        <v>36923</v>
      </c>
      <c r="V657">
        <v>176</v>
      </c>
      <c r="W657">
        <f t="shared" si="46"/>
        <v>3.4685557987889304E-2</v>
      </c>
      <c r="Y657" s="2">
        <f t="shared" si="47"/>
        <v>41306</v>
      </c>
      <c r="Z657">
        <f t="shared" si="48"/>
        <v>7.0576922665734898E-2</v>
      </c>
      <c r="AA657">
        <f t="shared" si="49"/>
        <v>3.4685557987889304E-2</v>
      </c>
      <c r="AD657" s="2">
        <v>37469</v>
      </c>
      <c r="AE657">
        <v>1.7323707897457297E-2</v>
      </c>
    </row>
    <row r="658" spans="7:31" x14ac:dyDescent="0.25">
      <c r="G658" s="2"/>
      <c r="L658" s="2"/>
      <c r="P658" s="2">
        <v>41334</v>
      </c>
      <c r="Q658">
        <v>10558.3</v>
      </c>
      <c r="R658">
        <f t="shared" si="45"/>
        <v>7.1412310533947476E-2</v>
      </c>
      <c r="U658" s="2">
        <v>36951</v>
      </c>
      <c r="V658">
        <v>176.1</v>
      </c>
      <c r="W658">
        <f t="shared" si="46"/>
        <v>2.9388458999499711E-2</v>
      </c>
      <c r="Y658" s="2">
        <f t="shared" si="47"/>
        <v>41334</v>
      </c>
      <c r="Z658">
        <f t="shared" si="48"/>
        <v>7.1412310533947476E-2</v>
      </c>
      <c r="AA658">
        <f t="shared" si="49"/>
        <v>2.9388458999499711E-2</v>
      </c>
      <c r="AD658" s="2">
        <v>37500</v>
      </c>
      <c r="AE658">
        <v>1.504625766246015E-2</v>
      </c>
    </row>
    <row r="659" spans="7:31" x14ac:dyDescent="0.25">
      <c r="G659" s="2"/>
      <c r="L659" s="2"/>
      <c r="P659" s="2">
        <v>41365</v>
      </c>
      <c r="Q659">
        <v>10586.3</v>
      </c>
      <c r="R659">
        <f t="shared" si="45"/>
        <v>6.8582721898028609E-2</v>
      </c>
      <c r="U659" s="2">
        <v>36982</v>
      </c>
      <c r="V659">
        <v>176.4</v>
      </c>
      <c r="W659">
        <f t="shared" si="46"/>
        <v>3.1675553451145255E-2</v>
      </c>
      <c r="Y659" s="2">
        <f t="shared" si="47"/>
        <v>41365</v>
      </c>
      <c r="Z659">
        <f t="shared" si="48"/>
        <v>6.8582721898028609E-2</v>
      </c>
      <c r="AA659">
        <f t="shared" si="49"/>
        <v>3.1675553451145255E-2</v>
      </c>
      <c r="AD659" s="2">
        <v>37530</v>
      </c>
      <c r="AE659">
        <v>2.0067563050809589E-2</v>
      </c>
    </row>
    <row r="660" spans="7:31" x14ac:dyDescent="0.25">
      <c r="G660" s="2"/>
      <c r="L660" s="2"/>
      <c r="P660" s="2">
        <v>41395</v>
      </c>
      <c r="Q660">
        <v>10621</v>
      </c>
      <c r="R660">
        <f t="shared" ref="R660:R723" si="50">LN(Q660)-LN(Q648)</f>
        <v>6.7433836160082805E-2</v>
      </c>
      <c r="U660" s="2">
        <v>37012</v>
      </c>
      <c r="V660">
        <v>177.3</v>
      </c>
      <c r="W660">
        <f t="shared" ref="W660:W723" si="51">LN(V660)-LN(V648)</f>
        <v>3.5010749372521133E-2</v>
      </c>
      <c r="Y660" s="2">
        <f t="shared" si="47"/>
        <v>41395</v>
      </c>
      <c r="Z660">
        <f t="shared" si="48"/>
        <v>6.7433836160082805E-2</v>
      </c>
      <c r="AA660">
        <f t="shared" si="49"/>
        <v>3.5010749372521133E-2</v>
      </c>
      <c r="AD660" s="2">
        <v>37561</v>
      </c>
      <c r="AE660">
        <v>2.2285044789434494E-2</v>
      </c>
    </row>
    <row r="661" spans="7:31" x14ac:dyDescent="0.25">
      <c r="G661" s="2"/>
      <c r="L661" s="2"/>
      <c r="P661" s="2">
        <v>41426</v>
      </c>
      <c r="Q661">
        <v>10678.7</v>
      </c>
      <c r="R661">
        <f t="shared" si="50"/>
        <v>6.5736012732848792E-2</v>
      </c>
      <c r="U661" s="2">
        <v>37043</v>
      </c>
      <c r="V661">
        <v>177.7</v>
      </c>
      <c r="W661">
        <f t="shared" si="51"/>
        <v>3.1440143166975965E-2</v>
      </c>
      <c r="Y661" s="2">
        <f t="shared" ref="Y661:Y724" si="52">P661</f>
        <v>41426</v>
      </c>
      <c r="Z661">
        <f t="shared" ref="Z661:Z724" si="53">R661</f>
        <v>6.5736012732848792E-2</v>
      </c>
      <c r="AA661">
        <f t="shared" ref="AA661:AA724" si="54">W661</f>
        <v>3.1440143166975965E-2</v>
      </c>
      <c r="AD661" s="2">
        <v>37591</v>
      </c>
      <c r="AE661">
        <v>2.4500111867899577E-2</v>
      </c>
    </row>
    <row r="662" spans="7:31" x14ac:dyDescent="0.25">
      <c r="G662" s="2"/>
      <c r="L662" s="2"/>
      <c r="P662" s="2">
        <v>41456</v>
      </c>
      <c r="Q662">
        <v>10718.4</v>
      </c>
      <c r="R662">
        <f t="shared" si="50"/>
        <v>6.4210167826461273E-2</v>
      </c>
      <c r="U662" s="2">
        <v>37073</v>
      </c>
      <c r="V662">
        <v>177.4</v>
      </c>
      <c r="W662">
        <f t="shared" si="51"/>
        <v>2.6851084722846252E-2</v>
      </c>
      <c r="Y662" s="2">
        <f t="shared" si="52"/>
        <v>41456</v>
      </c>
      <c r="Z662">
        <f t="shared" si="53"/>
        <v>6.4210167826461273E-2</v>
      </c>
      <c r="AA662">
        <f t="shared" si="54"/>
        <v>2.6851084722846252E-2</v>
      </c>
      <c r="AD662" s="2">
        <v>37622</v>
      </c>
      <c r="AE662">
        <v>2.7201233000262448E-2</v>
      </c>
    </row>
    <row r="663" spans="7:31" x14ac:dyDescent="0.25">
      <c r="G663" s="2"/>
      <c r="L663" s="2"/>
      <c r="P663" s="2">
        <v>41487</v>
      </c>
      <c r="Q663">
        <v>10776.6</v>
      </c>
      <c r="R663">
        <f t="shared" si="50"/>
        <v>6.2735002738078194E-2</v>
      </c>
      <c r="U663" s="2">
        <v>37104</v>
      </c>
      <c r="V663">
        <v>177.4</v>
      </c>
      <c r="W663">
        <f t="shared" si="51"/>
        <v>2.6851084722846252E-2</v>
      </c>
      <c r="Y663" s="2">
        <f t="shared" si="52"/>
        <v>41487</v>
      </c>
      <c r="Z663">
        <f t="shared" si="53"/>
        <v>6.2735002738078194E-2</v>
      </c>
      <c r="AA663">
        <f t="shared" si="54"/>
        <v>2.6851084722846252E-2</v>
      </c>
      <c r="AD663" s="2">
        <v>37653</v>
      </c>
      <c r="AE663">
        <v>3.0975927894305144E-2</v>
      </c>
    </row>
    <row r="664" spans="7:31" x14ac:dyDescent="0.25">
      <c r="G664" s="2"/>
      <c r="L664" s="2"/>
      <c r="P664" s="2">
        <v>41518</v>
      </c>
      <c r="Q664">
        <v>10837.2</v>
      </c>
      <c r="R664">
        <f t="shared" si="50"/>
        <v>6.0518511475422088E-2</v>
      </c>
      <c r="U664" s="2">
        <v>37135</v>
      </c>
      <c r="V664">
        <v>178.1</v>
      </c>
      <c r="W664">
        <f t="shared" si="51"/>
        <v>2.5591388069366339E-2</v>
      </c>
      <c r="Y664" s="2">
        <f t="shared" si="52"/>
        <v>41518</v>
      </c>
      <c r="Z664">
        <f t="shared" si="53"/>
        <v>6.0518511475422088E-2</v>
      </c>
      <c r="AA664">
        <f t="shared" si="54"/>
        <v>2.5591388069366339E-2</v>
      </c>
      <c r="AD664" s="2">
        <v>37681</v>
      </c>
      <c r="AE664">
        <v>2.9803530390582367E-2</v>
      </c>
    </row>
    <row r="665" spans="7:31" x14ac:dyDescent="0.25">
      <c r="G665" s="2"/>
      <c r="L665" s="2"/>
      <c r="P665" s="2">
        <v>41548</v>
      </c>
      <c r="Q665">
        <v>10961.6</v>
      </c>
      <c r="R665">
        <f t="shared" si="50"/>
        <v>6.5434168546037341E-2</v>
      </c>
      <c r="U665" s="2">
        <v>37165</v>
      </c>
      <c r="V665">
        <v>177.6</v>
      </c>
      <c r="W665">
        <f t="shared" si="51"/>
        <v>2.1053409197832273E-2</v>
      </c>
      <c r="Y665" s="2">
        <f t="shared" si="52"/>
        <v>41548</v>
      </c>
      <c r="Z665">
        <f t="shared" si="53"/>
        <v>6.5434168546037341E-2</v>
      </c>
      <c r="AA665">
        <f t="shared" si="54"/>
        <v>2.1053409197832273E-2</v>
      </c>
      <c r="AD665" s="2">
        <v>37712</v>
      </c>
      <c r="AE665">
        <v>2.1518071628943147E-2</v>
      </c>
    </row>
    <row r="666" spans="7:31" x14ac:dyDescent="0.25">
      <c r="G666" s="2"/>
      <c r="L666" s="2"/>
      <c r="P666" s="2">
        <v>41579</v>
      </c>
      <c r="Q666">
        <v>10969.7</v>
      </c>
      <c r="R666">
        <f t="shared" si="50"/>
        <v>5.9349192780583593E-2</v>
      </c>
      <c r="U666" s="2">
        <v>37196</v>
      </c>
      <c r="V666">
        <v>177.5</v>
      </c>
      <c r="W666">
        <f t="shared" si="51"/>
        <v>1.8766544497068161E-2</v>
      </c>
      <c r="Y666" s="2">
        <f t="shared" si="52"/>
        <v>41579</v>
      </c>
      <c r="Z666">
        <f t="shared" si="53"/>
        <v>5.9349192780583593E-2</v>
      </c>
      <c r="AA666">
        <f t="shared" si="54"/>
        <v>1.8766544497068161E-2</v>
      </c>
      <c r="AD666" s="2">
        <v>37742</v>
      </c>
      <c r="AE666">
        <v>1.8764347468486875E-2</v>
      </c>
    </row>
    <row r="667" spans="7:31" x14ac:dyDescent="0.25">
      <c r="G667" s="2"/>
      <c r="L667" s="2"/>
      <c r="P667" s="2">
        <v>41609</v>
      </c>
      <c r="Q667">
        <v>11035</v>
      </c>
      <c r="R667">
        <f t="shared" si="50"/>
        <v>5.3542262171557553E-2</v>
      </c>
      <c r="U667" s="2">
        <v>37226</v>
      </c>
      <c r="V667">
        <v>177.4</v>
      </c>
      <c r="W667">
        <f t="shared" si="51"/>
        <v>1.5909426469977284E-2</v>
      </c>
      <c r="Y667" s="2">
        <f t="shared" si="52"/>
        <v>41609</v>
      </c>
      <c r="Z667">
        <f t="shared" si="53"/>
        <v>5.3542262171557553E-2</v>
      </c>
      <c r="AA667">
        <f t="shared" si="54"/>
        <v>1.5909426469977284E-2</v>
      </c>
      <c r="AD667" s="2">
        <v>37773</v>
      </c>
      <c r="AE667">
        <v>1.9300295812365142E-2</v>
      </c>
    </row>
    <row r="668" spans="7:31" x14ac:dyDescent="0.25">
      <c r="G668" s="2"/>
      <c r="L668" s="2"/>
      <c r="P668" s="2">
        <v>41640</v>
      </c>
      <c r="Q668">
        <v>11105.7</v>
      </c>
      <c r="R668">
        <f t="shared" si="50"/>
        <v>5.7713131857951794E-2</v>
      </c>
      <c r="U668" s="2">
        <v>37257</v>
      </c>
      <c r="V668">
        <v>177.7</v>
      </c>
      <c r="W668">
        <f t="shared" si="51"/>
        <v>1.1888053959589584E-2</v>
      </c>
      <c r="Y668" s="2">
        <f t="shared" si="52"/>
        <v>41640</v>
      </c>
      <c r="Z668">
        <f t="shared" si="53"/>
        <v>5.7713131857951794E-2</v>
      </c>
      <c r="AA668">
        <f t="shared" si="54"/>
        <v>1.1888053959589584E-2</v>
      </c>
      <c r="AD668" s="2">
        <v>37803</v>
      </c>
      <c r="AE668">
        <v>2.0347141330869789E-2</v>
      </c>
    </row>
    <row r="669" spans="7:31" x14ac:dyDescent="0.25">
      <c r="G669" s="2"/>
      <c r="L669" s="2"/>
      <c r="P669" s="2">
        <v>41671</v>
      </c>
      <c r="Q669">
        <v>11171.2</v>
      </c>
      <c r="R669">
        <f t="shared" si="50"/>
        <v>6.1839978905059212E-2</v>
      </c>
      <c r="U669" s="2">
        <v>37288</v>
      </c>
      <c r="V669">
        <v>178</v>
      </c>
      <c r="W669">
        <f t="shared" si="51"/>
        <v>1.1299555253933669E-2</v>
      </c>
      <c r="Y669" s="2">
        <f t="shared" si="52"/>
        <v>41671</v>
      </c>
      <c r="Z669">
        <f t="shared" si="53"/>
        <v>6.1839978905059212E-2</v>
      </c>
      <c r="AA669">
        <f t="shared" si="54"/>
        <v>1.1299555253933669E-2</v>
      </c>
      <c r="AD669" s="2">
        <v>37834</v>
      </c>
      <c r="AE669">
        <v>2.1918685707645658E-2</v>
      </c>
    </row>
    <row r="670" spans="7:31" x14ac:dyDescent="0.25">
      <c r="G670" s="2"/>
      <c r="L670" s="2"/>
      <c r="P670" s="2">
        <v>41699</v>
      </c>
      <c r="Q670">
        <v>11208.1</v>
      </c>
      <c r="R670">
        <f t="shared" si="50"/>
        <v>5.9724450723154021E-2</v>
      </c>
      <c r="U670" s="2">
        <v>37316</v>
      </c>
      <c r="V670">
        <v>178.5</v>
      </c>
      <c r="W670">
        <f t="shared" si="51"/>
        <v>1.3536585717533356E-2</v>
      </c>
      <c r="Y670" s="2">
        <f t="shared" si="52"/>
        <v>41699</v>
      </c>
      <c r="Z670">
        <f t="shared" si="53"/>
        <v>5.9724450723154021E-2</v>
      </c>
      <c r="AA670">
        <f t="shared" si="54"/>
        <v>1.3536585717533356E-2</v>
      </c>
      <c r="AD670" s="2">
        <v>37865</v>
      </c>
      <c r="AE670">
        <v>2.3504771621375653E-2</v>
      </c>
    </row>
    <row r="671" spans="7:31" x14ac:dyDescent="0.25">
      <c r="G671" s="2"/>
      <c r="L671" s="2"/>
      <c r="P671" s="2">
        <v>41730</v>
      </c>
      <c r="Q671">
        <v>11253.1</v>
      </c>
      <c r="R671">
        <f t="shared" si="50"/>
        <v>6.1082933897202096E-2</v>
      </c>
      <c r="U671" s="2">
        <v>37347</v>
      </c>
      <c r="V671">
        <v>179.3</v>
      </c>
      <c r="W671">
        <f t="shared" si="51"/>
        <v>1.6306237038396176E-2</v>
      </c>
      <c r="Y671" s="2">
        <f t="shared" si="52"/>
        <v>41730</v>
      </c>
      <c r="Z671">
        <f t="shared" si="53"/>
        <v>6.1082933897202096E-2</v>
      </c>
      <c r="AA671">
        <f t="shared" si="54"/>
        <v>1.6306237038396176E-2</v>
      </c>
      <c r="AD671" s="2">
        <v>37895</v>
      </c>
      <c r="AE671">
        <v>2.0213744784199683E-2</v>
      </c>
    </row>
    <row r="672" spans="7:31" x14ac:dyDescent="0.25">
      <c r="G672" s="2"/>
      <c r="L672" s="2"/>
      <c r="P672" s="2">
        <v>41760</v>
      </c>
      <c r="Q672">
        <v>11317.9</v>
      </c>
      <c r="R672">
        <f t="shared" si="50"/>
        <v>6.3552369858594915E-2</v>
      </c>
      <c r="U672" s="2">
        <v>37377</v>
      </c>
      <c r="V672">
        <v>179.5</v>
      </c>
      <c r="W672">
        <f t="shared" si="51"/>
        <v>1.2331994848170602E-2</v>
      </c>
      <c r="Y672" s="2">
        <f t="shared" si="52"/>
        <v>41760</v>
      </c>
      <c r="Z672">
        <f t="shared" si="53"/>
        <v>6.3552369858594915E-2</v>
      </c>
      <c r="AA672">
        <f t="shared" si="54"/>
        <v>1.2331994848170602E-2</v>
      </c>
      <c r="AD672" s="2">
        <v>37926</v>
      </c>
      <c r="AE672">
        <v>1.910017137341935E-2</v>
      </c>
    </row>
    <row r="673" spans="7:31" x14ac:dyDescent="0.25">
      <c r="G673" s="2"/>
      <c r="L673" s="2"/>
      <c r="P673" s="2">
        <v>41791</v>
      </c>
      <c r="Q673">
        <v>11373.5</v>
      </c>
      <c r="R673">
        <f t="shared" si="50"/>
        <v>6.3034984732999177E-2</v>
      </c>
      <c r="U673" s="2">
        <v>37408</v>
      </c>
      <c r="V673">
        <v>179.6</v>
      </c>
      <c r="W673">
        <f t="shared" si="51"/>
        <v>1.0635420707493459E-2</v>
      </c>
      <c r="Y673" s="2">
        <f t="shared" si="52"/>
        <v>41791</v>
      </c>
      <c r="Z673">
        <f t="shared" si="53"/>
        <v>6.3034984732999177E-2</v>
      </c>
      <c r="AA673">
        <f t="shared" si="54"/>
        <v>1.0635420707493459E-2</v>
      </c>
      <c r="AD673" s="2">
        <v>37956</v>
      </c>
      <c r="AE673">
        <v>2.0147700304111282E-2</v>
      </c>
    </row>
    <row r="674" spans="7:31" x14ac:dyDescent="0.25">
      <c r="G674" s="2"/>
      <c r="L674" s="2"/>
      <c r="P674" s="2">
        <v>41821</v>
      </c>
      <c r="Q674">
        <v>11427.4</v>
      </c>
      <c r="R674">
        <f t="shared" si="50"/>
        <v>6.4052089593218398E-2</v>
      </c>
      <c r="U674" s="2">
        <v>37438</v>
      </c>
      <c r="V674">
        <v>180</v>
      </c>
      <c r="W674">
        <f t="shared" si="51"/>
        <v>1.45497810147317E-2</v>
      </c>
      <c r="Y674" s="2">
        <f t="shared" si="52"/>
        <v>41821</v>
      </c>
      <c r="Z674">
        <f t="shared" si="53"/>
        <v>6.4052089593218398E-2</v>
      </c>
      <c r="AA674">
        <f t="shared" si="54"/>
        <v>1.45497810147317E-2</v>
      </c>
      <c r="AD674" s="2">
        <v>37987</v>
      </c>
      <c r="AE674">
        <v>2.0060309446674474E-2</v>
      </c>
    </row>
    <row r="675" spans="7:31" x14ac:dyDescent="0.25">
      <c r="G675" s="2"/>
      <c r="L675" s="2"/>
      <c r="P675" s="2">
        <v>41852</v>
      </c>
      <c r="Q675">
        <v>11451.9</v>
      </c>
      <c r="R675">
        <f t="shared" si="50"/>
        <v>6.0778538253213554E-2</v>
      </c>
      <c r="U675" s="2">
        <v>37469</v>
      </c>
      <c r="V675">
        <v>180.5</v>
      </c>
      <c r="W675">
        <f t="shared" si="51"/>
        <v>1.7323707897457297E-2</v>
      </c>
      <c r="Y675" s="2">
        <f t="shared" si="52"/>
        <v>41852</v>
      </c>
      <c r="Z675">
        <f t="shared" si="53"/>
        <v>6.0778538253213554E-2</v>
      </c>
      <c r="AA675">
        <f t="shared" si="54"/>
        <v>1.7323707897457297E-2</v>
      </c>
      <c r="AD675" s="2">
        <v>38018</v>
      </c>
      <c r="AE675">
        <v>1.6743572361286319E-2</v>
      </c>
    </row>
    <row r="676" spans="7:31" x14ac:dyDescent="0.25">
      <c r="G676" s="2"/>
      <c r="L676" s="2"/>
      <c r="P676" s="2">
        <v>41883</v>
      </c>
      <c r="Q676">
        <v>11493.7</v>
      </c>
      <c r="R676">
        <f t="shared" si="50"/>
        <v>5.8814399108095827E-2</v>
      </c>
      <c r="U676" s="2">
        <v>37500</v>
      </c>
      <c r="V676">
        <v>180.8</v>
      </c>
      <c r="W676">
        <f t="shared" si="51"/>
        <v>1.504625766246015E-2</v>
      </c>
      <c r="Y676" s="2">
        <f t="shared" si="52"/>
        <v>41883</v>
      </c>
      <c r="Z676">
        <f t="shared" si="53"/>
        <v>5.8814399108095827E-2</v>
      </c>
      <c r="AA676">
        <f t="shared" si="54"/>
        <v>1.504625766246015E-2</v>
      </c>
      <c r="AD676" s="2">
        <v>38047</v>
      </c>
      <c r="AE676">
        <v>1.7251101669768509E-2</v>
      </c>
    </row>
    <row r="677" spans="7:31" x14ac:dyDescent="0.25">
      <c r="G677" s="2"/>
      <c r="L677" s="2"/>
      <c r="P677" s="2">
        <v>41913</v>
      </c>
      <c r="Q677">
        <v>11568.1</v>
      </c>
      <c r="R677">
        <f t="shared" si="50"/>
        <v>5.3853053649199012E-2</v>
      </c>
      <c r="U677" s="2">
        <v>37530</v>
      </c>
      <c r="V677">
        <v>181.2</v>
      </c>
      <c r="W677">
        <f t="shared" si="51"/>
        <v>2.0067563050809589E-2</v>
      </c>
      <c r="Y677" s="2">
        <f t="shared" si="52"/>
        <v>41913</v>
      </c>
      <c r="Z677">
        <f t="shared" si="53"/>
        <v>5.3853053649199012E-2</v>
      </c>
      <c r="AA677">
        <f t="shared" si="54"/>
        <v>2.0067563050809589E-2</v>
      </c>
      <c r="AD677" s="2">
        <v>38078</v>
      </c>
      <c r="AE677">
        <v>2.2666917564291289E-2</v>
      </c>
    </row>
    <row r="678" spans="7:31" x14ac:dyDescent="0.25">
      <c r="G678" s="2"/>
      <c r="L678" s="2"/>
      <c r="P678" s="2">
        <v>41944</v>
      </c>
      <c r="Q678">
        <v>11608.8</v>
      </c>
      <c r="R678">
        <f t="shared" si="50"/>
        <v>5.6626504592397708E-2</v>
      </c>
      <c r="U678" s="2">
        <v>37561</v>
      </c>
      <c r="V678">
        <v>181.5</v>
      </c>
      <c r="W678">
        <f t="shared" si="51"/>
        <v>2.2285044789434494E-2</v>
      </c>
      <c r="Y678" s="2">
        <f t="shared" si="52"/>
        <v>41944</v>
      </c>
      <c r="Z678">
        <f t="shared" si="53"/>
        <v>5.6626504592397708E-2</v>
      </c>
      <c r="AA678">
        <f t="shared" si="54"/>
        <v>2.2285044789434494E-2</v>
      </c>
      <c r="AD678" s="2">
        <v>38108</v>
      </c>
      <c r="AE678">
        <v>2.8565671754459565E-2</v>
      </c>
    </row>
    <row r="679" spans="7:31" x14ac:dyDescent="0.25">
      <c r="G679" s="2"/>
      <c r="L679" s="2"/>
      <c r="P679" s="2">
        <v>41974</v>
      </c>
      <c r="Q679">
        <v>11692</v>
      </c>
      <c r="R679">
        <f t="shared" si="50"/>
        <v>5.7832807540300735E-2</v>
      </c>
      <c r="U679" s="2">
        <v>37591</v>
      </c>
      <c r="V679">
        <v>181.8</v>
      </c>
      <c r="W679">
        <f t="shared" si="51"/>
        <v>2.4500111867899577E-2</v>
      </c>
      <c r="Y679" s="2">
        <f t="shared" si="52"/>
        <v>41974</v>
      </c>
      <c r="Z679">
        <f t="shared" si="53"/>
        <v>5.7832807540300735E-2</v>
      </c>
      <c r="AA679">
        <f t="shared" si="54"/>
        <v>2.4500111867899577E-2</v>
      </c>
      <c r="AD679" s="2">
        <v>38139</v>
      </c>
      <c r="AE679">
        <v>3.1185322826999595E-2</v>
      </c>
    </row>
    <row r="680" spans="7:31" x14ac:dyDescent="0.25">
      <c r="G680" s="2"/>
      <c r="L680" s="2"/>
      <c r="P680" s="2">
        <v>42005</v>
      </c>
      <c r="Q680">
        <v>11764.6</v>
      </c>
      <c r="R680">
        <f t="shared" si="50"/>
        <v>5.7636532422462139E-2</v>
      </c>
      <c r="U680" s="2">
        <v>37622</v>
      </c>
      <c r="V680">
        <v>182.6</v>
      </c>
      <c r="W680">
        <f t="shared" si="51"/>
        <v>2.7201233000262448E-2</v>
      </c>
      <c r="Y680" s="2">
        <f t="shared" si="52"/>
        <v>42005</v>
      </c>
      <c r="Z680">
        <f t="shared" si="53"/>
        <v>5.7636532422462139E-2</v>
      </c>
      <c r="AA680">
        <f t="shared" si="54"/>
        <v>2.7201233000262448E-2</v>
      </c>
      <c r="AD680" s="2">
        <v>38169</v>
      </c>
      <c r="AE680">
        <v>2.8971983443331517E-2</v>
      </c>
    </row>
    <row r="681" spans="7:31" x14ac:dyDescent="0.25">
      <c r="G681" s="2"/>
      <c r="L681" s="2"/>
      <c r="P681" s="2">
        <v>42036</v>
      </c>
      <c r="Q681">
        <v>11870.8</v>
      </c>
      <c r="R681">
        <f t="shared" si="50"/>
        <v>6.0742565220586187E-2</v>
      </c>
      <c r="U681" s="2">
        <v>37653</v>
      </c>
      <c r="V681">
        <v>183.6</v>
      </c>
      <c r="W681">
        <f t="shared" si="51"/>
        <v>3.0975927894305144E-2</v>
      </c>
      <c r="Y681" s="2">
        <f t="shared" si="52"/>
        <v>42036</v>
      </c>
      <c r="Z681">
        <f t="shared" si="53"/>
        <v>6.0742565220586187E-2</v>
      </c>
      <c r="AA681">
        <f t="shared" si="54"/>
        <v>3.0975927894305144E-2</v>
      </c>
      <c r="AD681" s="2">
        <v>38200</v>
      </c>
      <c r="AE681">
        <v>2.515519313719583E-2</v>
      </c>
    </row>
    <row r="682" spans="7:31" x14ac:dyDescent="0.25">
      <c r="G682" s="2"/>
      <c r="L682" s="2"/>
      <c r="P682" s="2">
        <v>42064</v>
      </c>
      <c r="Q682">
        <v>11883.6</v>
      </c>
      <c r="R682">
        <f t="shared" si="50"/>
        <v>5.852256713978754E-2</v>
      </c>
      <c r="U682" s="2">
        <v>37681</v>
      </c>
      <c r="V682">
        <v>183.9</v>
      </c>
      <c r="W682">
        <f t="shared" si="51"/>
        <v>2.9803530390582367E-2</v>
      </c>
      <c r="Y682" s="2">
        <f t="shared" si="52"/>
        <v>42064</v>
      </c>
      <c r="Z682">
        <f t="shared" si="53"/>
        <v>5.852256713978754E-2</v>
      </c>
      <c r="AA682">
        <f t="shared" si="54"/>
        <v>2.9803530390582367E-2</v>
      </c>
      <c r="AD682" s="2">
        <v>38231</v>
      </c>
      <c r="AE682">
        <v>2.5074666596375472E-2</v>
      </c>
    </row>
    <row r="683" spans="7:31" x14ac:dyDescent="0.25">
      <c r="G683" s="2"/>
      <c r="L683" s="2"/>
      <c r="P683" s="2">
        <v>42095</v>
      </c>
      <c r="Q683">
        <v>11923.2</v>
      </c>
      <c r="R683">
        <f t="shared" si="50"/>
        <v>5.7842435737553544E-2</v>
      </c>
      <c r="U683" s="2">
        <v>37712</v>
      </c>
      <c r="V683">
        <v>183.2</v>
      </c>
      <c r="W683">
        <f t="shared" si="51"/>
        <v>2.1518071628943147E-2</v>
      </c>
      <c r="Y683" s="2">
        <f t="shared" si="52"/>
        <v>42095</v>
      </c>
      <c r="Z683">
        <f t="shared" si="53"/>
        <v>5.7842435737553544E-2</v>
      </c>
      <c r="AA683">
        <f t="shared" si="54"/>
        <v>2.1518071628943147E-2</v>
      </c>
      <c r="AD683" s="2">
        <v>38261</v>
      </c>
      <c r="AE683">
        <v>3.1410620621107554E-2</v>
      </c>
    </row>
    <row r="684" spans="7:31" x14ac:dyDescent="0.25">
      <c r="G684" s="2"/>
      <c r="L684" s="2"/>
      <c r="P684" s="2">
        <v>42125</v>
      </c>
      <c r="Q684">
        <v>11954.4</v>
      </c>
      <c r="R684">
        <f t="shared" si="50"/>
        <v>5.4713868247048936E-2</v>
      </c>
      <c r="U684" s="2">
        <v>37742</v>
      </c>
      <c r="V684">
        <v>182.9</v>
      </c>
      <c r="W684">
        <f t="shared" si="51"/>
        <v>1.8764347468486875E-2</v>
      </c>
      <c r="Y684" s="2">
        <f t="shared" si="52"/>
        <v>42125</v>
      </c>
      <c r="Z684">
        <f t="shared" si="53"/>
        <v>5.4713868247048936E-2</v>
      </c>
      <c r="AA684">
        <f t="shared" si="54"/>
        <v>1.8764347468486875E-2</v>
      </c>
      <c r="AD684" s="2">
        <v>38292</v>
      </c>
      <c r="AE684">
        <v>3.5575824973274273E-2</v>
      </c>
    </row>
    <row r="685" spans="7:31" x14ac:dyDescent="0.25">
      <c r="G685" s="2"/>
      <c r="L685" s="2"/>
      <c r="P685" s="2">
        <v>42156</v>
      </c>
      <c r="Q685">
        <v>12000.5</v>
      </c>
      <c r="R685">
        <f t="shared" si="50"/>
        <v>5.3662227576856125E-2</v>
      </c>
      <c r="U685" s="2">
        <v>37773</v>
      </c>
      <c r="V685">
        <v>183.1</v>
      </c>
      <c r="W685">
        <f t="shared" si="51"/>
        <v>1.9300295812365142E-2</v>
      </c>
      <c r="Y685" s="2">
        <f t="shared" si="52"/>
        <v>42156</v>
      </c>
      <c r="Z685">
        <f t="shared" si="53"/>
        <v>5.3662227576856125E-2</v>
      </c>
      <c r="AA685">
        <f t="shared" si="54"/>
        <v>1.9300295812365142E-2</v>
      </c>
      <c r="AD685" s="2">
        <v>38322</v>
      </c>
      <c r="AE685">
        <v>3.2876768004109103E-2</v>
      </c>
    </row>
    <row r="686" spans="7:31" x14ac:dyDescent="0.25">
      <c r="G686" s="2"/>
      <c r="L686" s="2"/>
      <c r="P686" s="2">
        <v>42186</v>
      </c>
      <c r="Q686">
        <v>12049.9</v>
      </c>
      <c r="R686">
        <f t="shared" si="50"/>
        <v>5.3042380781958443E-2</v>
      </c>
      <c r="U686" s="2">
        <v>37803</v>
      </c>
      <c r="V686">
        <v>183.7</v>
      </c>
      <c r="W686">
        <f t="shared" si="51"/>
        <v>2.0347141330869789E-2</v>
      </c>
      <c r="Y686" s="2">
        <f t="shared" si="52"/>
        <v>42186</v>
      </c>
      <c r="Z686">
        <f t="shared" si="53"/>
        <v>5.3042380781958443E-2</v>
      </c>
      <c r="AA686">
        <f t="shared" si="54"/>
        <v>2.0347141330869789E-2</v>
      </c>
      <c r="AD686" s="2">
        <v>38353</v>
      </c>
      <c r="AE686">
        <v>2.8051587929216915E-2</v>
      </c>
    </row>
    <row r="687" spans="7:31" x14ac:dyDescent="0.25">
      <c r="G687" s="2"/>
      <c r="L687" s="2"/>
      <c r="P687" s="2">
        <v>42217</v>
      </c>
      <c r="Q687">
        <v>12100.2</v>
      </c>
      <c r="R687">
        <f t="shared" si="50"/>
        <v>5.5066326293166767E-2</v>
      </c>
      <c r="U687" s="2">
        <v>37834</v>
      </c>
      <c r="V687">
        <v>184.5</v>
      </c>
      <c r="W687">
        <f t="shared" si="51"/>
        <v>2.1918685707645658E-2</v>
      </c>
      <c r="Y687" s="2">
        <f t="shared" si="52"/>
        <v>42217</v>
      </c>
      <c r="Z687">
        <f t="shared" si="53"/>
        <v>5.5066326293166767E-2</v>
      </c>
      <c r="AA687">
        <f t="shared" si="54"/>
        <v>2.1918685707645658E-2</v>
      </c>
      <c r="AD687" s="2">
        <v>38384</v>
      </c>
      <c r="AE687">
        <v>3.0073487683929478E-2</v>
      </c>
    </row>
    <row r="688" spans="7:31" x14ac:dyDescent="0.25">
      <c r="G688" s="2"/>
      <c r="L688" s="2"/>
      <c r="P688" s="2">
        <v>42248</v>
      </c>
      <c r="Q688">
        <v>12160.7</v>
      </c>
      <c r="R688">
        <f t="shared" si="50"/>
        <v>5.6410381499935269E-2</v>
      </c>
      <c r="U688" s="2">
        <v>37865</v>
      </c>
      <c r="V688">
        <v>185.1</v>
      </c>
      <c r="W688">
        <f t="shared" si="51"/>
        <v>2.3504771621375653E-2</v>
      </c>
      <c r="Y688" s="2">
        <f t="shared" si="52"/>
        <v>42248</v>
      </c>
      <c r="Z688">
        <f t="shared" si="53"/>
        <v>5.6410381499935269E-2</v>
      </c>
      <c r="AA688">
        <f t="shared" si="54"/>
        <v>2.3504771621375653E-2</v>
      </c>
      <c r="AD688" s="2">
        <v>38412</v>
      </c>
      <c r="AE688">
        <v>3.1564956154424451E-2</v>
      </c>
    </row>
    <row r="689" spans="7:31" x14ac:dyDescent="0.25">
      <c r="G689" s="2"/>
      <c r="L689" s="2"/>
      <c r="P689" s="2">
        <v>42278</v>
      </c>
      <c r="Q689">
        <v>12200.8</v>
      </c>
      <c r="R689">
        <f t="shared" si="50"/>
        <v>5.325021344413905E-2</v>
      </c>
      <c r="U689" s="2">
        <v>37895</v>
      </c>
      <c r="V689">
        <v>184.9</v>
      </c>
      <c r="W689">
        <f t="shared" si="51"/>
        <v>2.0213744784199683E-2</v>
      </c>
      <c r="Y689" s="2">
        <f t="shared" si="52"/>
        <v>42278</v>
      </c>
      <c r="Z689">
        <f t="shared" si="53"/>
        <v>5.325021344413905E-2</v>
      </c>
      <c r="AA689">
        <f t="shared" si="54"/>
        <v>2.0213744784199683E-2</v>
      </c>
      <c r="AD689" s="2">
        <v>38443</v>
      </c>
      <c r="AE689">
        <v>3.3065200608628942E-2</v>
      </c>
    </row>
    <row r="690" spans="7:31" x14ac:dyDescent="0.25">
      <c r="G690" s="2"/>
      <c r="L690" s="2"/>
      <c r="P690" s="2">
        <v>42309</v>
      </c>
      <c r="Q690">
        <v>12289.8</v>
      </c>
      <c r="R690">
        <f t="shared" si="50"/>
        <v>5.7006218857782898E-2</v>
      </c>
      <c r="U690" s="2">
        <v>37926</v>
      </c>
      <c r="V690">
        <v>185</v>
      </c>
      <c r="W690">
        <f t="shared" si="51"/>
        <v>1.910017137341935E-2</v>
      </c>
      <c r="Y690" s="2">
        <f t="shared" si="52"/>
        <v>42309</v>
      </c>
      <c r="Z690">
        <f t="shared" si="53"/>
        <v>5.7006218857782898E-2</v>
      </c>
      <c r="AA690">
        <f t="shared" si="54"/>
        <v>1.910017137341935E-2</v>
      </c>
      <c r="AD690" s="2">
        <v>38473</v>
      </c>
      <c r="AE690">
        <v>2.8288947691197386E-2</v>
      </c>
    </row>
    <row r="691" spans="7:31" x14ac:dyDescent="0.25">
      <c r="G691" s="2"/>
      <c r="L691" s="2"/>
      <c r="P691" s="2">
        <v>42339</v>
      </c>
      <c r="Q691">
        <v>12350.6</v>
      </c>
      <c r="R691">
        <f t="shared" si="50"/>
        <v>5.4799797640821879E-2</v>
      </c>
      <c r="U691" s="2">
        <v>37956</v>
      </c>
      <c r="V691">
        <v>185.5</v>
      </c>
      <c r="W691">
        <f t="shared" si="51"/>
        <v>2.0147700304111282E-2</v>
      </c>
      <c r="Y691" s="2">
        <f t="shared" si="52"/>
        <v>42339</v>
      </c>
      <c r="Z691">
        <f t="shared" si="53"/>
        <v>5.4799797640821879E-2</v>
      </c>
      <c r="AA691">
        <f t="shared" si="54"/>
        <v>2.0147700304111282E-2</v>
      </c>
      <c r="AD691" s="2">
        <v>38504</v>
      </c>
      <c r="AE691">
        <v>2.5092795905486298E-2</v>
      </c>
    </row>
    <row r="692" spans="7:31" x14ac:dyDescent="0.25">
      <c r="G692" s="2"/>
      <c r="L692" s="2"/>
      <c r="P692" s="2">
        <v>42370</v>
      </c>
      <c r="Q692">
        <v>12480</v>
      </c>
      <c r="R692">
        <f t="shared" si="50"/>
        <v>5.9032340489961754E-2</v>
      </c>
      <c r="U692" s="2">
        <v>37987</v>
      </c>
      <c r="V692">
        <v>186.3</v>
      </c>
      <c r="W692">
        <f t="shared" si="51"/>
        <v>2.0060309446674474E-2</v>
      </c>
      <c r="Y692" s="2">
        <f t="shared" si="52"/>
        <v>42370</v>
      </c>
      <c r="Z692">
        <f t="shared" si="53"/>
        <v>5.9032340489961754E-2</v>
      </c>
      <c r="AA692">
        <f t="shared" si="54"/>
        <v>2.0060309446674474E-2</v>
      </c>
      <c r="AD692" s="2">
        <v>38534</v>
      </c>
      <c r="AE692">
        <v>3.0210630849103026E-2</v>
      </c>
    </row>
    <row r="693" spans="7:31" x14ac:dyDescent="0.25">
      <c r="G693" s="2"/>
      <c r="L693" s="2"/>
      <c r="P693" s="2">
        <v>42401</v>
      </c>
      <c r="Q693">
        <v>12546.7</v>
      </c>
      <c r="R693">
        <f t="shared" si="50"/>
        <v>5.5376079644513965E-2</v>
      </c>
      <c r="U693" s="2">
        <v>38018</v>
      </c>
      <c r="V693">
        <v>186.7</v>
      </c>
      <c r="W693">
        <f t="shared" si="51"/>
        <v>1.6743572361286319E-2</v>
      </c>
      <c r="Y693" s="2">
        <f t="shared" si="52"/>
        <v>42401</v>
      </c>
      <c r="Z693">
        <f t="shared" si="53"/>
        <v>5.5376079644513965E-2</v>
      </c>
      <c r="AA693">
        <f t="shared" si="54"/>
        <v>1.6743572361286319E-2</v>
      </c>
      <c r="AD693" s="2">
        <v>38565</v>
      </c>
      <c r="AE693">
        <v>3.5820076584522909E-2</v>
      </c>
    </row>
    <row r="694" spans="7:31" x14ac:dyDescent="0.25">
      <c r="G694" s="2"/>
      <c r="L694" s="2"/>
      <c r="P694" s="2">
        <v>42430</v>
      </c>
      <c r="Q694">
        <v>12609.3</v>
      </c>
      <c r="R694">
        <f t="shared" si="50"/>
        <v>5.9275338604075856E-2</v>
      </c>
      <c r="U694" s="2">
        <v>38047</v>
      </c>
      <c r="V694">
        <v>187.1</v>
      </c>
      <c r="W694">
        <f t="shared" si="51"/>
        <v>1.7251101669768509E-2</v>
      </c>
      <c r="Y694" s="2">
        <f t="shared" si="52"/>
        <v>42430</v>
      </c>
      <c r="Z694">
        <f t="shared" si="53"/>
        <v>5.9275338604075856E-2</v>
      </c>
      <c r="AA694">
        <f t="shared" si="54"/>
        <v>1.7251101669768509E-2</v>
      </c>
      <c r="AD694" s="2">
        <v>38596</v>
      </c>
      <c r="AE694">
        <v>4.6328408046646175E-2</v>
      </c>
    </row>
    <row r="695" spans="7:31" x14ac:dyDescent="0.25">
      <c r="G695" s="2"/>
      <c r="L695" s="2"/>
      <c r="P695" s="2">
        <v>42461</v>
      </c>
      <c r="Q695">
        <v>12692.8</v>
      </c>
      <c r="R695">
        <f t="shared" si="50"/>
        <v>6.2548821580522329E-2</v>
      </c>
      <c r="U695" s="2">
        <v>38078</v>
      </c>
      <c r="V695">
        <v>187.4</v>
      </c>
      <c r="W695">
        <f t="shared" si="51"/>
        <v>2.2666917564291289E-2</v>
      </c>
      <c r="Y695" s="2">
        <f t="shared" si="52"/>
        <v>42461</v>
      </c>
      <c r="Z695">
        <f t="shared" si="53"/>
        <v>6.2548821580522329E-2</v>
      </c>
      <c r="AA695">
        <f t="shared" si="54"/>
        <v>2.2666917564291289E-2</v>
      </c>
      <c r="AD695" s="2">
        <v>38626</v>
      </c>
      <c r="AE695">
        <v>4.2581452055964419E-2</v>
      </c>
    </row>
    <row r="696" spans="7:31" x14ac:dyDescent="0.25">
      <c r="G696" s="2"/>
      <c r="L696" s="2"/>
      <c r="P696" s="2">
        <v>42491</v>
      </c>
      <c r="Q696">
        <v>12763.3</v>
      </c>
      <c r="R696">
        <f t="shared" si="50"/>
        <v>6.5474453724686299E-2</v>
      </c>
      <c r="U696" s="2">
        <v>38108</v>
      </c>
      <c r="V696">
        <v>188.2</v>
      </c>
      <c r="W696">
        <f t="shared" si="51"/>
        <v>2.8565671754459565E-2</v>
      </c>
      <c r="Y696" s="2">
        <f t="shared" si="52"/>
        <v>42491</v>
      </c>
      <c r="Z696">
        <f t="shared" si="53"/>
        <v>6.5474453724686299E-2</v>
      </c>
      <c r="AA696">
        <f t="shared" si="54"/>
        <v>2.8565671754459565E-2</v>
      </c>
      <c r="AD696" s="2">
        <v>38657</v>
      </c>
      <c r="AE696">
        <v>3.2840303652906577E-2</v>
      </c>
    </row>
    <row r="697" spans="7:31" x14ac:dyDescent="0.25">
      <c r="G697" s="2"/>
      <c r="L697" s="2"/>
      <c r="P697" s="2">
        <v>42522</v>
      </c>
      <c r="Q697">
        <v>12828.7</v>
      </c>
      <c r="R697">
        <f t="shared" si="50"/>
        <v>6.6736532887697209E-2</v>
      </c>
      <c r="U697" s="2">
        <v>38139</v>
      </c>
      <c r="V697">
        <v>188.9</v>
      </c>
      <c r="W697">
        <f t="shared" si="51"/>
        <v>3.1185322826999595E-2</v>
      </c>
      <c r="Y697" s="2">
        <f t="shared" si="52"/>
        <v>42522</v>
      </c>
      <c r="Z697">
        <f t="shared" si="53"/>
        <v>6.6736532887697209E-2</v>
      </c>
      <c r="AA697">
        <f t="shared" si="54"/>
        <v>3.1185322826999595E-2</v>
      </c>
      <c r="AD697" s="2">
        <v>38687</v>
      </c>
      <c r="AE697">
        <v>3.2840303652906577E-2</v>
      </c>
    </row>
    <row r="698" spans="7:31" x14ac:dyDescent="0.25">
      <c r="G698" s="2"/>
      <c r="L698" s="2"/>
      <c r="P698" s="2">
        <v>42552</v>
      </c>
      <c r="Q698">
        <v>12889.6</v>
      </c>
      <c r="R698">
        <f t="shared" si="50"/>
        <v>6.7364423514954197E-2</v>
      </c>
      <c r="U698" s="2">
        <v>38169</v>
      </c>
      <c r="V698">
        <v>189.1</v>
      </c>
      <c r="W698">
        <f t="shared" si="51"/>
        <v>2.8971983443331517E-2</v>
      </c>
      <c r="Y698" s="2">
        <f t="shared" si="52"/>
        <v>42552</v>
      </c>
      <c r="Z698">
        <f t="shared" si="53"/>
        <v>6.7364423514954197E-2</v>
      </c>
      <c r="AA698">
        <f t="shared" si="54"/>
        <v>2.8971983443331517E-2</v>
      </c>
      <c r="AD698" s="2">
        <v>38718</v>
      </c>
      <c r="AE698">
        <v>3.9401361681989044E-2</v>
      </c>
    </row>
    <row r="699" spans="7:31" x14ac:dyDescent="0.25">
      <c r="G699" s="2"/>
      <c r="L699" s="2"/>
      <c r="P699" s="2">
        <v>42583</v>
      </c>
      <c r="Q699">
        <v>12976.2</v>
      </c>
      <c r="R699">
        <f t="shared" si="50"/>
        <v>6.9894928932846767E-2</v>
      </c>
      <c r="U699" s="2">
        <v>38200</v>
      </c>
      <c r="V699">
        <v>189.2</v>
      </c>
      <c r="W699">
        <f t="shared" si="51"/>
        <v>2.515519313719583E-2</v>
      </c>
      <c r="Y699" s="2">
        <f t="shared" si="52"/>
        <v>42583</v>
      </c>
      <c r="Z699">
        <f t="shared" si="53"/>
        <v>6.9894928932846767E-2</v>
      </c>
      <c r="AA699">
        <f t="shared" si="54"/>
        <v>2.515519313719583E-2</v>
      </c>
      <c r="AD699" s="2">
        <v>38749</v>
      </c>
      <c r="AE699">
        <v>3.5736319296131747E-2</v>
      </c>
    </row>
    <row r="700" spans="7:31" x14ac:dyDescent="0.25">
      <c r="G700" s="2"/>
      <c r="L700" s="2"/>
      <c r="P700" s="2">
        <v>42614</v>
      </c>
      <c r="Q700">
        <v>13039.1</v>
      </c>
      <c r="R700">
        <f t="shared" si="50"/>
        <v>6.9743095041072678E-2</v>
      </c>
      <c r="U700" s="2">
        <v>38231</v>
      </c>
      <c r="V700">
        <v>189.8</v>
      </c>
      <c r="W700">
        <f t="shared" si="51"/>
        <v>2.5074666596375472E-2</v>
      </c>
      <c r="Y700" s="2">
        <f t="shared" si="52"/>
        <v>42614</v>
      </c>
      <c r="Z700">
        <f t="shared" si="53"/>
        <v>6.9743095041072678E-2</v>
      </c>
      <c r="AA700">
        <f t="shared" si="54"/>
        <v>2.5074666596375472E-2</v>
      </c>
      <c r="AD700" s="2">
        <v>38777</v>
      </c>
      <c r="AE700">
        <v>3.3608050987300686E-2</v>
      </c>
    </row>
    <row r="701" spans="7:31" x14ac:dyDescent="0.25">
      <c r="G701" s="2"/>
      <c r="L701" s="2"/>
      <c r="P701" s="2">
        <v>42644</v>
      </c>
      <c r="Q701">
        <v>13109.2</v>
      </c>
      <c r="R701">
        <f t="shared" si="50"/>
        <v>7.1812750433327466E-2</v>
      </c>
      <c r="U701" s="2">
        <v>38261</v>
      </c>
      <c r="V701">
        <v>190.8</v>
      </c>
      <c r="W701">
        <f t="shared" si="51"/>
        <v>3.1410620621107554E-2</v>
      </c>
      <c r="Y701" s="2">
        <f t="shared" si="52"/>
        <v>42644</v>
      </c>
      <c r="Z701">
        <f t="shared" si="53"/>
        <v>7.1812750433327466E-2</v>
      </c>
      <c r="AA701">
        <f t="shared" si="54"/>
        <v>3.1410620621107554E-2</v>
      </c>
      <c r="AD701" s="2">
        <v>38808</v>
      </c>
      <c r="AE701">
        <v>3.5500685389341591E-2</v>
      </c>
    </row>
    <row r="702" spans="7:31" x14ac:dyDescent="0.25">
      <c r="G702" s="2"/>
      <c r="L702" s="2"/>
      <c r="P702" s="2">
        <v>42675</v>
      </c>
      <c r="Q702">
        <v>13179.7</v>
      </c>
      <c r="R702">
        <f t="shared" si="50"/>
        <v>6.9908117002537296E-2</v>
      </c>
      <c r="U702" s="2">
        <v>38292</v>
      </c>
      <c r="V702">
        <v>191.7</v>
      </c>
      <c r="W702">
        <f t="shared" si="51"/>
        <v>3.5575824973274273E-2</v>
      </c>
      <c r="Y702" s="2">
        <f t="shared" si="52"/>
        <v>42675</v>
      </c>
      <c r="Z702">
        <f t="shared" si="53"/>
        <v>6.9908117002537296E-2</v>
      </c>
      <c r="AA702">
        <f t="shared" si="54"/>
        <v>3.5575824973274273E-2</v>
      </c>
      <c r="AD702" s="2">
        <v>38838</v>
      </c>
      <c r="AE702">
        <v>3.90021578032691E-2</v>
      </c>
    </row>
    <row r="703" spans="7:31" x14ac:dyDescent="0.25">
      <c r="G703" s="2"/>
      <c r="L703" s="2"/>
      <c r="P703" s="2">
        <v>42705</v>
      </c>
      <c r="Q703">
        <v>13212.5</v>
      </c>
      <c r="R703">
        <f t="shared" si="50"/>
        <v>6.74587063065335E-2</v>
      </c>
      <c r="U703" s="2">
        <v>38322</v>
      </c>
      <c r="V703">
        <v>191.7</v>
      </c>
      <c r="W703">
        <f t="shared" si="51"/>
        <v>3.2876768004109103E-2</v>
      </c>
      <c r="Y703" s="2">
        <f t="shared" si="52"/>
        <v>42705</v>
      </c>
      <c r="Z703">
        <f t="shared" si="53"/>
        <v>6.74587063065335E-2</v>
      </c>
      <c r="AA703">
        <f t="shared" si="54"/>
        <v>3.2876768004109103E-2</v>
      </c>
      <c r="AD703" s="2">
        <v>38869</v>
      </c>
      <c r="AE703">
        <v>4.0966537506558431E-2</v>
      </c>
    </row>
    <row r="704" spans="7:31" x14ac:dyDescent="0.25">
      <c r="G704" s="2"/>
      <c r="L704" s="2"/>
      <c r="P704" s="2">
        <v>42736</v>
      </c>
      <c r="Q704">
        <v>13283.5</v>
      </c>
      <c r="R704">
        <f t="shared" si="50"/>
        <v>6.2395300599561665E-2</v>
      </c>
      <c r="U704" s="2">
        <v>38353</v>
      </c>
      <c r="V704">
        <v>191.6</v>
      </c>
      <c r="W704">
        <f t="shared" si="51"/>
        <v>2.8051587929216915E-2</v>
      </c>
      <c r="Y704" s="2">
        <f t="shared" si="52"/>
        <v>42736</v>
      </c>
      <c r="Z704">
        <f t="shared" si="53"/>
        <v>6.2395300599561665E-2</v>
      </c>
      <c r="AA704">
        <f t="shared" si="54"/>
        <v>2.8051587929216915E-2</v>
      </c>
      <c r="AD704" s="2">
        <v>38899</v>
      </c>
      <c r="AE704">
        <v>4.022664031825407E-2</v>
      </c>
    </row>
    <row r="705" spans="7:31" x14ac:dyDescent="0.25">
      <c r="G705" s="2"/>
      <c r="L705" s="2"/>
      <c r="P705" s="2">
        <v>42767</v>
      </c>
      <c r="Q705">
        <v>13348.1</v>
      </c>
      <c r="R705">
        <f t="shared" si="50"/>
        <v>6.1916369826450435E-2</v>
      </c>
      <c r="U705" s="2">
        <v>38384</v>
      </c>
      <c r="V705">
        <v>192.4</v>
      </c>
      <c r="W705">
        <f t="shared" si="51"/>
        <v>3.0073487683929478E-2</v>
      </c>
      <c r="Y705" s="2">
        <f t="shared" si="52"/>
        <v>42767</v>
      </c>
      <c r="Z705">
        <f t="shared" si="53"/>
        <v>6.1916369826450435E-2</v>
      </c>
      <c r="AA705">
        <f t="shared" si="54"/>
        <v>3.0073487683929478E-2</v>
      </c>
      <c r="AD705" s="2">
        <v>38930</v>
      </c>
      <c r="AE705">
        <v>3.8514387586324084E-2</v>
      </c>
    </row>
    <row r="706" spans="7:31" x14ac:dyDescent="0.25">
      <c r="G706" s="2"/>
      <c r="L706" s="2"/>
      <c r="P706" s="2">
        <v>42795</v>
      </c>
      <c r="Q706">
        <v>13416.7</v>
      </c>
      <c r="R706">
        <f t="shared" si="50"/>
        <v>6.206556272822894E-2</v>
      </c>
      <c r="U706" s="2">
        <v>38412</v>
      </c>
      <c r="V706">
        <v>193.1</v>
      </c>
      <c r="W706">
        <f t="shared" si="51"/>
        <v>3.1564956154424451E-2</v>
      </c>
      <c r="Y706" s="2">
        <f t="shared" si="52"/>
        <v>42795</v>
      </c>
      <c r="Z706">
        <f t="shared" si="53"/>
        <v>6.206556272822894E-2</v>
      </c>
      <c r="AA706">
        <f t="shared" si="54"/>
        <v>3.1564956154424451E-2</v>
      </c>
      <c r="AD706" s="2">
        <v>38961</v>
      </c>
      <c r="AE706">
        <v>1.992097749455457E-2</v>
      </c>
    </row>
    <row r="707" spans="7:31" x14ac:dyDescent="0.25">
      <c r="G707" s="2"/>
      <c r="L707" s="2"/>
      <c r="P707" s="2">
        <v>42826</v>
      </c>
      <c r="Q707">
        <v>13477.4</v>
      </c>
      <c r="R707">
        <f t="shared" si="50"/>
        <v>5.9979304976861769E-2</v>
      </c>
      <c r="U707" s="2">
        <v>38443</v>
      </c>
      <c r="V707">
        <v>193.7</v>
      </c>
      <c r="W707">
        <f t="shared" si="51"/>
        <v>3.3065200608628942E-2</v>
      </c>
      <c r="Y707" s="2">
        <f t="shared" si="52"/>
        <v>42826</v>
      </c>
      <c r="Z707">
        <f t="shared" si="53"/>
        <v>5.9979304976861769E-2</v>
      </c>
      <c r="AA707">
        <f t="shared" si="54"/>
        <v>3.3065200608628942E-2</v>
      </c>
      <c r="AD707" s="2">
        <v>38991</v>
      </c>
      <c r="AE707">
        <v>1.3965314248641114E-2</v>
      </c>
    </row>
    <row r="708" spans="7:31" x14ac:dyDescent="0.25">
      <c r="G708" s="2"/>
      <c r="L708" s="2"/>
      <c r="P708" s="2">
        <v>42856</v>
      </c>
      <c r="Q708">
        <v>13535.7</v>
      </c>
      <c r="R708">
        <f t="shared" si="50"/>
        <v>5.875677432796067E-2</v>
      </c>
      <c r="U708" s="2">
        <v>38473</v>
      </c>
      <c r="V708">
        <v>193.6</v>
      </c>
      <c r="W708">
        <f t="shared" si="51"/>
        <v>2.8288947691197386E-2</v>
      </c>
      <c r="Y708" s="2">
        <f t="shared" si="52"/>
        <v>42856</v>
      </c>
      <c r="Z708">
        <f t="shared" si="53"/>
        <v>5.875677432796067E-2</v>
      </c>
      <c r="AA708">
        <f t="shared" si="54"/>
        <v>2.8288947691197386E-2</v>
      </c>
      <c r="AD708" s="2">
        <v>39022</v>
      </c>
      <c r="AE708">
        <v>1.9495743696699819E-2</v>
      </c>
    </row>
    <row r="709" spans="7:31" x14ac:dyDescent="0.25">
      <c r="G709" s="2"/>
      <c r="L709" s="2"/>
      <c r="P709" s="2">
        <v>42887</v>
      </c>
      <c r="Q709">
        <v>13559.5</v>
      </c>
      <c r="R709">
        <f t="shared" si="50"/>
        <v>5.5402560201743611E-2</v>
      </c>
      <c r="U709" s="2">
        <v>38504</v>
      </c>
      <c r="V709">
        <v>193.7</v>
      </c>
      <c r="W709">
        <f t="shared" si="51"/>
        <v>2.5092795905486298E-2</v>
      </c>
      <c r="Y709" s="2">
        <f t="shared" si="52"/>
        <v>42887</v>
      </c>
      <c r="Z709">
        <f t="shared" si="53"/>
        <v>5.5402560201743611E-2</v>
      </c>
      <c r="AA709">
        <f t="shared" si="54"/>
        <v>2.5092795905486298E-2</v>
      </c>
      <c r="AD709" s="2">
        <v>39052</v>
      </c>
      <c r="AE709">
        <v>2.4926514881833839E-2</v>
      </c>
    </row>
    <row r="710" spans="7:31" x14ac:dyDescent="0.25">
      <c r="G710" s="2"/>
      <c r="L710" s="2"/>
      <c r="P710" s="2">
        <v>42917</v>
      </c>
      <c r="Q710">
        <v>13623.5</v>
      </c>
      <c r="R710">
        <f t="shared" si="50"/>
        <v>5.5375458083650742E-2</v>
      </c>
      <c r="U710" s="2">
        <v>38534</v>
      </c>
      <c r="V710">
        <v>194.9</v>
      </c>
      <c r="W710">
        <f t="shared" si="51"/>
        <v>3.0210630849103026E-2</v>
      </c>
      <c r="Y710" s="2">
        <f t="shared" si="52"/>
        <v>42917</v>
      </c>
      <c r="Z710">
        <f t="shared" si="53"/>
        <v>5.5375458083650742E-2</v>
      </c>
      <c r="AA710">
        <f t="shared" si="54"/>
        <v>3.0210630849103026E-2</v>
      </c>
      <c r="AD710" s="2">
        <v>39083</v>
      </c>
      <c r="AE710">
        <v>2.0545147423822741E-2</v>
      </c>
    </row>
    <row r="711" spans="7:31" x14ac:dyDescent="0.25">
      <c r="G711" s="2"/>
      <c r="L711" s="2"/>
      <c r="P711" s="2">
        <v>42948</v>
      </c>
      <c r="Q711">
        <v>13682</v>
      </c>
      <c r="R711">
        <f t="shared" si="50"/>
        <v>5.296419001424546E-2</v>
      </c>
      <c r="U711" s="2">
        <v>38565</v>
      </c>
      <c r="V711">
        <v>196.1</v>
      </c>
      <c r="W711">
        <f t="shared" si="51"/>
        <v>3.5820076584522909E-2</v>
      </c>
      <c r="Y711" s="2">
        <f t="shared" si="52"/>
        <v>42948</v>
      </c>
      <c r="Z711">
        <f t="shared" si="53"/>
        <v>5.296419001424546E-2</v>
      </c>
      <c r="AA711">
        <f t="shared" si="54"/>
        <v>3.5820076584522909E-2</v>
      </c>
      <c r="AD711" s="2">
        <v>39114</v>
      </c>
      <c r="AE711">
        <v>2.3914366248373398E-2</v>
      </c>
    </row>
    <row r="712" spans="7:31" x14ac:dyDescent="0.25">
      <c r="G712" s="2"/>
      <c r="L712" s="2"/>
      <c r="P712" s="2">
        <v>42979</v>
      </c>
      <c r="Q712">
        <v>13727.4</v>
      </c>
      <c r="R712">
        <f t="shared" si="50"/>
        <v>5.1441299785032868E-2</v>
      </c>
      <c r="U712" s="2">
        <v>38596</v>
      </c>
      <c r="V712">
        <v>198.8</v>
      </c>
      <c r="W712">
        <f t="shared" si="51"/>
        <v>4.6328408046646175E-2</v>
      </c>
      <c r="Y712" s="2">
        <f t="shared" si="52"/>
        <v>42979</v>
      </c>
      <c r="Z712">
        <f t="shared" si="53"/>
        <v>5.1441299785032868E-2</v>
      </c>
      <c r="AA712">
        <f t="shared" si="54"/>
        <v>4.6328408046646175E-2</v>
      </c>
      <c r="AD712" s="2">
        <v>39142</v>
      </c>
      <c r="AE712">
        <v>2.759763084754141E-2</v>
      </c>
    </row>
    <row r="713" spans="7:31" x14ac:dyDescent="0.25">
      <c r="G713" s="2"/>
      <c r="L713" s="2"/>
      <c r="P713" s="2">
        <v>43009</v>
      </c>
      <c r="Q713">
        <v>13781.6</v>
      </c>
      <c r="R713">
        <f t="shared" si="50"/>
        <v>5.0020095356858363E-2</v>
      </c>
      <c r="U713" s="2">
        <v>38626</v>
      </c>
      <c r="V713">
        <v>199.1</v>
      </c>
      <c r="W713">
        <f t="shared" si="51"/>
        <v>4.2581452055964419E-2</v>
      </c>
      <c r="Y713" s="2">
        <f t="shared" si="52"/>
        <v>43009</v>
      </c>
      <c r="Z713">
        <f t="shared" si="53"/>
        <v>5.0020095356858363E-2</v>
      </c>
      <c r="AA713">
        <f t="shared" si="54"/>
        <v>4.2581452055964419E-2</v>
      </c>
      <c r="AD713" s="2">
        <v>39173</v>
      </c>
      <c r="AE713">
        <v>2.559878494901735E-2</v>
      </c>
    </row>
    <row r="714" spans="7:31" x14ac:dyDescent="0.25">
      <c r="G714" s="2"/>
      <c r="L714" s="2"/>
      <c r="P714" s="2">
        <v>43040</v>
      </c>
      <c r="Q714">
        <v>13807.6</v>
      </c>
      <c r="R714">
        <f t="shared" si="50"/>
        <v>4.6541398152616154E-2</v>
      </c>
      <c r="U714" s="2">
        <v>38657</v>
      </c>
      <c r="V714">
        <v>198.1</v>
      </c>
      <c r="W714">
        <f t="shared" si="51"/>
        <v>3.2840303652906577E-2</v>
      </c>
      <c r="Y714" s="2">
        <f t="shared" si="52"/>
        <v>43040</v>
      </c>
      <c r="Z714">
        <f t="shared" si="53"/>
        <v>4.6541398152616154E-2</v>
      </c>
      <c r="AA714">
        <f t="shared" si="54"/>
        <v>3.2840303652906577E-2</v>
      </c>
      <c r="AD714" s="2">
        <v>39203</v>
      </c>
      <c r="AE714">
        <v>2.6738184762487016E-2</v>
      </c>
    </row>
    <row r="715" spans="7:31" x14ac:dyDescent="0.25">
      <c r="G715" s="2"/>
      <c r="L715" s="2"/>
      <c r="P715" s="2">
        <v>43070</v>
      </c>
      <c r="Q715">
        <v>13853</v>
      </c>
      <c r="R715">
        <f t="shared" si="50"/>
        <v>4.7338464479386388E-2</v>
      </c>
      <c r="U715" s="2">
        <v>38687</v>
      </c>
      <c r="V715">
        <v>198.1</v>
      </c>
      <c r="W715">
        <f t="shared" si="51"/>
        <v>3.2840303652906577E-2</v>
      </c>
      <c r="Y715" s="2">
        <f t="shared" si="52"/>
        <v>43070</v>
      </c>
      <c r="Z715">
        <f t="shared" si="53"/>
        <v>4.7338464479386388E-2</v>
      </c>
      <c r="AA715">
        <f t="shared" si="54"/>
        <v>3.2840303652906577E-2</v>
      </c>
      <c r="AD715" s="2">
        <v>39234</v>
      </c>
      <c r="AE715">
        <v>2.6571481668183239E-2</v>
      </c>
    </row>
    <row r="716" spans="7:31" x14ac:dyDescent="0.25">
      <c r="G716" s="2"/>
      <c r="L716" s="2"/>
      <c r="P716" s="2">
        <v>43101</v>
      </c>
      <c r="Q716">
        <v>13861.8</v>
      </c>
      <c r="R716">
        <f t="shared" si="50"/>
        <v>4.2614191918387334E-2</v>
      </c>
      <c r="U716" s="2">
        <v>38718</v>
      </c>
      <c r="V716">
        <v>199.3</v>
      </c>
      <c r="W716">
        <f t="shared" si="51"/>
        <v>3.9401361681989044E-2</v>
      </c>
      <c r="Y716" s="2">
        <f t="shared" si="52"/>
        <v>43101</v>
      </c>
      <c r="Z716">
        <f t="shared" si="53"/>
        <v>4.2614191918387334E-2</v>
      </c>
      <c r="AA716">
        <f t="shared" si="54"/>
        <v>3.9401361681989044E-2</v>
      </c>
      <c r="AD716" s="2">
        <v>39264</v>
      </c>
      <c r="AE716">
        <v>2.2914355222604321E-2</v>
      </c>
    </row>
    <row r="717" spans="7:31" x14ac:dyDescent="0.25">
      <c r="G717" s="2"/>
      <c r="L717" s="2"/>
      <c r="P717" s="2">
        <v>43132</v>
      </c>
      <c r="Q717">
        <v>13899.4</v>
      </c>
      <c r="R717">
        <f t="shared" si="50"/>
        <v>4.0471621117234235E-2</v>
      </c>
      <c r="U717" s="2">
        <v>38749</v>
      </c>
      <c r="V717">
        <v>199.4</v>
      </c>
      <c r="W717">
        <f t="shared" si="51"/>
        <v>3.5736319296131747E-2</v>
      </c>
      <c r="Y717" s="2">
        <f t="shared" si="52"/>
        <v>43132</v>
      </c>
      <c r="Z717">
        <f t="shared" si="53"/>
        <v>4.0471621117234235E-2</v>
      </c>
      <c r="AA717">
        <f t="shared" si="54"/>
        <v>3.5736319296131747E-2</v>
      </c>
      <c r="AD717" s="2">
        <v>39295</v>
      </c>
      <c r="AE717">
        <v>1.8796714465866948E-2</v>
      </c>
    </row>
    <row r="718" spans="7:31" x14ac:dyDescent="0.25">
      <c r="G718" s="2"/>
      <c r="L718" s="2"/>
      <c r="P718" s="2">
        <v>43160</v>
      </c>
      <c r="Q718">
        <v>13958</v>
      </c>
      <c r="R718">
        <f t="shared" si="50"/>
        <v>3.9552620929534044E-2</v>
      </c>
      <c r="U718" s="2">
        <v>38777</v>
      </c>
      <c r="V718">
        <v>199.7</v>
      </c>
      <c r="W718">
        <f t="shared" si="51"/>
        <v>3.3608050987300686E-2</v>
      </c>
      <c r="Y718" s="2">
        <f t="shared" si="52"/>
        <v>43160</v>
      </c>
      <c r="Z718">
        <f t="shared" si="53"/>
        <v>3.9552620929534044E-2</v>
      </c>
      <c r="AA718">
        <f t="shared" si="54"/>
        <v>3.3608050987300686E-2</v>
      </c>
      <c r="AD718" s="2">
        <v>39326</v>
      </c>
      <c r="AE718">
        <v>2.7944163782901654E-2</v>
      </c>
    </row>
    <row r="719" spans="7:31" x14ac:dyDescent="0.25">
      <c r="G719" s="2"/>
      <c r="L719" s="2"/>
      <c r="P719" s="2">
        <v>43191</v>
      </c>
      <c r="Q719">
        <v>13980.7</v>
      </c>
      <c r="R719">
        <f t="shared" si="50"/>
        <v>3.6663598540423337E-2</v>
      </c>
      <c r="U719" s="2">
        <v>38808</v>
      </c>
      <c r="V719">
        <v>200.7</v>
      </c>
      <c r="W719">
        <f t="shared" si="51"/>
        <v>3.5500685389341591E-2</v>
      </c>
      <c r="Y719" s="2">
        <f t="shared" si="52"/>
        <v>43191</v>
      </c>
      <c r="Z719">
        <f t="shared" si="53"/>
        <v>3.6663598540423337E-2</v>
      </c>
      <c r="AA719">
        <f t="shared" si="54"/>
        <v>3.5500685389341591E-2</v>
      </c>
      <c r="AD719" s="2">
        <v>39356</v>
      </c>
      <c r="AE719">
        <v>3.5470404582237158E-2</v>
      </c>
    </row>
    <row r="720" spans="7:31" x14ac:dyDescent="0.25">
      <c r="G720" s="2"/>
      <c r="L720" s="2"/>
      <c r="P720" s="2">
        <v>43221</v>
      </c>
      <c r="Q720">
        <v>14046.2</v>
      </c>
      <c r="R720">
        <f t="shared" si="50"/>
        <v>3.7021257066994551E-2</v>
      </c>
      <c r="U720" s="2">
        <v>38838</v>
      </c>
      <c r="V720">
        <v>201.3</v>
      </c>
      <c r="W720">
        <f t="shared" si="51"/>
        <v>3.90021578032691E-2</v>
      </c>
      <c r="Y720" s="2">
        <f t="shared" si="52"/>
        <v>43221</v>
      </c>
      <c r="Z720">
        <f t="shared" si="53"/>
        <v>3.7021257066994551E-2</v>
      </c>
      <c r="AA720">
        <f t="shared" si="54"/>
        <v>3.90021578032691E-2</v>
      </c>
      <c r="AD720" s="2">
        <v>39387</v>
      </c>
      <c r="AE720">
        <v>4.2803396582697495E-2</v>
      </c>
    </row>
    <row r="721" spans="7:31" x14ac:dyDescent="0.25">
      <c r="G721" s="2"/>
      <c r="L721" s="2"/>
      <c r="P721" s="2">
        <v>43252</v>
      </c>
      <c r="Q721">
        <v>14107.1</v>
      </c>
      <c r="R721">
        <f t="shared" si="50"/>
        <v>3.959080807054427E-2</v>
      </c>
      <c r="U721" s="2">
        <v>38869</v>
      </c>
      <c r="V721">
        <v>201.8</v>
      </c>
      <c r="W721">
        <f t="shared" si="51"/>
        <v>4.0966537506558431E-2</v>
      </c>
      <c r="Y721" s="2">
        <f t="shared" si="52"/>
        <v>43252</v>
      </c>
      <c r="Z721">
        <f t="shared" si="53"/>
        <v>3.959080807054427E-2</v>
      </c>
      <c r="AA721">
        <f t="shared" si="54"/>
        <v>4.0966537506558431E-2</v>
      </c>
      <c r="AD721" s="2">
        <v>39417</v>
      </c>
      <c r="AE721">
        <v>4.0266448800512222E-2</v>
      </c>
    </row>
    <row r="722" spans="7:31" x14ac:dyDescent="0.25">
      <c r="G722" s="2"/>
      <c r="L722" s="2"/>
      <c r="P722" s="2">
        <v>43282</v>
      </c>
      <c r="Q722">
        <v>14145.3</v>
      </c>
      <c r="R722">
        <f t="shared" si="50"/>
        <v>3.7586170690719456E-2</v>
      </c>
      <c r="U722" s="2">
        <v>38899</v>
      </c>
      <c r="V722">
        <v>202.9</v>
      </c>
      <c r="W722">
        <f t="shared" si="51"/>
        <v>4.022664031825407E-2</v>
      </c>
      <c r="Y722" s="2">
        <f t="shared" si="52"/>
        <v>43282</v>
      </c>
      <c r="Z722">
        <f t="shared" si="53"/>
        <v>3.7586170690719456E-2</v>
      </c>
      <c r="AA722">
        <f t="shared" si="54"/>
        <v>4.022664031825407E-2</v>
      </c>
      <c r="AD722" s="2">
        <v>39448</v>
      </c>
      <c r="AE722">
        <v>4.2050318111453322E-2</v>
      </c>
    </row>
    <row r="723" spans="7:31" x14ac:dyDescent="0.25">
      <c r="G723" s="2"/>
      <c r="L723" s="2"/>
      <c r="P723" s="2">
        <v>43313</v>
      </c>
      <c r="Q723">
        <v>14193.2</v>
      </c>
      <c r="R723">
        <f t="shared" si="50"/>
        <v>3.668187633256359E-2</v>
      </c>
      <c r="U723" s="2">
        <v>38930</v>
      </c>
      <c r="V723">
        <v>203.8</v>
      </c>
      <c r="W723">
        <f t="shared" si="51"/>
        <v>3.8514387586324084E-2</v>
      </c>
      <c r="Y723" s="2">
        <f t="shared" si="52"/>
        <v>43313</v>
      </c>
      <c r="Z723">
        <f t="shared" si="53"/>
        <v>3.668187633256359E-2</v>
      </c>
      <c r="AA723">
        <f t="shared" si="54"/>
        <v>3.8514387586324084E-2</v>
      </c>
      <c r="AD723" s="2">
        <v>39479</v>
      </c>
      <c r="AE723">
        <v>4.0594377615367883E-2</v>
      </c>
    </row>
    <row r="724" spans="7:31" x14ac:dyDescent="0.25">
      <c r="G724" s="2"/>
      <c r="L724" s="2"/>
      <c r="P724" s="2">
        <v>43344</v>
      </c>
      <c r="Q724">
        <v>14224.6</v>
      </c>
      <c r="R724">
        <f t="shared" ref="R724:R787" si="55">LN(Q724)-LN(Q712)</f>
        <v>3.5579024612372834E-2</v>
      </c>
      <c r="U724" s="2">
        <v>38961</v>
      </c>
      <c r="V724">
        <v>202.8</v>
      </c>
      <c r="W724">
        <f t="shared" ref="W724:W787" si="56">LN(V724)-LN(V712)</f>
        <v>1.992097749455457E-2</v>
      </c>
      <c r="Y724" s="2">
        <f t="shared" si="52"/>
        <v>43344</v>
      </c>
      <c r="Z724">
        <f t="shared" si="53"/>
        <v>3.5579024612372834E-2</v>
      </c>
      <c r="AA724">
        <f t="shared" si="54"/>
        <v>1.992097749455457E-2</v>
      </c>
      <c r="AD724" s="2">
        <v>39508</v>
      </c>
      <c r="AE724">
        <v>3.8979372014913416E-2</v>
      </c>
    </row>
    <row r="725" spans="7:31" x14ac:dyDescent="0.25">
      <c r="G725" s="2"/>
      <c r="L725" s="2"/>
      <c r="P725" s="2">
        <v>43374</v>
      </c>
      <c r="Q725">
        <v>14234.7</v>
      </c>
      <c r="R725">
        <f t="shared" si="55"/>
        <v>3.2348276542306209E-2</v>
      </c>
      <c r="U725" s="2">
        <v>38991</v>
      </c>
      <c r="V725">
        <v>201.9</v>
      </c>
      <c r="W725">
        <f t="shared" si="56"/>
        <v>1.3965314248641114E-2</v>
      </c>
      <c r="Y725" s="2">
        <f t="shared" ref="Y725:Y788" si="57">P725</f>
        <v>43374</v>
      </c>
      <c r="Z725">
        <f t="shared" ref="Z725:Z788" si="58">R725</f>
        <v>3.2348276542306209E-2</v>
      </c>
      <c r="AA725">
        <f t="shared" ref="AA725:AA788" si="59">W725</f>
        <v>1.3965314248641114E-2</v>
      </c>
      <c r="AD725" s="2">
        <v>39539</v>
      </c>
      <c r="AE725">
        <v>3.8294909498422847E-2</v>
      </c>
    </row>
    <row r="726" spans="7:31" x14ac:dyDescent="0.25">
      <c r="G726" s="2"/>
      <c r="L726" s="2"/>
      <c r="P726" s="2">
        <v>43405</v>
      </c>
      <c r="Q726">
        <v>14245</v>
      </c>
      <c r="R726">
        <f t="shared" si="55"/>
        <v>3.1186802742190878E-2</v>
      </c>
      <c r="U726" s="2">
        <v>39022</v>
      </c>
      <c r="V726">
        <v>202</v>
      </c>
      <c r="W726">
        <f t="shared" si="56"/>
        <v>1.9495743696699819E-2</v>
      </c>
      <c r="Y726" s="2">
        <f t="shared" si="57"/>
        <v>43405</v>
      </c>
      <c r="Z726">
        <f t="shared" si="58"/>
        <v>3.1186802742190878E-2</v>
      </c>
      <c r="AA726">
        <f t="shared" si="59"/>
        <v>1.9495743696699819E-2</v>
      </c>
      <c r="AD726" s="2">
        <v>39569</v>
      </c>
      <c r="AE726">
        <v>4.0070484909622728E-2</v>
      </c>
    </row>
    <row r="727" spans="7:31" x14ac:dyDescent="0.25">
      <c r="G727" s="2"/>
      <c r="L727" s="2"/>
      <c r="P727" s="2">
        <v>43435</v>
      </c>
      <c r="Q727">
        <v>14355.3</v>
      </c>
      <c r="R727">
        <f t="shared" si="55"/>
        <v>3.5617396320500205E-2</v>
      </c>
      <c r="U727" s="2">
        <v>39052</v>
      </c>
      <c r="V727">
        <v>203.1</v>
      </c>
      <c r="W727">
        <f t="shared" si="56"/>
        <v>2.4926514881833839E-2</v>
      </c>
      <c r="Y727" s="2">
        <f t="shared" si="57"/>
        <v>43435</v>
      </c>
      <c r="Z727">
        <f t="shared" si="58"/>
        <v>3.5617396320500205E-2</v>
      </c>
      <c r="AA727">
        <f t="shared" si="59"/>
        <v>2.4926514881833839E-2</v>
      </c>
      <c r="AD727" s="2">
        <v>39600</v>
      </c>
      <c r="AE727">
        <v>4.8180131527329806E-2</v>
      </c>
    </row>
    <row r="728" spans="7:31" x14ac:dyDescent="0.25">
      <c r="G728" s="2"/>
      <c r="L728" s="2"/>
      <c r="P728" s="2">
        <v>43466</v>
      </c>
      <c r="Q728">
        <v>14417.1</v>
      </c>
      <c r="R728">
        <f t="shared" si="55"/>
        <v>3.9278146602288899E-2</v>
      </c>
      <c r="U728" s="2">
        <v>39083</v>
      </c>
      <c r="V728">
        <v>203.43700000000001</v>
      </c>
      <c r="W728">
        <f t="shared" si="56"/>
        <v>2.0545147423822741E-2</v>
      </c>
      <c r="Y728" s="2">
        <f t="shared" si="57"/>
        <v>43466</v>
      </c>
      <c r="Z728">
        <f t="shared" si="58"/>
        <v>3.9278146602288899E-2</v>
      </c>
      <c r="AA728">
        <f t="shared" si="59"/>
        <v>2.0545147423822741E-2</v>
      </c>
      <c r="AD728" s="2">
        <v>39630</v>
      </c>
      <c r="AE728">
        <v>5.3517184454153544E-2</v>
      </c>
    </row>
    <row r="729" spans="7:31" x14ac:dyDescent="0.25">
      <c r="G729" s="2"/>
      <c r="L729" s="2"/>
      <c r="P729" s="2">
        <v>43497</v>
      </c>
      <c r="Q729">
        <v>14454.4</v>
      </c>
      <c r="R729">
        <f t="shared" si="55"/>
        <v>3.9153192740783993E-2</v>
      </c>
      <c r="U729" s="2">
        <v>39114</v>
      </c>
      <c r="V729">
        <v>204.226</v>
      </c>
      <c r="W729">
        <f t="shared" si="56"/>
        <v>2.3914366248373398E-2</v>
      </c>
      <c r="Y729" s="2">
        <f t="shared" si="57"/>
        <v>43497</v>
      </c>
      <c r="Z729">
        <f t="shared" si="58"/>
        <v>3.9153192740783993E-2</v>
      </c>
      <c r="AA729">
        <f t="shared" si="59"/>
        <v>2.3914366248373398E-2</v>
      </c>
      <c r="AD729" s="2">
        <v>39661</v>
      </c>
      <c r="AE729">
        <v>5.1719366645739839E-2</v>
      </c>
    </row>
    <row r="730" spans="7:31" x14ac:dyDescent="0.25">
      <c r="G730" s="2"/>
      <c r="L730" s="2"/>
      <c r="P730" s="2">
        <v>43525</v>
      </c>
      <c r="Q730">
        <v>14496.7</v>
      </c>
      <c r="R730">
        <f t="shared" si="55"/>
        <v>3.786821672300178E-2</v>
      </c>
      <c r="U730" s="2">
        <v>39142</v>
      </c>
      <c r="V730">
        <v>205.28800000000001</v>
      </c>
      <c r="W730">
        <f t="shared" si="56"/>
        <v>2.759763084754141E-2</v>
      </c>
      <c r="Y730" s="2">
        <f t="shared" si="57"/>
        <v>43525</v>
      </c>
      <c r="Z730">
        <f t="shared" si="58"/>
        <v>3.786821672300178E-2</v>
      </c>
      <c r="AA730">
        <f t="shared" si="59"/>
        <v>2.759763084754141E-2</v>
      </c>
      <c r="AD730" s="2">
        <v>39692</v>
      </c>
      <c r="AE730">
        <v>4.8345492699974457E-2</v>
      </c>
    </row>
    <row r="731" spans="7:31" x14ac:dyDescent="0.25">
      <c r="G731" s="2"/>
      <c r="L731" s="2"/>
      <c r="P731" s="2">
        <v>43556</v>
      </c>
      <c r="Q731">
        <v>14531</v>
      </c>
      <c r="R731">
        <f t="shared" si="55"/>
        <v>3.8606491255672282E-2</v>
      </c>
      <c r="U731" s="2">
        <v>39173</v>
      </c>
      <c r="V731">
        <v>205.904</v>
      </c>
      <c r="W731">
        <f t="shared" si="56"/>
        <v>2.559878494901735E-2</v>
      </c>
      <c r="Y731" s="2">
        <f t="shared" si="57"/>
        <v>43556</v>
      </c>
      <c r="Z731">
        <f t="shared" si="58"/>
        <v>3.8606491255672282E-2</v>
      </c>
      <c r="AA731">
        <f t="shared" si="59"/>
        <v>2.559878494901735E-2</v>
      </c>
      <c r="AD731" s="2">
        <v>39722</v>
      </c>
      <c r="AE731">
        <v>3.6631381899317361E-2</v>
      </c>
    </row>
    <row r="732" spans="7:31" x14ac:dyDescent="0.25">
      <c r="G732" s="2"/>
      <c r="L732" s="2"/>
      <c r="P732" s="2">
        <v>43586</v>
      </c>
      <c r="Q732">
        <v>14643.4</v>
      </c>
      <c r="R732">
        <f t="shared" si="55"/>
        <v>4.1637825441998899E-2</v>
      </c>
      <c r="U732" s="2">
        <v>39203</v>
      </c>
      <c r="V732">
        <v>206.755</v>
      </c>
      <c r="W732">
        <f t="shared" si="56"/>
        <v>2.6738184762487016E-2</v>
      </c>
      <c r="Y732" s="2">
        <f t="shared" si="57"/>
        <v>43586</v>
      </c>
      <c r="Z732">
        <f t="shared" si="58"/>
        <v>4.1637825441998899E-2</v>
      </c>
      <c r="AA732">
        <f t="shared" si="59"/>
        <v>2.6738184762487016E-2</v>
      </c>
      <c r="AD732" s="2">
        <v>39753</v>
      </c>
      <c r="AE732">
        <v>1.0939123723625599E-2</v>
      </c>
    </row>
    <row r="733" spans="7:31" x14ac:dyDescent="0.25">
      <c r="G733" s="2"/>
      <c r="L733" s="2"/>
      <c r="P733" s="2">
        <v>43617</v>
      </c>
      <c r="Q733">
        <v>14765.4</v>
      </c>
      <c r="R733">
        <f t="shared" si="55"/>
        <v>4.560838917611143E-2</v>
      </c>
      <c r="U733" s="2">
        <v>39234</v>
      </c>
      <c r="V733">
        <v>207.23400000000001</v>
      </c>
      <c r="W733">
        <f t="shared" si="56"/>
        <v>2.6571481668183239E-2</v>
      </c>
      <c r="Y733" s="2">
        <f t="shared" si="57"/>
        <v>43617</v>
      </c>
      <c r="Z733">
        <f t="shared" si="58"/>
        <v>4.560838917611143E-2</v>
      </c>
      <c r="AA733">
        <f t="shared" si="59"/>
        <v>2.6571481668183239E-2</v>
      </c>
      <c r="AD733" s="2">
        <v>39783</v>
      </c>
      <c r="AE733">
        <v>-2.2230473340467682E-4</v>
      </c>
    </row>
    <row r="734" spans="7:31" x14ac:dyDescent="0.25">
      <c r="G734" s="2"/>
      <c r="L734" s="2"/>
      <c r="P734" s="2">
        <v>43647</v>
      </c>
      <c r="Q734">
        <v>14847.2</v>
      </c>
      <c r="R734">
        <f t="shared" si="55"/>
        <v>4.8428881845591576E-2</v>
      </c>
      <c r="U734" s="2">
        <v>39264</v>
      </c>
      <c r="V734">
        <v>207.60300000000001</v>
      </c>
      <c r="W734">
        <f t="shared" si="56"/>
        <v>2.2914355222604321E-2</v>
      </c>
      <c r="Y734" s="2">
        <f t="shared" si="57"/>
        <v>43647</v>
      </c>
      <c r="Z734">
        <f t="shared" si="58"/>
        <v>4.8428881845591576E-2</v>
      </c>
      <c r="AA734">
        <f t="shared" si="59"/>
        <v>2.2914355222604321E-2</v>
      </c>
      <c r="AD734" s="2">
        <v>39814</v>
      </c>
      <c r="AE734">
        <v>-1.1365057683114799E-3</v>
      </c>
    </row>
    <row r="735" spans="7:31" x14ac:dyDescent="0.25">
      <c r="G735" s="2"/>
      <c r="L735" s="2"/>
      <c r="P735" s="2">
        <v>43678</v>
      </c>
      <c r="Q735">
        <v>14928.8</v>
      </c>
      <c r="R735">
        <f t="shared" si="55"/>
        <v>5.0529256565754466E-2</v>
      </c>
      <c r="U735" s="2">
        <v>39295</v>
      </c>
      <c r="V735">
        <v>207.667</v>
      </c>
      <c r="W735">
        <f t="shared" si="56"/>
        <v>1.8796714465866948E-2</v>
      </c>
      <c r="Y735" s="2">
        <f t="shared" si="57"/>
        <v>43678</v>
      </c>
      <c r="Z735">
        <f t="shared" si="58"/>
        <v>5.0529256565754466E-2</v>
      </c>
      <c r="AA735">
        <f t="shared" si="59"/>
        <v>1.8796714465866948E-2</v>
      </c>
      <c r="AD735" s="2">
        <v>39845</v>
      </c>
      <c r="AE735">
        <v>8.4627825679639557E-5</v>
      </c>
    </row>
    <row r="736" spans="7:31" x14ac:dyDescent="0.25">
      <c r="G736" s="2"/>
      <c r="L736" s="2"/>
      <c r="P736" s="2">
        <v>43709</v>
      </c>
      <c r="Q736">
        <v>15019.9</v>
      </c>
      <c r="R736">
        <f t="shared" si="55"/>
        <v>5.4403128415085433E-2</v>
      </c>
      <c r="U736" s="2">
        <v>39326</v>
      </c>
      <c r="V736">
        <v>208.547</v>
      </c>
      <c r="W736">
        <f t="shared" si="56"/>
        <v>2.7944163782901654E-2</v>
      </c>
      <c r="Y736" s="2">
        <f t="shared" si="57"/>
        <v>43709</v>
      </c>
      <c r="Z736">
        <f t="shared" si="58"/>
        <v>5.4403128415085433E-2</v>
      </c>
      <c r="AA736">
        <f t="shared" si="59"/>
        <v>2.7944163782901654E-2</v>
      </c>
      <c r="AD736" s="2">
        <v>39873</v>
      </c>
      <c r="AE736">
        <v>-4.4747846083383891E-3</v>
      </c>
    </row>
    <row r="737" spans="7:31" x14ac:dyDescent="0.25">
      <c r="G737" s="2"/>
      <c r="L737" s="2"/>
      <c r="P737" s="2">
        <v>43739</v>
      </c>
      <c r="Q737">
        <v>15154.5</v>
      </c>
      <c r="R737">
        <f t="shared" si="55"/>
        <v>6.2614871861430998E-2</v>
      </c>
      <c r="U737" s="2">
        <v>39356</v>
      </c>
      <c r="V737">
        <v>209.19</v>
      </c>
      <c r="W737">
        <f t="shared" si="56"/>
        <v>3.5470404582237158E-2</v>
      </c>
      <c r="Y737" s="2">
        <f t="shared" si="57"/>
        <v>43739</v>
      </c>
      <c r="Z737">
        <f t="shared" si="58"/>
        <v>6.2614871861430998E-2</v>
      </c>
      <c r="AA737">
        <f t="shared" si="59"/>
        <v>3.5470404582237158E-2</v>
      </c>
      <c r="AD737" s="2">
        <v>39904</v>
      </c>
      <c r="AE737">
        <v>-5.779915821649162E-3</v>
      </c>
    </row>
    <row r="738" spans="7:31" x14ac:dyDescent="0.25">
      <c r="G738" s="2"/>
      <c r="L738" s="2"/>
      <c r="P738" s="2">
        <v>43770</v>
      </c>
      <c r="Q738">
        <v>15252.6</v>
      </c>
      <c r="R738">
        <f t="shared" si="55"/>
        <v>6.8344012374751628E-2</v>
      </c>
      <c r="U738" s="2">
        <v>39387</v>
      </c>
      <c r="V738">
        <v>210.834</v>
      </c>
      <c r="W738">
        <f t="shared" si="56"/>
        <v>4.2803396582697495E-2</v>
      </c>
      <c r="Y738" s="2">
        <f t="shared" si="57"/>
        <v>43770</v>
      </c>
      <c r="Z738">
        <f t="shared" si="58"/>
        <v>6.8344012374751628E-2</v>
      </c>
      <c r="AA738">
        <f t="shared" si="59"/>
        <v>4.2803396582697495E-2</v>
      </c>
      <c r="AD738" s="2">
        <v>39934</v>
      </c>
      <c r="AE738">
        <v>-1.0209555557125327E-2</v>
      </c>
    </row>
    <row r="739" spans="7:31" x14ac:dyDescent="0.25">
      <c r="G739" s="2"/>
      <c r="L739" s="2"/>
      <c r="P739" s="2">
        <v>43800</v>
      </c>
      <c r="Q739">
        <v>15313.7</v>
      </c>
      <c r="R739">
        <f t="shared" si="55"/>
        <v>6.4628640585082664E-2</v>
      </c>
      <c r="U739" s="2">
        <v>39417</v>
      </c>
      <c r="V739">
        <v>211.44499999999999</v>
      </c>
      <c r="W739">
        <f t="shared" si="56"/>
        <v>4.0266448800512222E-2</v>
      </c>
      <c r="Y739" s="2">
        <f t="shared" si="57"/>
        <v>43800</v>
      </c>
      <c r="Z739">
        <f t="shared" si="58"/>
        <v>6.4628640585082664E-2</v>
      </c>
      <c r="AA739">
        <f t="shared" si="59"/>
        <v>4.0266448800512222E-2</v>
      </c>
      <c r="AD739" s="2">
        <v>39965</v>
      </c>
      <c r="AE739">
        <v>-1.2367914498850219E-2</v>
      </c>
    </row>
    <row r="740" spans="7:31" x14ac:dyDescent="0.25">
      <c r="G740" s="2"/>
      <c r="L740" s="2"/>
      <c r="P740" s="2">
        <v>43831</v>
      </c>
      <c r="Q740">
        <v>15380.6</v>
      </c>
      <c r="R740">
        <f t="shared" si="55"/>
        <v>6.4691972958552668E-2</v>
      </c>
      <c r="U740" s="2">
        <v>39448</v>
      </c>
      <c r="V740">
        <v>212.17400000000001</v>
      </c>
      <c r="W740">
        <f t="shared" si="56"/>
        <v>4.2050318111453322E-2</v>
      </c>
      <c r="Y740" s="2">
        <f t="shared" si="57"/>
        <v>43831</v>
      </c>
      <c r="Z740">
        <f t="shared" si="58"/>
        <v>6.4691972958552668E-2</v>
      </c>
      <c r="AA740">
        <f t="shared" si="59"/>
        <v>4.2050318111453322E-2</v>
      </c>
      <c r="AD740" s="2">
        <v>39995</v>
      </c>
      <c r="AE740">
        <v>-1.9781989747510664E-2</v>
      </c>
    </row>
    <row r="741" spans="7:31" x14ac:dyDescent="0.25">
      <c r="G741" s="2"/>
      <c r="L741" s="2"/>
      <c r="P741" s="2">
        <v>43862</v>
      </c>
      <c r="Q741">
        <v>15432.3</v>
      </c>
      <c r="R741">
        <f t="shared" si="55"/>
        <v>6.5463849060739321E-2</v>
      </c>
      <c r="U741" s="2">
        <v>39479</v>
      </c>
      <c r="V741">
        <v>212.68700000000001</v>
      </c>
      <c r="W741">
        <f t="shared" si="56"/>
        <v>4.0594377615367883E-2</v>
      </c>
      <c r="Y741" s="2">
        <f t="shared" si="57"/>
        <v>43862</v>
      </c>
      <c r="Z741">
        <f t="shared" si="58"/>
        <v>6.5463849060739321E-2</v>
      </c>
      <c r="AA741">
        <f t="shared" si="59"/>
        <v>4.0594377615367883E-2</v>
      </c>
      <c r="AD741" s="2">
        <v>40026</v>
      </c>
      <c r="AE741">
        <v>-1.4949545348335924E-2</v>
      </c>
    </row>
    <row r="742" spans="7:31" x14ac:dyDescent="0.25">
      <c r="G742" s="2"/>
      <c r="L742" s="2"/>
      <c r="P742" s="2">
        <v>43891</v>
      </c>
      <c r="Q742">
        <v>15962</v>
      </c>
      <c r="R742">
        <f t="shared" si="55"/>
        <v>9.628986013585461E-2</v>
      </c>
      <c r="U742" s="2">
        <v>39508</v>
      </c>
      <c r="V742">
        <v>213.44800000000001</v>
      </c>
      <c r="W742">
        <f t="shared" si="56"/>
        <v>3.8979372014913416E-2</v>
      </c>
      <c r="Y742" s="2">
        <f t="shared" si="57"/>
        <v>43891</v>
      </c>
      <c r="Z742">
        <f t="shared" si="58"/>
        <v>9.628986013585461E-2</v>
      </c>
      <c r="AA742">
        <f t="shared" si="59"/>
        <v>3.8979372014913416E-2</v>
      </c>
      <c r="AD742" s="2">
        <v>40057</v>
      </c>
      <c r="AE742">
        <v>-1.3875246181172862E-2</v>
      </c>
    </row>
    <row r="743" spans="7:31" x14ac:dyDescent="0.25">
      <c r="G743" s="2"/>
      <c r="L743" s="2"/>
      <c r="P743" s="2">
        <v>43922</v>
      </c>
      <c r="Q743">
        <v>16983.900000000001</v>
      </c>
      <c r="R743">
        <f t="shared" si="55"/>
        <v>0.15598153815057358</v>
      </c>
      <c r="U743" s="2">
        <v>39539</v>
      </c>
      <c r="V743">
        <v>213.94200000000001</v>
      </c>
      <c r="W743">
        <f t="shared" si="56"/>
        <v>3.8294909498422847E-2</v>
      </c>
      <c r="Y743" s="2">
        <f t="shared" si="57"/>
        <v>43922</v>
      </c>
      <c r="Z743">
        <f t="shared" si="58"/>
        <v>0.15598153815057358</v>
      </c>
      <c r="AA743">
        <f t="shared" si="59"/>
        <v>3.8294909498422847E-2</v>
      </c>
      <c r="AD743" s="2">
        <v>40087</v>
      </c>
      <c r="AE743">
        <v>-2.2421947830295608E-3</v>
      </c>
    </row>
    <row r="744" spans="7:31" x14ac:dyDescent="0.25">
      <c r="G744" s="2"/>
      <c r="L744" s="2"/>
      <c r="P744" s="2">
        <v>43952</v>
      </c>
      <c r="Q744">
        <v>17850.900000000001</v>
      </c>
      <c r="R744">
        <f t="shared" si="55"/>
        <v>0.19806420511597445</v>
      </c>
      <c r="U744" s="2">
        <v>39569</v>
      </c>
      <c r="V744">
        <v>215.208</v>
      </c>
      <c r="W744">
        <f t="shared" si="56"/>
        <v>4.0070484909622728E-2</v>
      </c>
      <c r="Y744" s="2">
        <f t="shared" si="57"/>
        <v>43952</v>
      </c>
      <c r="Z744">
        <f t="shared" si="58"/>
        <v>0.19806420511597445</v>
      </c>
      <c r="AA744">
        <f t="shared" si="59"/>
        <v>4.0070484909622728E-2</v>
      </c>
      <c r="AD744" s="2">
        <v>40118</v>
      </c>
      <c r="AE744">
        <v>1.8964895854719721E-2</v>
      </c>
    </row>
    <row r="745" spans="7:31" x14ac:dyDescent="0.25">
      <c r="G745" s="2"/>
      <c r="L745" s="2"/>
      <c r="P745" s="2">
        <v>43983</v>
      </c>
      <c r="Q745">
        <v>18142.8</v>
      </c>
      <c r="R745">
        <f t="shared" si="55"/>
        <v>0.20598718186928799</v>
      </c>
      <c r="U745" s="2">
        <v>39600</v>
      </c>
      <c r="V745">
        <v>217.46299999999999</v>
      </c>
      <c r="W745">
        <f t="shared" si="56"/>
        <v>4.8180131527329806E-2</v>
      </c>
      <c r="Y745" s="2">
        <f t="shared" si="57"/>
        <v>43983</v>
      </c>
      <c r="Z745">
        <f t="shared" si="58"/>
        <v>0.20598718186928799</v>
      </c>
      <c r="AA745">
        <f t="shared" si="59"/>
        <v>4.8180131527329806E-2</v>
      </c>
      <c r="AD745" s="2">
        <v>40148</v>
      </c>
      <c r="AE745">
        <v>2.7752542063598895E-2</v>
      </c>
    </row>
    <row r="746" spans="7:31" x14ac:dyDescent="0.25">
      <c r="G746" s="2"/>
      <c r="L746" s="2"/>
      <c r="P746" s="2">
        <v>44013</v>
      </c>
      <c r="Q746">
        <v>18293.3</v>
      </c>
      <c r="R746">
        <f t="shared" si="55"/>
        <v>0.2087235773084668</v>
      </c>
      <c r="U746" s="2">
        <v>39630</v>
      </c>
      <c r="V746">
        <v>219.01599999999999</v>
      </c>
      <c r="W746">
        <f t="shared" si="56"/>
        <v>5.3517184454153544E-2</v>
      </c>
      <c r="Y746" s="2">
        <f t="shared" si="57"/>
        <v>44013</v>
      </c>
      <c r="Z746">
        <f t="shared" si="58"/>
        <v>0.2087235773084668</v>
      </c>
      <c r="AA746">
        <f t="shared" si="59"/>
        <v>5.3517184454153544E-2</v>
      </c>
      <c r="AD746" s="2">
        <v>40179</v>
      </c>
      <c r="AE746">
        <v>2.5873489607178612E-2</v>
      </c>
    </row>
    <row r="747" spans="7:31" x14ac:dyDescent="0.25">
      <c r="G747" s="2"/>
      <c r="L747" s="2"/>
      <c r="P747" s="2">
        <v>44044</v>
      </c>
      <c r="Q747">
        <v>18365.2</v>
      </c>
      <c r="R747">
        <f t="shared" si="55"/>
        <v>0.20716533625563116</v>
      </c>
      <c r="U747" s="2">
        <v>39661</v>
      </c>
      <c r="V747">
        <v>218.69</v>
      </c>
      <c r="W747">
        <f t="shared" si="56"/>
        <v>5.1719366645739839E-2</v>
      </c>
      <c r="Y747" s="2">
        <f t="shared" si="57"/>
        <v>44044</v>
      </c>
      <c r="Z747">
        <f t="shared" si="58"/>
        <v>0.20716533625563116</v>
      </c>
      <c r="AA747">
        <f t="shared" si="59"/>
        <v>5.1719366645739839E-2</v>
      </c>
      <c r="AD747" s="2">
        <v>40210</v>
      </c>
      <c r="AE747">
        <v>2.1285217498988374E-2</v>
      </c>
    </row>
    <row r="748" spans="7:31" x14ac:dyDescent="0.25">
      <c r="G748" s="2"/>
      <c r="L748" s="2"/>
      <c r="P748" s="2">
        <v>44075</v>
      </c>
      <c r="Q748">
        <v>18591.400000000001</v>
      </c>
      <c r="R748">
        <f t="shared" si="55"/>
        <v>0.21332311967961637</v>
      </c>
      <c r="U748" s="2">
        <v>39692</v>
      </c>
      <c r="V748">
        <v>218.87700000000001</v>
      </c>
      <c r="W748">
        <f t="shared" si="56"/>
        <v>4.8345492699974457E-2</v>
      </c>
      <c r="Y748" s="2">
        <f t="shared" si="57"/>
        <v>44075</v>
      </c>
      <c r="Z748">
        <f t="shared" si="58"/>
        <v>0.21332311967961637</v>
      </c>
      <c r="AA748">
        <f t="shared" si="59"/>
        <v>4.8345492699974457E-2</v>
      </c>
      <c r="AD748" s="2">
        <v>40238</v>
      </c>
      <c r="AE748">
        <v>2.2604301286158091E-2</v>
      </c>
    </row>
    <row r="749" spans="7:31" x14ac:dyDescent="0.25">
      <c r="G749" s="2"/>
      <c r="L749" s="2"/>
      <c r="P749" s="2">
        <v>44105</v>
      </c>
      <c r="Q749">
        <v>18743.5</v>
      </c>
      <c r="R749">
        <f t="shared" si="55"/>
        <v>0.21254950809321471</v>
      </c>
      <c r="U749" s="2">
        <v>39722</v>
      </c>
      <c r="V749">
        <v>216.995</v>
      </c>
      <c r="W749">
        <f t="shared" si="56"/>
        <v>3.6631381899317361E-2</v>
      </c>
      <c r="Y749" s="2">
        <f t="shared" si="57"/>
        <v>44105</v>
      </c>
      <c r="Z749">
        <f t="shared" si="58"/>
        <v>0.21254950809321471</v>
      </c>
      <c r="AA749">
        <f t="shared" si="59"/>
        <v>3.6631381899317361E-2</v>
      </c>
      <c r="AD749" s="2">
        <v>40269</v>
      </c>
      <c r="AE749">
        <v>2.1827739611836705E-2</v>
      </c>
    </row>
    <row r="750" spans="7:31" x14ac:dyDescent="0.25">
      <c r="G750" s="2"/>
      <c r="L750" s="2"/>
      <c r="P750" s="2">
        <v>44136</v>
      </c>
      <c r="Q750">
        <v>18959.3</v>
      </c>
      <c r="R750">
        <f t="shared" si="55"/>
        <v>0.21754459598947484</v>
      </c>
      <c r="U750" s="2">
        <v>39753</v>
      </c>
      <c r="V750">
        <v>213.15299999999999</v>
      </c>
      <c r="W750">
        <f t="shared" si="56"/>
        <v>1.0939123723625599E-2</v>
      </c>
      <c r="Y750" s="2">
        <f t="shared" si="57"/>
        <v>44136</v>
      </c>
      <c r="Z750">
        <f t="shared" si="58"/>
        <v>0.21754459598947484</v>
      </c>
      <c r="AA750">
        <f t="shared" si="59"/>
        <v>1.0939123723625599E-2</v>
      </c>
      <c r="AD750" s="2">
        <v>40299</v>
      </c>
      <c r="AE750">
        <v>1.983742011461409E-2</v>
      </c>
    </row>
    <row r="751" spans="7:31" x14ac:dyDescent="0.25">
      <c r="G751" s="2"/>
      <c r="L751" s="2"/>
      <c r="P751" s="2">
        <v>44166</v>
      </c>
      <c r="Q751">
        <v>19097.3</v>
      </c>
      <c r="R751">
        <f t="shared" si="55"/>
        <v>0.22079911122227003</v>
      </c>
      <c r="U751" s="2">
        <v>39783</v>
      </c>
      <c r="V751">
        <v>211.398</v>
      </c>
      <c r="W751">
        <f t="shared" si="56"/>
        <v>-2.2230473340467682E-4</v>
      </c>
      <c r="Y751" s="2">
        <f t="shared" si="57"/>
        <v>44166</v>
      </c>
      <c r="Z751">
        <f t="shared" si="58"/>
        <v>0.22079911122227003</v>
      </c>
      <c r="AA751">
        <f t="shared" si="59"/>
        <v>-2.2230473340467682E-4</v>
      </c>
      <c r="AD751" s="2">
        <v>40330</v>
      </c>
      <c r="AE751">
        <v>1.1153177381444834E-2</v>
      </c>
    </row>
    <row r="752" spans="7:31" x14ac:dyDescent="0.25">
      <c r="G752" s="2"/>
      <c r="L752" s="2"/>
      <c r="P752" s="2">
        <v>44197</v>
      </c>
      <c r="Q752">
        <v>19323</v>
      </c>
      <c r="R752">
        <f t="shared" si="55"/>
        <v>0.22818912121279133</v>
      </c>
      <c r="U752" s="2">
        <v>39814</v>
      </c>
      <c r="V752">
        <v>211.93299999999999</v>
      </c>
      <c r="W752">
        <f t="shared" si="56"/>
        <v>-1.1365057683114799E-3</v>
      </c>
      <c r="Y752" s="2">
        <f t="shared" si="57"/>
        <v>44197</v>
      </c>
      <c r="Z752">
        <f t="shared" si="58"/>
        <v>0.22818912121279133</v>
      </c>
      <c r="AA752">
        <f t="shared" si="59"/>
        <v>-1.1365057683114799E-3</v>
      </c>
      <c r="AD752" s="2">
        <v>40360</v>
      </c>
      <c r="AE752">
        <v>1.3318695897958754E-2</v>
      </c>
    </row>
    <row r="753" spans="7:31" x14ac:dyDescent="0.25">
      <c r="G753" s="2"/>
      <c r="L753" s="2"/>
      <c r="P753" s="2">
        <v>44228</v>
      </c>
      <c r="Q753">
        <v>19559.8</v>
      </c>
      <c r="R753">
        <f t="shared" si="55"/>
        <v>0.23701372406663346</v>
      </c>
      <c r="U753" s="2">
        <v>39845</v>
      </c>
      <c r="V753">
        <v>212.70500000000001</v>
      </c>
      <c r="W753">
        <f t="shared" si="56"/>
        <v>8.4627825679639557E-5</v>
      </c>
      <c r="Y753" s="2">
        <f t="shared" si="57"/>
        <v>44228</v>
      </c>
      <c r="Z753">
        <f t="shared" si="58"/>
        <v>0.23701372406663346</v>
      </c>
      <c r="AA753">
        <f t="shared" si="59"/>
        <v>8.4627825679639557E-5</v>
      </c>
      <c r="AD753" s="2">
        <v>40391</v>
      </c>
      <c r="AE753">
        <v>1.1436132834318435E-2</v>
      </c>
    </row>
    <row r="754" spans="7:31" x14ac:dyDescent="0.25">
      <c r="G754" s="2"/>
      <c r="L754" s="2"/>
      <c r="P754" s="2">
        <v>44256</v>
      </c>
      <c r="Q754">
        <v>19799.3</v>
      </c>
      <c r="R754">
        <f t="shared" si="55"/>
        <v>0.21543568608636932</v>
      </c>
      <c r="U754" s="2">
        <v>39873</v>
      </c>
      <c r="V754">
        <v>212.495</v>
      </c>
      <c r="W754">
        <f t="shared" si="56"/>
        <v>-4.4747846083383891E-3</v>
      </c>
      <c r="Y754" s="2">
        <f t="shared" si="57"/>
        <v>44256</v>
      </c>
      <c r="Z754">
        <f t="shared" si="58"/>
        <v>0.21543568608636932</v>
      </c>
      <c r="AA754">
        <f t="shared" si="59"/>
        <v>-4.4747846083383891E-3</v>
      </c>
      <c r="AD754" s="2">
        <v>40422</v>
      </c>
      <c r="AE754">
        <v>1.1121053678139425E-2</v>
      </c>
    </row>
    <row r="755" spans="7:31" x14ac:dyDescent="0.25">
      <c r="G755" s="2"/>
      <c r="L755" s="2"/>
      <c r="P755" s="2">
        <v>44287</v>
      </c>
      <c r="Q755">
        <v>20125.2</v>
      </c>
      <c r="R755">
        <f t="shared" si="55"/>
        <v>0.1697069246543137</v>
      </c>
      <c r="U755" s="2">
        <v>39904</v>
      </c>
      <c r="V755">
        <v>212.709</v>
      </c>
      <c r="W755">
        <f t="shared" si="56"/>
        <v>-5.779915821649162E-3</v>
      </c>
      <c r="Y755" s="2">
        <f t="shared" si="57"/>
        <v>44287</v>
      </c>
      <c r="Z755">
        <f t="shared" si="58"/>
        <v>0.1697069246543137</v>
      </c>
      <c r="AA755">
        <f t="shared" si="59"/>
        <v>-5.779915821649162E-3</v>
      </c>
      <c r="AD755" s="2">
        <v>40452</v>
      </c>
      <c r="AE755">
        <v>1.1599417381349397E-2</v>
      </c>
    </row>
    <row r="756" spans="7:31" x14ac:dyDescent="0.25">
      <c r="G756" s="2"/>
      <c r="L756" s="2"/>
      <c r="P756" s="2">
        <v>44317</v>
      </c>
      <c r="Q756">
        <v>20429.5</v>
      </c>
      <c r="R756">
        <f t="shared" si="55"/>
        <v>0.1349260075943608</v>
      </c>
      <c r="U756" s="2">
        <v>39934</v>
      </c>
      <c r="V756">
        <v>213.02199999999999</v>
      </c>
      <c r="W756">
        <f t="shared" si="56"/>
        <v>-1.0209555557125327E-2</v>
      </c>
      <c r="Y756" s="2">
        <f t="shared" si="57"/>
        <v>44317</v>
      </c>
      <c r="Z756">
        <f t="shared" si="58"/>
        <v>0.1349260075943608</v>
      </c>
      <c r="AA756">
        <f t="shared" si="59"/>
        <v>-1.0209555557125327E-2</v>
      </c>
      <c r="AD756" s="2">
        <v>40483</v>
      </c>
      <c r="AE756">
        <v>1.0787057695652358E-2</v>
      </c>
    </row>
    <row r="757" spans="7:31" x14ac:dyDescent="0.25">
      <c r="G757" s="2"/>
      <c r="L757" s="2"/>
      <c r="P757" s="2">
        <v>44348</v>
      </c>
      <c r="Q757">
        <v>20473.2</v>
      </c>
      <c r="R757">
        <f t="shared" si="55"/>
        <v>0.12084292599470814</v>
      </c>
      <c r="U757" s="2">
        <v>39965</v>
      </c>
      <c r="V757">
        <v>214.79</v>
      </c>
      <c r="W757">
        <f t="shared" si="56"/>
        <v>-1.2367914498850219E-2</v>
      </c>
      <c r="Y757" s="2">
        <f t="shared" si="57"/>
        <v>44348</v>
      </c>
      <c r="Z757">
        <f t="shared" si="58"/>
        <v>0.12084292599470814</v>
      </c>
      <c r="AA757">
        <f t="shared" si="59"/>
        <v>-1.2367914498850219E-2</v>
      </c>
      <c r="AD757" s="2">
        <v>40513</v>
      </c>
      <c r="AE757">
        <v>1.4275547979703873E-2</v>
      </c>
    </row>
    <row r="758" spans="7:31" x14ac:dyDescent="0.25">
      <c r="G758" s="2"/>
      <c r="L758" s="2"/>
      <c r="P758" s="2">
        <v>44378</v>
      </c>
      <c r="Q758">
        <v>20624.900000000001</v>
      </c>
      <c r="R758">
        <f t="shared" si="55"/>
        <v>0.11996421113371802</v>
      </c>
      <c r="U758" s="2">
        <v>39995</v>
      </c>
      <c r="V758">
        <v>214.726</v>
      </c>
      <c r="W758">
        <f t="shared" si="56"/>
        <v>-1.9781989747510664E-2</v>
      </c>
      <c r="Y758" s="2">
        <f t="shared" si="57"/>
        <v>44378</v>
      </c>
      <c r="Z758">
        <f t="shared" si="58"/>
        <v>0.11996421113371802</v>
      </c>
      <c r="AA758">
        <f t="shared" si="59"/>
        <v>-1.9781989747510664E-2</v>
      </c>
      <c r="AD758" s="2">
        <v>40544</v>
      </c>
      <c r="AE758">
        <v>1.6864820984663353E-2</v>
      </c>
    </row>
    <row r="759" spans="7:31" x14ac:dyDescent="0.25">
      <c r="G759" s="2"/>
      <c r="L759" s="2"/>
      <c r="P759" s="2">
        <v>44409</v>
      </c>
      <c r="Q759">
        <v>20835.7</v>
      </c>
      <c r="R759">
        <f t="shared" si="55"/>
        <v>0.12621029212949963</v>
      </c>
      <c r="U759" s="2">
        <v>40026</v>
      </c>
      <c r="V759">
        <v>215.44499999999999</v>
      </c>
      <c r="W759">
        <f t="shared" si="56"/>
        <v>-1.4949545348335924E-2</v>
      </c>
      <c r="Y759" s="2">
        <f t="shared" si="57"/>
        <v>44409</v>
      </c>
      <c r="Z759">
        <f t="shared" si="58"/>
        <v>0.12621029212949963</v>
      </c>
      <c r="AA759">
        <f t="shared" si="59"/>
        <v>-1.4949545348335924E-2</v>
      </c>
      <c r="AD759" s="2">
        <v>40575</v>
      </c>
      <c r="AE759">
        <v>2.1026370112833703E-2</v>
      </c>
    </row>
    <row r="760" spans="7:31" x14ac:dyDescent="0.25">
      <c r="G760" s="2"/>
      <c r="L760" s="2"/>
      <c r="P760" s="2">
        <v>44440</v>
      </c>
      <c r="Q760">
        <v>20965.8</v>
      </c>
      <c r="R760">
        <f t="shared" si="55"/>
        <v>0.12019343052702425</v>
      </c>
      <c r="U760" s="2">
        <v>40057</v>
      </c>
      <c r="V760">
        <v>215.86099999999999</v>
      </c>
      <c r="W760">
        <f t="shared" si="56"/>
        <v>-1.3875246181172862E-2</v>
      </c>
      <c r="Y760" s="2">
        <f t="shared" si="57"/>
        <v>44440</v>
      </c>
      <c r="Z760">
        <f t="shared" si="58"/>
        <v>0.12019343052702425</v>
      </c>
      <c r="AA760">
        <f t="shared" si="59"/>
        <v>-1.3875246181172862E-2</v>
      </c>
      <c r="AD760" s="2">
        <v>40603</v>
      </c>
      <c r="AE760">
        <v>2.5855268252593433E-2</v>
      </c>
    </row>
    <row r="761" spans="7:31" x14ac:dyDescent="0.25">
      <c r="G761" s="2"/>
      <c r="L761" s="2"/>
      <c r="P761" s="2">
        <v>44470</v>
      </c>
      <c r="Q761">
        <v>21146.3</v>
      </c>
      <c r="R761">
        <f t="shared" si="55"/>
        <v>0.12061792364302448</v>
      </c>
      <c r="U761" s="2">
        <v>40087</v>
      </c>
      <c r="V761">
        <v>216.50899999999999</v>
      </c>
      <c r="W761">
        <f t="shared" si="56"/>
        <v>-2.2421947830295608E-3</v>
      </c>
      <c r="Y761" s="2">
        <f t="shared" si="57"/>
        <v>44470</v>
      </c>
      <c r="Z761">
        <f t="shared" si="58"/>
        <v>0.12061792364302448</v>
      </c>
      <c r="AA761">
        <f t="shared" si="59"/>
        <v>-2.2421947830295608E-3</v>
      </c>
      <c r="AD761" s="2">
        <v>40634</v>
      </c>
      <c r="AE761">
        <v>3.0308370223773196E-2</v>
      </c>
    </row>
    <row r="762" spans="7:31" x14ac:dyDescent="0.25">
      <c r="G762" s="2"/>
      <c r="L762" s="2"/>
      <c r="P762" s="2">
        <v>44501</v>
      </c>
      <c r="Q762">
        <v>21320.5</v>
      </c>
      <c r="R762">
        <f t="shared" si="55"/>
        <v>0.11737447486614627</v>
      </c>
      <c r="U762" s="2">
        <v>40118</v>
      </c>
      <c r="V762">
        <v>217.23400000000001</v>
      </c>
      <c r="W762">
        <f t="shared" si="56"/>
        <v>1.8964895854719721E-2</v>
      </c>
      <c r="Y762" s="2">
        <f t="shared" si="57"/>
        <v>44501</v>
      </c>
      <c r="Z762">
        <f t="shared" si="58"/>
        <v>0.11737447486614627</v>
      </c>
      <c r="AA762">
        <f t="shared" si="59"/>
        <v>1.8964895854719721E-2</v>
      </c>
      <c r="AD762" s="2">
        <v>40664</v>
      </c>
      <c r="AE762">
        <v>3.4004941179468062E-2</v>
      </c>
    </row>
    <row r="763" spans="7:31" x14ac:dyDescent="0.25">
      <c r="G763" s="2"/>
      <c r="L763" s="2"/>
      <c r="P763" s="2">
        <v>44531</v>
      </c>
      <c r="Q763">
        <v>21500.5</v>
      </c>
      <c r="R763">
        <f t="shared" si="55"/>
        <v>0.11852922687356404</v>
      </c>
      <c r="U763" s="2">
        <v>40148</v>
      </c>
      <c r="V763">
        <v>217.34700000000001</v>
      </c>
      <c r="W763">
        <f t="shared" si="56"/>
        <v>2.7752542063598895E-2</v>
      </c>
      <c r="Y763" s="2">
        <f t="shared" si="57"/>
        <v>44531</v>
      </c>
      <c r="Z763">
        <f t="shared" si="58"/>
        <v>0.11852922687356404</v>
      </c>
      <c r="AA763">
        <f t="shared" si="59"/>
        <v>2.7752542063598895E-2</v>
      </c>
      <c r="AD763" s="2">
        <v>40695</v>
      </c>
      <c r="AE763">
        <v>3.4423824057196128E-2</v>
      </c>
    </row>
    <row r="764" spans="7:31" x14ac:dyDescent="0.25">
      <c r="G764" s="2"/>
      <c r="L764" s="2"/>
      <c r="P764" s="2">
        <v>44562</v>
      </c>
      <c r="Q764">
        <v>21558.799999999999</v>
      </c>
      <c r="R764">
        <f t="shared" si="55"/>
        <v>0.10948798963184636</v>
      </c>
      <c r="U764" s="2">
        <v>40179</v>
      </c>
      <c r="V764">
        <v>217.488</v>
      </c>
      <c r="W764">
        <f t="shared" si="56"/>
        <v>2.5873489607178612E-2</v>
      </c>
      <c r="Y764" s="2">
        <f t="shared" si="57"/>
        <v>44562</v>
      </c>
      <c r="Z764">
        <f t="shared" si="58"/>
        <v>0.10948798963184636</v>
      </c>
      <c r="AA764">
        <f t="shared" si="59"/>
        <v>2.5873489607178612E-2</v>
      </c>
      <c r="AD764" s="2">
        <v>40725</v>
      </c>
      <c r="AE764">
        <v>3.5172925914501718E-2</v>
      </c>
    </row>
    <row r="765" spans="7:31" x14ac:dyDescent="0.25">
      <c r="G765" s="2"/>
      <c r="L765" s="2"/>
      <c r="P765" s="2">
        <v>44593</v>
      </c>
      <c r="Q765">
        <v>21614.7</v>
      </c>
      <c r="R765">
        <f t="shared" si="55"/>
        <v>9.9897199167235939E-2</v>
      </c>
      <c r="U765" s="2">
        <v>40210</v>
      </c>
      <c r="V765">
        <v>217.28100000000001</v>
      </c>
      <c r="W765">
        <f t="shared" si="56"/>
        <v>2.1285217498988374E-2</v>
      </c>
      <c r="Y765" s="2">
        <f t="shared" si="57"/>
        <v>44593</v>
      </c>
      <c r="Z765">
        <f t="shared" si="58"/>
        <v>9.9897199167235939E-2</v>
      </c>
      <c r="AA765">
        <f t="shared" si="59"/>
        <v>2.1285217498988374E-2</v>
      </c>
      <c r="AD765" s="2">
        <v>40756</v>
      </c>
      <c r="AE765">
        <v>3.6862126476173707E-2</v>
      </c>
    </row>
    <row r="766" spans="7:31" x14ac:dyDescent="0.25">
      <c r="G766" s="2"/>
      <c r="L766" s="2"/>
      <c r="P766" s="2">
        <v>44621</v>
      </c>
      <c r="Q766">
        <v>21720.9</v>
      </c>
      <c r="R766">
        <f t="shared" si="55"/>
        <v>9.2628347131171296E-2</v>
      </c>
      <c r="U766" s="2">
        <v>40238</v>
      </c>
      <c r="V766">
        <v>217.35300000000001</v>
      </c>
      <c r="W766">
        <f t="shared" si="56"/>
        <v>2.2604301286158091E-2</v>
      </c>
      <c r="Y766" s="2">
        <f t="shared" si="57"/>
        <v>44621</v>
      </c>
      <c r="Z766">
        <f t="shared" si="58"/>
        <v>9.2628347131171296E-2</v>
      </c>
      <c r="AA766">
        <f t="shared" si="59"/>
        <v>2.2604301286158091E-2</v>
      </c>
      <c r="AD766" s="2">
        <v>40787</v>
      </c>
      <c r="AE766">
        <v>3.7417373621400074E-2</v>
      </c>
    </row>
    <row r="767" spans="7:31" x14ac:dyDescent="0.25">
      <c r="G767" s="2"/>
      <c r="L767" s="2"/>
      <c r="P767" s="2">
        <v>44652</v>
      </c>
      <c r="Q767">
        <v>21722.3</v>
      </c>
      <c r="R767">
        <f t="shared" si="55"/>
        <v>7.6366621502005572E-2</v>
      </c>
      <c r="U767" s="2">
        <v>40269</v>
      </c>
      <c r="V767">
        <v>217.40299999999999</v>
      </c>
      <c r="W767">
        <f t="shared" si="56"/>
        <v>2.1827739611836705E-2</v>
      </c>
      <c r="Y767" s="2">
        <f t="shared" si="57"/>
        <v>44652</v>
      </c>
      <c r="Z767">
        <f t="shared" si="58"/>
        <v>7.6366621502005572E-2</v>
      </c>
      <c r="AA767">
        <f t="shared" si="59"/>
        <v>2.1827739611836705E-2</v>
      </c>
      <c r="AD767" s="2">
        <v>40817</v>
      </c>
      <c r="AE767">
        <v>3.4616554596579974E-2</v>
      </c>
    </row>
    <row r="768" spans="7:31" x14ac:dyDescent="0.25">
      <c r="G768" s="2"/>
      <c r="L768" s="2"/>
      <c r="P768" s="2">
        <v>44682</v>
      </c>
      <c r="Q768">
        <v>21691.200000000001</v>
      </c>
      <c r="R768">
        <f t="shared" si="55"/>
        <v>5.9926713625964467E-2</v>
      </c>
      <c r="U768" s="2">
        <v>40299</v>
      </c>
      <c r="V768">
        <v>217.29</v>
      </c>
      <c r="W768">
        <f t="shared" si="56"/>
        <v>1.983742011461409E-2</v>
      </c>
      <c r="Y768" s="2">
        <f t="shared" si="57"/>
        <v>44682</v>
      </c>
      <c r="Z768">
        <f t="shared" si="58"/>
        <v>5.9926713625964467E-2</v>
      </c>
      <c r="AA768">
        <f t="shared" si="59"/>
        <v>1.983742011461409E-2</v>
      </c>
      <c r="AD768" s="2">
        <v>40848</v>
      </c>
      <c r="AE768">
        <v>3.3932062617840764E-2</v>
      </c>
    </row>
    <row r="769" spans="7:31" x14ac:dyDescent="0.25">
      <c r="G769" s="2"/>
      <c r="L769" s="2"/>
      <c r="P769" s="2">
        <v>44713</v>
      </c>
      <c r="Q769">
        <v>21650.3</v>
      </c>
      <c r="R769">
        <f t="shared" si="55"/>
        <v>5.590259737869907E-2</v>
      </c>
      <c r="U769" s="2">
        <v>40330</v>
      </c>
      <c r="V769">
        <v>217.19900000000001</v>
      </c>
      <c r="W769">
        <f t="shared" si="56"/>
        <v>1.1153177381444834E-2</v>
      </c>
      <c r="Y769" s="2">
        <f t="shared" si="57"/>
        <v>44713</v>
      </c>
      <c r="Z769">
        <f t="shared" si="58"/>
        <v>5.590259737869907E-2</v>
      </c>
      <c r="AA769">
        <f t="shared" si="59"/>
        <v>1.1153177381444834E-2</v>
      </c>
      <c r="AD769" s="2">
        <v>40878</v>
      </c>
      <c r="AE769">
        <v>3.0161211420960399E-2</v>
      </c>
    </row>
    <row r="770" spans="7:31" x14ac:dyDescent="0.25">
      <c r="G770" s="2"/>
      <c r="L770" s="2"/>
      <c r="P770" s="2">
        <v>44743</v>
      </c>
      <c r="Q770">
        <v>21643</v>
      </c>
      <c r="R770">
        <f t="shared" si="55"/>
        <v>4.818299280824867E-2</v>
      </c>
      <c r="U770" s="2">
        <v>40360</v>
      </c>
      <c r="V770">
        <v>217.60499999999999</v>
      </c>
      <c r="W770">
        <f t="shared" si="56"/>
        <v>1.3318695897958754E-2</v>
      </c>
      <c r="Y770" s="2">
        <f t="shared" si="57"/>
        <v>44743</v>
      </c>
      <c r="Z770">
        <f t="shared" si="58"/>
        <v>4.818299280824867E-2</v>
      </c>
      <c r="AA770">
        <f t="shared" si="59"/>
        <v>1.3318695897958754E-2</v>
      </c>
      <c r="AD770" s="2">
        <v>40909</v>
      </c>
      <c r="AE770">
        <v>2.9643908697416066E-2</v>
      </c>
    </row>
    <row r="771" spans="7:31" x14ac:dyDescent="0.25">
      <c r="G771" s="2"/>
      <c r="L771" s="2"/>
      <c r="P771" s="2">
        <v>44774</v>
      </c>
      <c r="Q771">
        <v>21618.9</v>
      </c>
      <c r="R771">
        <f t="shared" si="55"/>
        <v>3.6900070478525393E-2</v>
      </c>
      <c r="U771" s="2">
        <v>40391</v>
      </c>
      <c r="V771">
        <v>217.923</v>
      </c>
      <c r="W771">
        <f t="shared" si="56"/>
        <v>1.1436132834318435E-2</v>
      </c>
      <c r="Y771" s="2">
        <f t="shared" si="57"/>
        <v>44774</v>
      </c>
      <c r="Z771">
        <f t="shared" si="58"/>
        <v>3.6900070478525393E-2</v>
      </c>
      <c r="AA771">
        <f t="shared" si="59"/>
        <v>1.1436132834318435E-2</v>
      </c>
      <c r="AD771" s="2">
        <v>40940</v>
      </c>
      <c r="AE771">
        <v>2.8569754482858478E-2</v>
      </c>
    </row>
    <row r="772" spans="7:31" x14ac:dyDescent="0.25">
      <c r="G772" s="2"/>
      <c r="L772" s="2"/>
      <c r="P772" s="2">
        <v>44805</v>
      </c>
      <c r="Q772">
        <v>21539.1</v>
      </c>
      <c r="R772">
        <f t="shared" si="55"/>
        <v>2.6977349394663008E-2</v>
      </c>
      <c r="U772" s="2">
        <v>40422</v>
      </c>
      <c r="V772">
        <v>218.27500000000001</v>
      </c>
      <c r="W772">
        <f t="shared" si="56"/>
        <v>1.1121053678139425E-2</v>
      </c>
      <c r="Y772" s="2">
        <f t="shared" si="57"/>
        <v>44805</v>
      </c>
      <c r="Z772">
        <f t="shared" si="58"/>
        <v>2.6977349394663008E-2</v>
      </c>
      <c r="AA772">
        <f t="shared" si="59"/>
        <v>1.1121053678139425E-2</v>
      </c>
      <c r="AD772" s="2">
        <v>40969</v>
      </c>
      <c r="AE772">
        <v>2.5500825228600199E-2</v>
      </c>
    </row>
    <row r="773" spans="7:31" x14ac:dyDescent="0.25">
      <c r="G773" s="2"/>
      <c r="L773" s="2"/>
      <c r="P773" s="2">
        <v>44835</v>
      </c>
      <c r="Q773">
        <v>21471.599999999999</v>
      </c>
      <c r="R773">
        <f t="shared" si="55"/>
        <v>1.5266182413681051E-2</v>
      </c>
      <c r="U773" s="2">
        <v>40452</v>
      </c>
      <c r="V773">
        <v>219.035</v>
      </c>
      <c r="W773">
        <f t="shared" si="56"/>
        <v>1.1599417381349397E-2</v>
      </c>
      <c r="Y773" s="2">
        <f t="shared" si="57"/>
        <v>44835</v>
      </c>
      <c r="Z773">
        <f t="shared" si="58"/>
        <v>1.5266182413681051E-2</v>
      </c>
      <c r="AA773">
        <f t="shared" si="59"/>
        <v>1.1599417381349397E-2</v>
      </c>
      <c r="AD773" s="2">
        <v>41000</v>
      </c>
      <c r="AE773">
        <v>2.2477119945619073E-2</v>
      </c>
    </row>
    <row r="774" spans="7:31" x14ac:dyDescent="0.25">
      <c r="G774" s="2"/>
      <c r="L774" s="2"/>
      <c r="P774" s="2">
        <v>44866</v>
      </c>
      <c r="Q774">
        <v>21405.1</v>
      </c>
      <c r="R774">
        <f t="shared" si="55"/>
        <v>3.9601602114043288E-3</v>
      </c>
      <c r="U774" s="2">
        <v>40483</v>
      </c>
      <c r="V774">
        <v>219.59</v>
      </c>
      <c r="W774">
        <f t="shared" si="56"/>
        <v>1.0787057695652358E-2</v>
      </c>
      <c r="Y774" s="2">
        <f t="shared" si="57"/>
        <v>44866</v>
      </c>
      <c r="Z774">
        <f t="shared" si="58"/>
        <v>3.9601602114043288E-3</v>
      </c>
      <c r="AA774">
        <f t="shared" si="59"/>
        <v>1.0787057695652358E-2</v>
      </c>
      <c r="AD774" s="2">
        <v>41030</v>
      </c>
      <c r="AE774">
        <v>1.7230134384217166E-2</v>
      </c>
    </row>
    <row r="775" spans="7:31" x14ac:dyDescent="0.25">
      <c r="G775" s="2"/>
      <c r="L775" s="2"/>
      <c r="P775" s="2">
        <v>44896</v>
      </c>
      <c r="Q775">
        <v>21309.200000000001</v>
      </c>
      <c r="R775">
        <f t="shared" si="55"/>
        <v>-8.9372863318519791E-3</v>
      </c>
      <c r="U775" s="2">
        <v>40513</v>
      </c>
      <c r="V775">
        <v>220.47200000000001</v>
      </c>
      <c r="W775">
        <f t="shared" si="56"/>
        <v>1.4275547979703873E-2</v>
      </c>
      <c r="Y775" s="2">
        <f t="shared" si="57"/>
        <v>44896</v>
      </c>
      <c r="Z775">
        <f t="shared" si="58"/>
        <v>-8.9372863318519791E-3</v>
      </c>
      <c r="AA775">
        <f t="shared" si="59"/>
        <v>1.4275547979703873E-2</v>
      </c>
      <c r="AD775" s="2">
        <v>41061</v>
      </c>
      <c r="AE775">
        <v>1.6403429586643092E-2</v>
      </c>
    </row>
    <row r="776" spans="7:31" x14ac:dyDescent="0.25">
      <c r="G776" s="2"/>
      <c r="L776" s="2"/>
      <c r="P776" s="2">
        <v>44927</v>
      </c>
      <c r="Q776">
        <v>21223</v>
      </c>
      <c r="R776">
        <f t="shared" si="55"/>
        <v>-1.5698586611206267E-2</v>
      </c>
      <c r="U776" s="2">
        <v>40544</v>
      </c>
      <c r="V776">
        <v>221.18700000000001</v>
      </c>
      <c r="W776">
        <f t="shared" si="56"/>
        <v>1.6864820984663353E-2</v>
      </c>
      <c r="Y776" s="2">
        <f t="shared" si="57"/>
        <v>44927</v>
      </c>
      <c r="Z776">
        <f t="shared" si="58"/>
        <v>-1.5698586611206267E-2</v>
      </c>
      <c r="AA776">
        <f t="shared" si="59"/>
        <v>1.6864820984663353E-2</v>
      </c>
      <c r="AD776" s="2">
        <v>41091</v>
      </c>
      <c r="AE776">
        <v>1.407558729848013E-2</v>
      </c>
    </row>
    <row r="777" spans="7:31" x14ac:dyDescent="0.25">
      <c r="G777" s="2"/>
      <c r="L777" s="2"/>
      <c r="P777" s="2">
        <v>44958</v>
      </c>
      <c r="Q777">
        <v>21150.7</v>
      </c>
      <c r="R777">
        <f t="shared" si="55"/>
        <v>-2.1700636901448078E-2</v>
      </c>
      <c r="U777" s="2">
        <v>40575</v>
      </c>
      <c r="V777">
        <v>221.898</v>
      </c>
      <c r="W777">
        <f t="shared" si="56"/>
        <v>2.1026370112833703E-2</v>
      </c>
      <c r="Y777" s="2">
        <f t="shared" si="57"/>
        <v>44958</v>
      </c>
      <c r="Z777">
        <f t="shared" si="58"/>
        <v>-2.1700636901448078E-2</v>
      </c>
      <c r="AA777">
        <f t="shared" si="59"/>
        <v>2.1026370112833703E-2</v>
      </c>
      <c r="AD777" s="2">
        <v>41122</v>
      </c>
      <c r="AE777">
        <v>1.67188077526923E-2</v>
      </c>
    </row>
    <row r="778" spans="7:31" x14ac:dyDescent="0.25">
      <c r="G778" s="2"/>
      <c r="L778" s="2"/>
      <c r="P778" s="2">
        <v>44986</v>
      </c>
      <c r="Q778">
        <v>20902.8</v>
      </c>
      <c r="R778">
        <f t="shared" si="55"/>
        <v>-3.8391809382078534E-2</v>
      </c>
      <c r="U778" s="2">
        <v>40603</v>
      </c>
      <c r="V778">
        <v>223.04599999999999</v>
      </c>
      <c r="W778">
        <f t="shared" si="56"/>
        <v>2.5855268252593433E-2</v>
      </c>
      <c r="Y778" s="2">
        <f t="shared" si="57"/>
        <v>44986</v>
      </c>
      <c r="Z778">
        <f t="shared" si="58"/>
        <v>-3.8391809382078534E-2</v>
      </c>
      <c r="AA778">
        <f t="shared" si="59"/>
        <v>2.5855268252593433E-2</v>
      </c>
      <c r="AD778" s="2">
        <v>41153</v>
      </c>
      <c r="AE778">
        <v>1.9309534160266928E-2</v>
      </c>
    </row>
    <row r="779" spans="7:31" x14ac:dyDescent="0.25">
      <c r="G779" s="2"/>
      <c r="L779" s="2"/>
      <c r="P779" s="2">
        <v>45017</v>
      </c>
      <c r="Q779">
        <v>20744.900000000001</v>
      </c>
      <c r="R779">
        <f t="shared" si="55"/>
        <v>-4.6038949310897692E-2</v>
      </c>
      <c r="U779" s="2">
        <v>40634</v>
      </c>
      <c r="V779">
        <v>224.09299999999999</v>
      </c>
      <c r="W779">
        <f t="shared" si="56"/>
        <v>3.0308370223773196E-2</v>
      </c>
      <c r="Y779" s="2">
        <f t="shared" si="57"/>
        <v>45017</v>
      </c>
      <c r="Z779">
        <f t="shared" si="58"/>
        <v>-4.6038949310897692E-2</v>
      </c>
      <c r="AA779">
        <f t="shared" si="59"/>
        <v>3.0308370223773196E-2</v>
      </c>
      <c r="AD779" s="2">
        <v>41183</v>
      </c>
      <c r="AE779">
        <v>2.1327719237691944E-2</v>
      </c>
    </row>
    <row r="780" spans="7:31" x14ac:dyDescent="0.25">
      <c r="G780" s="2"/>
      <c r="L780" s="2"/>
      <c r="P780" s="2">
        <v>45047</v>
      </c>
      <c r="Q780">
        <v>20837.400000000001</v>
      </c>
      <c r="R780">
        <f t="shared" si="55"/>
        <v>-4.0157199317782499E-2</v>
      </c>
      <c r="U780" s="2">
        <v>40664</v>
      </c>
      <c r="V780">
        <v>224.80600000000001</v>
      </c>
      <c r="W780">
        <f t="shared" si="56"/>
        <v>3.4004941179468062E-2</v>
      </c>
      <c r="Y780" s="2">
        <f t="shared" si="57"/>
        <v>45047</v>
      </c>
      <c r="Z780">
        <f t="shared" si="58"/>
        <v>-4.0157199317782499E-2</v>
      </c>
      <c r="AA780">
        <f t="shared" si="59"/>
        <v>3.4004941179468062E-2</v>
      </c>
      <c r="AD780" s="2">
        <v>41214</v>
      </c>
      <c r="AE780">
        <v>1.7800818183119738E-2</v>
      </c>
    </row>
    <row r="781" spans="7:31" x14ac:dyDescent="0.25">
      <c r="G781" s="2"/>
      <c r="L781" s="2"/>
      <c r="P781" s="2">
        <v>45078</v>
      </c>
      <c r="Q781">
        <v>20820.2</v>
      </c>
      <c r="R781">
        <f t="shared" si="55"/>
        <v>-3.9095641876807363E-2</v>
      </c>
      <c r="U781" s="2">
        <v>40695</v>
      </c>
      <c r="V781">
        <v>224.80600000000001</v>
      </c>
      <c r="W781">
        <f t="shared" si="56"/>
        <v>3.4423824057196128E-2</v>
      </c>
      <c r="Y781" s="2">
        <f t="shared" si="57"/>
        <v>45078</v>
      </c>
      <c r="Z781">
        <f t="shared" si="58"/>
        <v>-3.9095641876807363E-2</v>
      </c>
      <c r="AA781">
        <f t="shared" si="59"/>
        <v>3.4423824057196128E-2</v>
      </c>
      <c r="AD781" s="2">
        <v>41244</v>
      </c>
      <c r="AE781">
        <v>1.7442049005504501E-2</v>
      </c>
    </row>
    <row r="782" spans="7:31" x14ac:dyDescent="0.25">
      <c r="G782" s="2"/>
      <c r="L782" s="2"/>
      <c r="P782" s="2">
        <v>45108</v>
      </c>
      <c r="Q782">
        <v>20792.900000000001</v>
      </c>
      <c r="R782">
        <f t="shared" si="55"/>
        <v>-4.0070494250825206E-2</v>
      </c>
      <c r="U782" s="2">
        <v>40725</v>
      </c>
      <c r="V782">
        <v>225.39500000000001</v>
      </c>
      <c r="W782">
        <f t="shared" si="56"/>
        <v>3.5172925914501718E-2</v>
      </c>
      <c r="Y782" s="2">
        <f t="shared" si="57"/>
        <v>45108</v>
      </c>
      <c r="Z782">
        <f t="shared" si="58"/>
        <v>-4.0070494250825206E-2</v>
      </c>
      <c r="AA782">
        <f t="shared" si="59"/>
        <v>3.5172925914501718E-2</v>
      </c>
      <c r="AD782" s="2">
        <v>41275</v>
      </c>
      <c r="AE782">
        <v>1.6700386614722618E-2</v>
      </c>
    </row>
    <row r="783" spans="7:31" x14ac:dyDescent="0.25">
      <c r="G783" s="2"/>
      <c r="L783" s="2"/>
      <c r="P783" s="2">
        <v>45139</v>
      </c>
      <c r="Q783">
        <v>20764.7</v>
      </c>
      <c r="R783">
        <f t="shared" si="55"/>
        <v>-4.0313502509858878E-2</v>
      </c>
      <c r="U783" s="2">
        <v>40756</v>
      </c>
      <c r="V783">
        <v>226.10599999999999</v>
      </c>
      <c r="W783">
        <f t="shared" si="56"/>
        <v>3.6862126476173707E-2</v>
      </c>
      <c r="Y783" s="2">
        <f t="shared" si="57"/>
        <v>45139</v>
      </c>
      <c r="Z783">
        <f t="shared" si="58"/>
        <v>-4.0313502509858878E-2</v>
      </c>
      <c r="AA783">
        <f t="shared" si="59"/>
        <v>3.6862126476173707E-2</v>
      </c>
      <c r="AD783" s="2">
        <v>41306</v>
      </c>
      <c r="AE783">
        <v>1.9980459426809816E-2</v>
      </c>
    </row>
    <row r="784" spans="7:31" x14ac:dyDescent="0.25">
      <c r="G784" s="2"/>
      <c r="L784" s="2"/>
      <c r="P784" s="2">
        <v>45170</v>
      </c>
      <c r="Q784">
        <v>20709.900000000001</v>
      </c>
      <c r="R784">
        <f t="shared" si="55"/>
        <v>-3.9258041314903735E-2</v>
      </c>
      <c r="U784" s="2">
        <v>40787</v>
      </c>
      <c r="V784">
        <v>226.59700000000001</v>
      </c>
      <c r="W784">
        <f t="shared" si="56"/>
        <v>3.7417373621400074E-2</v>
      </c>
      <c r="Y784" s="2">
        <f t="shared" si="57"/>
        <v>45170</v>
      </c>
      <c r="Z784">
        <f t="shared" si="58"/>
        <v>-3.9258041314903735E-2</v>
      </c>
      <c r="AA784">
        <f t="shared" si="59"/>
        <v>3.7417373621400074E-2</v>
      </c>
      <c r="AD784" s="2">
        <v>41334</v>
      </c>
      <c r="AE784">
        <v>1.5073297321459123E-2</v>
      </c>
    </row>
    <row r="785" spans="7:31" x14ac:dyDescent="0.25">
      <c r="G785" s="2"/>
      <c r="L785" s="2"/>
      <c r="P785" s="2">
        <v>45200</v>
      </c>
      <c r="Q785">
        <v>20690.3</v>
      </c>
      <c r="R785">
        <f t="shared" si="55"/>
        <v>-3.7066140293010363E-2</v>
      </c>
      <c r="U785" s="2">
        <v>40817</v>
      </c>
      <c r="V785">
        <v>226.75</v>
      </c>
      <c r="W785">
        <f t="shared" si="56"/>
        <v>3.4616554596579974E-2</v>
      </c>
      <c r="Y785" s="2">
        <f t="shared" si="57"/>
        <v>45200</v>
      </c>
      <c r="Z785">
        <f t="shared" si="58"/>
        <v>-3.7066140293010363E-2</v>
      </c>
      <c r="AA785">
        <f t="shared" si="59"/>
        <v>3.4616554596579974E-2</v>
      </c>
      <c r="AD785" s="2">
        <v>41365</v>
      </c>
      <c r="AE785">
        <v>1.1323724421044012E-2</v>
      </c>
    </row>
    <row r="786" spans="7:31" x14ac:dyDescent="0.25">
      <c r="G786" s="2"/>
      <c r="L786" s="2"/>
      <c r="P786" s="2">
        <v>45231</v>
      </c>
      <c r="Q786">
        <v>20703</v>
      </c>
      <c r="R786">
        <f t="shared" si="55"/>
        <v>-3.3350594085074903E-2</v>
      </c>
      <c r="U786" s="2">
        <v>40848</v>
      </c>
      <c r="V786">
        <v>227.16900000000001</v>
      </c>
      <c r="W786">
        <f t="shared" si="56"/>
        <v>3.3932062617840764E-2</v>
      </c>
      <c r="Y786" s="2">
        <f t="shared" si="57"/>
        <v>45231</v>
      </c>
      <c r="Z786">
        <f t="shared" si="58"/>
        <v>-3.3350594085074903E-2</v>
      </c>
      <c r="AA786">
        <f t="shared" si="59"/>
        <v>3.3932062617840764E-2</v>
      </c>
      <c r="AD786" s="2">
        <v>41395</v>
      </c>
      <c r="AE786">
        <v>1.3808115942114618E-2</v>
      </c>
    </row>
    <row r="787" spans="7:31" x14ac:dyDescent="0.25">
      <c r="G787" s="2"/>
      <c r="L787" s="2"/>
      <c r="P787" s="2">
        <v>45261</v>
      </c>
      <c r="Q787">
        <v>20751.5</v>
      </c>
      <c r="R787">
        <f t="shared" si="55"/>
        <v>-2.6520371124707509E-2</v>
      </c>
      <c r="U787" s="2">
        <v>40878</v>
      </c>
      <c r="V787">
        <v>227.22300000000001</v>
      </c>
      <c r="W787">
        <f t="shared" si="56"/>
        <v>3.0161211420960399E-2</v>
      </c>
      <c r="Y787" s="2">
        <f t="shared" si="57"/>
        <v>45261</v>
      </c>
      <c r="Z787">
        <f t="shared" si="58"/>
        <v>-2.6520371124707509E-2</v>
      </c>
      <c r="AA787">
        <f t="shared" si="59"/>
        <v>3.0161211420960399E-2</v>
      </c>
      <c r="AD787" s="2">
        <v>41426</v>
      </c>
      <c r="AE787">
        <v>1.7012400261643634E-2</v>
      </c>
    </row>
    <row r="788" spans="7:31" x14ac:dyDescent="0.25">
      <c r="L788" s="2"/>
      <c r="P788" s="2">
        <v>45292</v>
      </c>
      <c r="Q788">
        <v>20751.099999999999</v>
      </c>
      <c r="R788">
        <f t="shared" ref="R788:R793" si="60">LN(Q788)-LN(Q776)</f>
        <v>-2.2486241933693307E-2</v>
      </c>
      <c r="U788" s="2">
        <v>40909</v>
      </c>
      <c r="V788">
        <v>227.84200000000001</v>
      </c>
      <c r="W788">
        <f t="shared" ref="W788:W851" si="61">LN(V788)-LN(V776)</f>
        <v>2.9643908697416066E-2</v>
      </c>
      <c r="Y788" s="2">
        <f t="shared" si="57"/>
        <v>45292</v>
      </c>
      <c r="Z788">
        <f t="shared" si="58"/>
        <v>-2.2486241933693307E-2</v>
      </c>
      <c r="AA788">
        <f t="shared" si="59"/>
        <v>2.9643908697416066E-2</v>
      </c>
      <c r="AD788" s="2">
        <v>41456</v>
      </c>
      <c r="AE788">
        <v>1.8679171018338714E-2</v>
      </c>
    </row>
    <row r="789" spans="7:31" x14ac:dyDescent="0.25">
      <c r="L789" s="2"/>
      <c r="P789" s="2">
        <v>45323</v>
      </c>
      <c r="Q789">
        <v>20743.900000000001</v>
      </c>
      <c r="R789">
        <f t="shared" si="60"/>
        <v>-1.9420774317602252E-2</v>
      </c>
      <c r="U789" s="2">
        <v>40940</v>
      </c>
      <c r="V789">
        <v>228.32900000000001</v>
      </c>
      <c r="W789">
        <f t="shared" si="61"/>
        <v>2.8569754482858478E-2</v>
      </c>
      <c r="Y789" s="2">
        <f t="shared" ref="Y789:Y794" si="62">P789</f>
        <v>45323</v>
      </c>
      <c r="Z789">
        <f t="shared" ref="Z789:Z794" si="63">R789</f>
        <v>-1.9420774317602252E-2</v>
      </c>
      <c r="AA789">
        <f t="shared" ref="AA789:AA794" si="64">W789</f>
        <v>2.8569754482858478E-2</v>
      </c>
      <c r="AD789" s="2">
        <v>41487</v>
      </c>
      <c r="AE789">
        <v>1.5270898906586616E-2</v>
      </c>
    </row>
    <row r="790" spans="7:31" x14ac:dyDescent="0.25">
      <c r="L790" s="2"/>
      <c r="P790" s="2">
        <v>45352</v>
      </c>
      <c r="Q790">
        <v>20835.8</v>
      </c>
      <c r="R790">
        <f t="shared" si="60"/>
        <v>-3.2104602237588153E-3</v>
      </c>
      <c r="U790" s="2">
        <v>40969</v>
      </c>
      <c r="V790">
        <v>228.80699999999999</v>
      </c>
      <c r="W790">
        <f t="shared" si="61"/>
        <v>2.5500825228600199E-2</v>
      </c>
      <c r="Y790" s="2">
        <f t="shared" si="62"/>
        <v>45352</v>
      </c>
      <c r="Z790">
        <f t="shared" si="63"/>
        <v>-3.2104602237588153E-3</v>
      </c>
      <c r="AA790">
        <f t="shared" si="64"/>
        <v>2.5500825228600199E-2</v>
      </c>
      <c r="AD790" s="2">
        <v>41518</v>
      </c>
      <c r="AE790">
        <v>1.088785270925996E-2</v>
      </c>
    </row>
    <row r="791" spans="7:31" x14ac:dyDescent="0.25">
      <c r="L791" s="2"/>
      <c r="P791" s="2">
        <v>45383</v>
      </c>
      <c r="Q791">
        <v>20861.400000000001</v>
      </c>
      <c r="R791">
        <f t="shared" si="60"/>
        <v>5.6001280799833353E-3</v>
      </c>
      <c r="U791" s="2">
        <v>41000</v>
      </c>
      <c r="V791">
        <v>229.18700000000001</v>
      </c>
      <c r="W791">
        <f t="shared" si="61"/>
        <v>2.2477119945619073E-2</v>
      </c>
      <c r="Y791" s="2">
        <f t="shared" si="62"/>
        <v>45383</v>
      </c>
      <c r="Z791">
        <f t="shared" si="63"/>
        <v>5.6001280799833353E-3</v>
      </c>
      <c r="AA791">
        <f t="shared" si="64"/>
        <v>2.2477119945619073E-2</v>
      </c>
      <c r="AD791" s="2">
        <v>41548</v>
      </c>
      <c r="AE791">
        <v>8.729775818349772E-3</v>
      </c>
    </row>
    <row r="792" spans="7:31" x14ac:dyDescent="0.25">
      <c r="L792" s="2"/>
      <c r="P792" s="2">
        <v>45413</v>
      </c>
      <c r="Q792">
        <v>20951.8</v>
      </c>
      <c r="R792">
        <f t="shared" si="60"/>
        <v>5.4751125065433115E-3</v>
      </c>
      <c r="U792" s="2">
        <v>41030</v>
      </c>
      <c r="V792">
        <v>228.71299999999999</v>
      </c>
      <c r="W792">
        <f t="shared" si="61"/>
        <v>1.7230134384217166E-2</v>
      </c>
      <c r="Y792" s="2">
        <f t="shared" si="62"/>
        <v>45413</v>
      </c>
      <c r="Z792">
        <f t="shared" si="63"/>
        <v>5.4751125065433115E-3</v>
      </c>
      <c r="AA792">
        <f t="shared" si="64"/>
        <v>1.7230134384217166E-2</v>
      </c>
      <c r="AD792" s="2">
        <v>41579</v>
      </c>
      <c r="AE792">
        <v>1.2253322438004588E-2</v>
      </c>
    </row>
    <row r="793" spans="7:31" x14ac:dyDescent="0.25">
      <c r="L793" s="2"/>
      <c r="P793" s="2">
        <v>45444</v>
      </c>
      <c r="Q793">
        <v>21025.1</v>
      </c>
      <c r="R793">
        <f t="shared" si="60"/>
        <v>9.7932928016497556E-3</v>
      </c>
      <c r="U793" s="2">
        <v>41061</v>
      </c>
      <c r="V793">
        <v>228.524</v>
      </c>
      <c r="W793">
        <f t="shared" si="61"/>
        <v>1.6403429586643092E-2</v>
      </c>
      <c r="Y793" s="2">
        <f t="shared" si="62"/>
        <v>45444</v>
      </c>
      <c r="Z793">
        <f t="shared" si="63"/>
        <v>9.7932928016497556E-3</v>
      </c>
      <c r="AA793">
        <f t="shared" si="64"/>
        <v>1.6403429586643092E-2</v>
      </c>
      <c r="AD793" s="2">
        <v>41609</v>
      </c>
      <c r="AE793">
        <v>1.5015090867017022E-2</v>
      </c>
    </row>
    <row r="794" spans="7:31" x14ac:dyDescent="0.25">
      <c r="L794" s="2"/>
      <c r="P794" s="2">
        <v>45474</v>
      </c>
      <c r="Q794">
        <v>21054.400000000001</v>
      </c>
      <c r="U794" s="2">
        <v>41091</v>
      </c>
      <c r="V794">
        <v>228.59</v>
      </c>
      <c r="W794">
        <f t="shared" si="61"/>
        <v>1.407558729848013E-2</v>
      </c>
      <c r="Y794" s="2">
        <f t="shared" si="62"/>
        <v>45474</v>
      </c>
      <c r="Z794">
        <f t="shared" si="63"/>
        <v>0</v>
      </c>
      <c r="AA794">
        <f t="shared" si="64"/>
        <v>1.407558729848013E-2</v>
      </c>
      <c r="AD794" s="2">
        <v>41640</v>
      </c>
      <c r="AE794">
        <v>1.545750281811209E-2</v>
      </c>
    </row>
    <row r="795" spans="7:31" x14ac:dyDescent="0.25">
      <c r="L795" s="2"/>
      <c r="U795" s="2">
        <v>41122</v>
      </c>
      <c r="V795">
        <v>229.91800000000001</v>
      </c>
      <c r="W795">
        <f t="shared" si="61"/>
        <v>1.67188077526923E-2</v>
      </c>
      <c r="AD795" s="2">
        <v>41671</v>
      </c>
      <c r="AE795">
        <v>1.1142438176857894E-2</v>
      </c>
    </row>
    <row r="796" spans="7:31" x14ac:dyDescent="0.25">
      <c r="L796" s="2"/>
      <c r="U796" s="2">
        <v>41153</v>
      </c>
      <c r="V796">
        <v>231.01499999999999</v>
      </c>
      <c r="W796">
        <f t="shared" si="61"/>
        <v>1.9309534160266928E-2</v>
      </c>
      <c r="AD796" s="2">
        <v>41699</v>
      </c>
      <c r="AE796">
        <v>1.5998291291059452E-2</v>
      </c>
    </row>
    <row r="797" spans="7:31" x14ac:dyDescent="0.25">
      <c r="L797" s="2"/>
      <c r="U797" s="2">
        <v>41183</v>
      </c>
      <c r="V797">
        <v>231.63800000000001</v>
      </c>
      <c r="W797">
        <f t="shared" si="61"/>
        <v>2.1327719237691944E-2</v>
      </c>
      <c r="AD797" s="2">
        <v>41730</v>
      </c>
      <c r="AE797">
        <v>1.995090359296281E-2</v>
      </c>
    </row>
    <row r="798" spans="7:31" x14ac:dyDescent="0.25">
      <c r="L798" s="2"/>
      <c r="U798" s="2">
        <v>41214</v>
      </c>
      <c r="V798">
        <v>231.249</v>
      </c>
      <c r="W798">
        <f t="shared" si="61"/>
        <v>1.7800818183119738E-2</v>
      </c>
      <c r="AD798" s="2">
        <v>41760</v>
      </c>
      <c r="AE798">
        <v>2.1438031323914863E-2</v>
      </c>
    </row>
    <row r="799" spans="7:31" x14ac:dyDescent="0.25">
      <c r="L799" s="2"/>
      <c r="U799" s="2">
        <v>41244</v>
      </c>
      <c r="V799">
        <v>231.221</v>
      </c>
      <c r="W799">
        <f t="shared" si="61"/>
        <v>1.7442049005504501E-2</v>
      </c>
      <c r="AD799" s="2">
        <v>41791</v>
      </c>
      <c r="AE799">
        <v>2.0380712080756425E-2</v>
      </c>
    </row>
    <row r="800" spans="7:31" x14ac:dyDescent="0.25">
      <c r="L800" s="2"/>
      <c r="U800" s="2">
        <v>41275</v>
      </c>
      <c r="V800">
        <v>231.679</v>
      </c>
      <c r="W800">
        <f t="shared" si="61"/>
        <v>1.6700386614722618E-2</v>
      </c>
      <c r="AD800" s="2">
        <v>41821</v>
      </c>
      <c r="AE800">
        <v>1.9550025496311463E-2</v>
      </c>
    </row>
    <row r="801" spans="12:31" x14ac:dyDescent="0.25">
      <c r="L801" s="2"/>
      <c r="U801" s="2">
        <v>41306</v>
      </c>
      <c r="V801">
        <v>232.93700000000001</v>
      </c>
      <c r="W801">
        <f t="shared" si="61"/>
        <v>1.9980459426809816E-2</v>
      </c>
      <c r="AD801" s="2">
        <v>41852</v>
      </c>
      <c r="AE801">
        <v>1.7005565715979998E-2</v>
      </c>
    </row>
    <row r="802" spans="12:31" x14ac:dyDescent="0.25">
      <c r="L802" s="2"/>
      <c r="U802" s="2">
        <v>41334</v>
      </c>
      <c r="V802">
        <v>232.28200000000001</v>
      </c>
      <c r="W802">
        <f t="shared" si="61"/>
        <v>1.5073297321459123E-2</v>
      </c>
      <c r="AD802" s="2">
        <v>41883</v>
      </c>
      <c r="AE802">
        <v>1.6700280492135455E-2</v>
      </c>
    </row>
    <row r="803" spans="12:31" x14ac:dyDescent="0.25">
      <c r="L803" s="2"/>
      <c r="U803" s="2">
        <v>41365</v>
      </c>
      <c r="V803">
        <v>231.797</v>
      </c>
      <c r="W803">
        <f t="shared" si="61"/>
        <v>1.1323724421044012E-2</v>
      </c>
      <c r="AD803" s="2">
        <v>41913</v>
      </c>
      <c r="AE803">
        <v>1.596725913786301E-2</v>
      </c>
    </row>
    <row r="804" spans="12:31" x14ac:dyDescent="0.25">
      <c r="L804" s="2"/>
      <c r="U804" s="2">
        <v>41395</v>
      </c>
      <c r="V804">
        <v>231.893</v>
      </c>
      <c r="W804">
        <f t="shared" si="61"/>
        <v>1.3808115942114618E-2</v>
      </c>
      <c r="AD804" s="2">
        <v>41944</v>
      </c>
      <c r="AE804">
        <v>1.2240034107743547E-2</v>
      </c>
    </row>
    <row r="805" spans="12:31" x14ac:dyDescent="0.25">
      <c r="L805" s="2"/>
      <c r="U805" s="2">
        <v>41426</v>
      </c>
      <c r="V805">
        <v>232.44499999999999</v>
      </c>
      <c r="W805">
        <f t="shared" si="61"/>
        <v>1.7012400261643634E-2</v>
      </c>
      <c r="AD805" s="2">
        <v>41974</v>
      </c>
      <c r="AE805">
        <v>6.5099779562531879E-3</v>
      </c>
    </row>
    <row r="806" spans="12:31" x14ac:dyDescent="0.25">
      <c r="L806" s="2"/>
      <c r="U806" s="2">
        <v>41456</v>
      </c>
      <c r="V806">
        <v>232.9</v>
      </c>
      <c r="W806">
        <f t="shared" si="61"/>
        <v>1.8679171018338714E-2</v>
      </c>
      <c r="AD806" s="2">
        <v>42005</v>
      </c>
      <c r="AE806">
        <v>-2.3019572538087729E-3</v>
      </c>
    </row>
    <row r="807" spans="12:31" x14ac:dyDescent="0.25">
      <c r="L807" s="2"/>
      <c r="U807" s="2">
        <v>41487</v>
      </c>
      <c r="V807">
        <v>233.45599999999999</v>
      </c>
      <c r="W807">
        <f t="shared" si="61"/>
        <v>1.5270898906586616E-2</v>
      </c>
      <c r="AD807" s="2">
        <v>42036</v>
      </c>
      <c r="AE807">
        <v>-8.7069357301139405E-4</v>
      </c>
    </row>
    <row r="808" spans="12:31" x14ac:dyDescent="0.25">
      <c r="L808" s="2"/>
      <c r="U808" s="2">
        <v>41518</v>
      </c>
      <c r="V808">
        <v>233.54400000000001</v>
      </c>
      <c r="W808">
        <f t="shared" si="61"/>
        <v>1.088785270925996E-2</v>
      </c>
      <c r="AD808" s="2">
        <v>42064</v>
      </c>
      <c r="AE808">
        <v>-2.203371166791257E-4</v>
      </c>
    </row>
    <row r="809" spans="12:31" x14ac:dyDescent="0.25">
      <c r="L809" s="2"/>
      <c r="U809" s="2">
        <v>41548</v>
      </c>
      <c r="V809">
        <v>233.66900000000001</v>
      </c>
      <c r="W809">
        <f t="shared" si="61"/>
        <v>8.729775818349772E-3</v>
      </c>
      <c r="AD809" s="2">
        <v>42095</v>
      </c>
      <c r="AE809">
        <v>-1.0408513918598317E-3</v>
      </c>
    </row>
    <row r="810" spans="12:31" x14ac:dyDescent="0.25">
      <c r="L810" s="2"/>
      <c r="U810" s="2">
        <v>41579</v>
      </c>
      <c r="V810">
        <v>234.1</v>
      </c>
      <c r="W810">
        <f t="shared" si="61"/>
        <v>1.2253322438004588E-2</v>
      </c>
      <c r="AD810" s="2">
        <v>42125</v>
      </c>
      <c r="AE810">
        <v>3.5027083045324758E-4</v>
      </c>
    </row>
    <row r="811" spans="12:31" x14ac:dyDescent="0.25">
      <c r="L811" s="2"/>
      <c r="U811" s="2">
        <v>41609</v>
      </c>
      <c r="V811">
        <v>234.71899999999999</v>
      </c>
      <c r="W811">
        <f t="shared" si="61"/>
        <v>1.5015090867017022E-2</v>
      </c>
      <c r="AD811" s="2">
        <v>42156</v>
      </c>
      <c r="AE811">
        <v>1.7941077233718516E-3</v>
      </c>
    </row>
    <row r="812" spans="12:31" x14ac:dyDescent="0.25">
      <c r="L812" s="2"/>
      <c r="U812" s="2">
        <v>41640</v>
      </c>
      <c r="V812">
        <v>235.28800000000001</v>
      </c>
      <c r="W812">
        <f t="shared" si="61"/>
        <v>1.545750281811209E-2</v>
      </c>
      <c r="AD812" s="2">
        <v>42186</v>
      </c>
      <c r="AE812">
        <v>2.2543182246153037E-3</v>
      </c>
    </row>
    <row r="813" spans="12:31" x14ac:dyDescent="0.25">
      <c r="L813" s="2"/>
      <c r="U813" s="2">
        <v>41671</v>
      </c>
      <c r="V813">
        <v>235.547</v>
      </c>
      <c r="W813">
        <f t="shared" si="61"/>
        <v>1.1142438176857894E-2</v>
      </c>
      <c r="AD813" s="2">
        <v>42217</v>
      </c>
      <c r="AE813">
        <v>2.4101312842326195E-3</v>
      </c>
    </row>
    <row r="814" spans="12:31" x14ac:dyDescent="0.25">
      <c r="L814" s="2"/>
      <c r="U814" s="2">
        <v>41699</v>
      </c>
      <c r="V814">
        <v>236.02799999999999</v>
      </c>
      <c r="W814">
        <f t="shared" si="61"/>
        <v>1.5998291291059452E-2</v>
      </c>
      <c r="AD814" s="2">
        <v>42248</v>
      </c>
      <c r="AE814">
        <v>8.8425706673334048E-5</v>
      </c>
    </row>
    <row r="815" spans="12:31" x14ac:dyDescent="0.25">
      <c r="L815" s="2"/>
      <c r="U815" s="2">
        <v>41730</v>
      </c>
      <c r="V815">
        <v>236.46799999999999</v>
      </c>
      <c r="W815">
        <f t="shared" si="61"/>
        <v>1.995090359296281E-2</v>
      </c>
      <c r="AD815" s="2">
        <v>42278</v>
      </c>
      <c r="AE815">
        <v>1.2753519995021279E-3</v>
      </c>
    </row>
    <row r="816" spans="12:31" x14ac:dyDescent="0.25">
      <c r="L816" s="2"/>
      <c r="U816" s="2">
        <v>41760</v>
      </c>
      <c r="V816">
        <v>236.91800000000001</v>
      </c>
      <c r="W816">
        <f t="shared" si="61"/>
        <v>2.1438031323914863E-2</v>
      </c>
      <c r="AD816" s="2">
        <v>42309</v>
      </c>
      <c r="AE816">
        <v>4.3536910873953616E-3</v>
      </c>
    </row>
    <row r="817" spans="12:31" x14ac:dyDescent="0.25">
      <c r="L817" s="2"/>
      <c r="U817" s="2">
        <v>41791</v>
      </c>
      <c r="V817">
        <v>237.23099999999999</v>
      </c>
      <c r="W817">
        <f t="shared" si="61"/>
        <v>2.0380712080756425E-2</v>
      </c>
      <c r="AD817" s="2">
        <v>42339</v>
      </c>
      <c r="AE817">
        <v>6.366935496003201E-3</v>
      </c>
    </row>
    <row r="818" spans="12:31" x14ac:dyDescent="0.25">
      <c r="L818" s="2"/>
      <c r="U818" s="2">
        <v>41821</v>
      </c>
      <c r="V818">
        <v>237.49799999999999</v>
      </c>
      <c r="W818">
        <f t="shared" si="61"/>
        <v>1.9550025496311463E-2</v>
      </c>
      <c r="AD818" s="2">
        <v>42370</v>
      </c>
      <c r="AE818">
        <v>1.2299080308038057E-2</v>
      </c>
    </row>
    <row r="819" spans="12:31" x14ac:dyDescent="0.25">
      <c r="L819" s="2"/>
      <c r="U819" s="2">
        <v>41852</v>
      </c>
      <c r="V819">
        <v>237.46</v>
      </c>
      <c r="W819">
        <f t="shared" si="61"/>
        <v>1.7005565715979998E-2</v>
      </c>
      <c r="AD819" s="2">
        <v>42401</v>
      </c>
      <c r="AE819">
        <v>8.4370832933036155E-3</v>
      </c>
    </row>
    <row r="820" spans="12:31" x14ac:dyDescent="0.25">
      <c r="L820" s="2"/>
      <c r="U820" s="2">
        <v>41883</v>
      </c>
      <c r="V820">
        <v>237.477</v>
      </c>
      <c r="W820">
        <f t="shared" si="61"/>
        <v>1.6700280492135455E-2</v>
      </c>
      <c r="AD820" s="2">
        <v>42430</v>
      </c>
      <c r="AE820">
        <v>8.8766467056498044E-3</v>
      </c>
    </row>
    <row r="821" spans="12:31" x14ac:dyDescent="0.25">
      <c r="L821" s="2"/>
      <c r="U821" s="2">
        <v>41913</v>
      </c>
      <c r="V821">
        <v>237.43</v>
      </c>
      <c r="W821">
        <f t="shared" si="61"/>
        <v>1.596725913786301E-2</v>
      </c>
      <c r="AD821" s="2">
        <v>42461</v>
      </c>
      <c r="AE821">
        <v>1.1658037736477667E-2</v>
      </c>
    </row>
    <row r="822" spans="12:31" x14ac:dyDescent="0.25">
      <c r="L822" s="2"/>
      <c r="U822" s="2">
        <v>41944</v>
      </c>
      <c r="V822">
        <v>236.983</v>
      </c>
      <c r="W822">
        <f t="shared" si="61"/>
        <v>1.2240034107743547E-2</v>
      </c>
      <c r="AD822" s="2">
        <v>42491</v>
      </c>
      <c r="AE822">
        <v>1.0727023823578818E-2</v>
      </c>
    </row>
    <row r="823" spans="12:31" x14ac:dyDescent="0.25">
      <c r="L823" s="2"/>
      <c r="U823" s="2">
        <v>41974</v>
      </c>
      <c r="V823">
        <v>236.25200000000001</v>
      </c>
      <c r="W823">
        <f t="shared" si="61"/>
        <v>6.5099779562531879E-3</v>
      </c>
      <c r="AD823" s="2">
        <v>42522</v>
      </c>
      <c r="AE823">
        <v>1.0735038085898374E-2</v>
      </c>
    </row>
    <row r="824" spans="12:31" x14ac:dyDescent="0.25">
      <c r="L824" s="2"/>
      <c r="U824" s="2">
        <v>42005</v>
      </c>
      <c r="V824">
        <v>234.74700000000001</v>
      </c>
      <c r="W824">
        <f t="shared" si="61"/>
        <v>-2.3019572538087729E-3</v>
      </c>
      <c r="AD824" s="2">
        <v>42552</v>
      </c>
      <c r="AE824">
        <v>8.6461475385908315E-3</v>
      </c>
    </row>
    <row r="825" spans="12:31" x14ac:dyDescent="0.25">
      <c r="L825" s="2"/>
      <c r="U825" s="2">
        <v>42036</v>
      </c>
      <c r="V825">
        <v>235.34200000000001</v>
      </c>
      <c r="W825">
        <f t="shared" si="61"/>
        <v>-8.7069357301139405E-4</v>
      </c>
      <c r="AD825" s="2">
        <v>42583</v>
      </c>
      <c r="AE825">
        <v>1.0497862708119143E-2</v>
      </c>
    </row>
    <row r="826" spans="12:31" x14ac:dyDescent="0.25">
      <c r="L826" s="2"/>
      <c r="U826" s="2">
        <v>42064</v>
      </c>
      <c r="V826">
        <v>235.976</v>
      </c>
      <c r="W826">
        <f t="shared" si="61"/>
        <v>-2.203371166791257E-4</v>
      </c>
      <c r="AD826" s="2">
        <v>42614</v>
      </c>
      <c r="AE826">
        <v>1.5367755028160346E-2</v>
      </c>
    </row>
    <row r="827" spans="12:31" x14ac:dyDescent="0.25">
      <c r="L827" s="2"/>
      <c r="U827" s="2">
        <v>42095</v>
      </c>
      <c r="V827">
        <v>236.22200000000001</v>
      </c>
      <c r="W827">
        <f t="shared" si="61"/>
        <v>-1.0408513918598317E-3</v>
      </c>
      <c r="AD827" s="2">
        <v>42644</v>
      </c>
      <c r="AE827">
        <v>1.6718709909869567E-2</v>
      </c>
    </row>
    <row r="828" spans="12:31" x14ac:dyDescent="0.25">
      <c r="L828" s="2"/>
      <c r="U828" s="2">
        <v>42125</v>
      </c>
      <c r="V828">
        <v>237.001</v>
      </c>
      <c r="W828">
        <f t="shared" si="61"/>
        <v>3.5027083045324758E-4</v>
      </c>
      <c r="AD828" s="2">
        <v>42675</v>
      </c>
      <c r="AE828">
        <v>1.6703058710160867E-2</v>
      </c>
    </row>
    <row r="829" spans="12:31" x14ac:dyDescent="0.25">
      <c r="L829" s="2"/>
      <c r="U829" s="2">
        <v>42156</v>
      </c>
      <c r="V829">
        <v>237.65700000000001</v>
      </c>
      <c r="W829">
        <f t="shared" si="61"/>
        <v>1.7941077233718516E-3</v>
      </c>
      <c r="AD829" s="2">
        <v>42705</v>
      </c>
      <c r="AE829">
        <v>2.0300531865359517E-2</v>
      </c>
    </row>
    <row r="830" spans="12:31" x14ac:dyDescent="0.25">
      <c r="L830" s="2"/>
      <c r="U830" s="2">
        <v>42186</v>
      </c>
      <c r="V830">
        <v>238.03399999999999</v>
      </c>
      <c r="W830">
        <f t="shared" si="61"/>
        <v>2.2543182246153037E-3</v>
      </c>
      <c r="AD830" s="2">
        <v>42736</v>
      </c>
      <c r="AE830">
        <v>2.4794005969470234E-2</v>
      </c>
    </row>
    <row r="831" spans="12:31" x14ac:dyDescent="0.25">
      <c r="L831" s="2"/>
      <c r="U831" s="2">
        <v>42217</v>
      </c>
      <c r="V831">
        <v>238.03299999999999</v>
      </c>
      <c r="W831">
        <f t="shared" si="61"/>
        <v>2.4101312842326195E-3</v>
      </c>
      <c r="AD831" s="2">
        <v>42767</v>
      </c>
      <c r="AE831">
        <v>2.7715956519004159E-2</v>
      </c>
    </row>
    <row r="832" spans="12:31" x14ac:dyDescent="0.25">
      <c r="L832" s="2"/>
      <c r="U832" s="2">
        <v>42248</v>
      </c>
      <c r="V832">
        <v>237.49799999999999</v>
      </c>
      <c r="W832">
        <f t="shared" si="61"/>
        <v>8.8425706673334048E-5</v>
      </c>
      <c r="AD832" s="2">
        <v>42795</v>
      </c>
      <c r="AE832">
        <v>2.411875271120234E-2</v>
      </c>
    </row>
    <row r="833" spans="12:31" x14ac:dyDescent="0.25">
      <c r="L833" s="2"/>
      <c r="U833" s="2">
        <v>42278</v>
      </c>
      <c r="V833">
        <v>237.733</v>
      </c>
      <c r="W833">
        <f t="shared" si="61"/>
        <v>1.2753519995021279E-3</v>
      </c>
      <c r="AD833" s="2">
        <v>42826</v>
      </c>
      <c r="AE833">
        <v>2.1528817669152822E-2</v>
      </c>
    </row>
    <row r="834" spans="12:31" x14ac:dyDescent="0.25">
      <c r="L834" s="2"/>
      <c r="U834" s="2">
        <v>42309</v>
      </c>
      <c r="V834">
        <v>238.017</v>
      </c>
      <c r="W834">
        <f t="shared" si="61"/>
        <v>4.3536910873953616E-3</v>
      </c>
      <c r="AD834" s="2">
        <v>42856</v>
      </c>
      <c r="AE834">
        <v>1.8393234242362055E-2</v>
      </c>
    </row>
    <row r="835" spans="12:31" x14ac:dyDescent="0.25">
      <c r="L835" s="2"/>
      <c r="U835" s="2">
        <v>42339</v>
      </c>
      <c r="V835">
        <v>237.761</v>
      </c>
      <c r="W835">
        <f t="shared" si="61"/>
        <v>6.366935496003201E-3</v>
      </c>
      <c r="AD835" s="2">
        <v>42887</v>
      </c>
      <c r="AE835">
        <v>1.6272539252383034E-2</v>
      </c>
    </row>
    <row r="836" spans="12:31" x14ac:dyDescent="0.25">
      <c r="L836" s="2"/>
      <c r="U836" s="2">
        <v>42370</v>
      </c>
      <c r="V836">
        <v>237.65199999999999</v>
      </c>
      <c r="W836">
        <f t="shared" si="61"/>
        <v>1.2299080308038057E-2</v>
      </c>
      <c r="AD836" s="2">
        <v>42917</v>
      </c>
      <c r="AE836">
        <v>1.7103963201701156E-2</v>
      </c>
    </row>
    <row r="837" spans="12:31" x14ac:dyDescent="0.25">
      <c r="L837" s="2"/>
      <c r="U837" s="2">
        <v>42401</v>
      </c>
      <c r="V837">
        <v>237.33600000000001</v>
      </c>
      <c r="W837">
        <f t="shared" si="61"/>
        <v>8.4370832933036155E-3</v>
      </c>
      <c r="AD837" s="2">
        <v>42948</v>
      </c>
      <c r="AE837">
        <v>1.9097688270304225E-2</v>
      </c>
    </row>
    <row r="838" spans="12:31" x14ac:dyDescent="0.25">
      <c r="L838" s="2"/>
      <c r="U838" s="2">
        <v>42430</v>
      </c>
      <c r="V838">
        <v>238.08</v>
      </c>
      <c r="W838">
        <f t="shared" si="61"/>
        <v>8.8766467056498044E-3</v>
      </c>
      <c r="AD838" s="2">
        <v>42979</v>
      </c>
      <c r="AE838">
        <v>2.1571309611642775E-2</v>
      </c>
    </row>
    <row r="839" spans="12:31" x14ac:dyDescent="0.25">
      <c r="L839" s="2"/>
      <c r="U839" s="2">
        <v>42461</v>
      </c>
      <c r="V839">
        <v>238.99199999999999</v>
      </c>
      <c r="W839">
        <f t="shared" si="61"/>
        <v>1.1658037736477667E-2</v>
      </c>
      <c r="AD839" s="2">
        <v>43009</v>
      </c>
      <c r="AE839">
        <v>2.0006113975012063E-2</v>
      </c>
    </row>
    <row r="840" spans="12:31" x14ac:dyDescent="0.25">
      <c r="L840" s="2"/>
      <c r="U840" s="2">
        <v>42491</v>
      </c>
      <c r="V840">
        <v>239.55699999999999</v>
      </c>
      <c r="W840">
        <f t="shared" si="61"/>
        <v>1.0727023823578818E-2</v>
      </c>
      <c r="AD840" s="2">
        <v>43040</v>
      </c>
      <c r="AE840">
        <v>2.1492315285689401E-2</v>
      </c>
    </row>
    <row r="841" spans="12:31" x14ac:dyDescent="0.25">
      <c r="L841" s="2"/>
      <c r="U841" s="2">
        <v>42522</v>
      </c>
      <c r="V841">
        <v>240.22200000000001</v>
      </c>
      <c r="W841">
        <f t="shared" si="61"/>
        <v>1.0735038085898374E-2</v>
      </c>
      <c r="AD841" s="2">
        <v>43070</v>
      </c>
      <c r="AE841">
        <v>2.1075647246180829E-2</v>
      </c>
    </row>
    <row r="842" spans="12:31" x14ac:dyDescent="0.25">
      <c r="L842" s="2"/>
      <c r="U842" s="2">
        <v>42552</v>
      </c>
      <c r="V842">
        <v>240.101</v>
      </c>
      <c r="W842">
        <f t="shared" si="61"/>
        <v>8.6461475385908315E-3</v>
      </c>
      <c r="AD842" s="2">
        <v>43101</v>
      </c>
      <c r="AE842">
        <v>2.1285046284350351E-2</v>
      </c>
    </row>
    <row r="843" spans="12:31" x14ac:dyDescent="0.25">
      <c r="L843" s="2"/>
      <c r="U843" s="2">
        <v>42583</v>
      </c>
      <c r="V843">
        <v>240.54499999999999</v>
      </c>
      <c r="W843">
        <f t="shared" si="61"/>
        <v>1.0497862708119143E-2</v>
      </c>
      <c r="AD843" s="2">
        <v>43132</v>
      </c>
      <c r="AE843">
        <v>2.2382325747230425E-2</v>
      </c>
    </row>
    <row r="844" spans="12:31" x14ac:dyDescent="0.25">
      <c r="L844" s="2"/>
      <c r="U844" s="2">
        <v>42614</v>
      </c>
      <c r="V844">
        <v>241.17599999999999</v>
      </c>
      <c r="W844">
        <f t="shared" si="61"/>
        <v>1.5367755028160346E-2</v>
      </c>
      <c r="AD844" s="2">
        <v>43160</v>
      </c>
      <c r="AE844">
        <v>2.30419804576103E-2</v>
      </c>
    </row>
    <row r="845" spans="12:31" x14ac:dyDescent="0.25">
      <c r="L845" s="2"/>
      <c r="U845" s="2">
        <v>42644</v>
      </c>
      <c r="V845">
        <v>241.74100000000001</v>
      </c>
      <c r="W845">
        <f t="shared" si="61"/>
        <v>1.6718709909869567E-2</v>
      </c>
      <c r="AD845" s="2">
        <v>43191</v>
      </c>
      <c r="AE845">
        <v>2.4409609642525254E-2</v>
      </c>
    </row>
    <row r="846" spans="12:31" x14ac:dyDescent="0.25">
      <c r="L846" s="2"/>
      <c r="U846" s="2">
        <v>42675</v>
      </c>
      <c r="V846">
        <v>242.02600000000001</v>
      </c>
      <c r="W846">
        <f t="shared" si="61"/>
        <v>1.6703058710160867E-2</v>
      </c>
      <c r="AD846" s="2">
        <v>43221</v>
      </c>
      <c r="AE846">
        <v>2.7439291721927717E-2</v>
      </c>
    </row>
    <row r="847" spans="12:31" x14ac:dyDescent="0.25">
      <c r="L847" s="2"/>
      <c r="U847" s="2">
        <v>42705</v>
      </c>
      <c r="V847">
        <v>242.637</v>
      </c>
      <c r="W847">
        <f t="shared" si="61"/>
        <v>2.0300531865359517E-2</v>
      </c>
      <c r="AD847" s="2">
        <v>43252</v>
      </c>
      <c r="AE847">
        <v>2.7688614662420008E-2</v>
      </c>
    </row>
    <row r="848" spans="12:31" x14ac:dyDescent="0.25">
      <c r="L848" s="2"/>
      <c r="U848" s="2">
        <v>42736</v>
      </c>
      <c r="V848">
        <v>243.61799999999999</v>
      </c>
      <c r="W848">
        <f t="shared" si="61"/>
        <v>2.4794005969470234E-2</v>
      </c>
      <c r="AD848" s="2">
        <v>43282</v>
      </c>
      <c r="AE848">
        <v>2.8141534173609095E-2</v>
      </c>
    </row>
    <row r="849" spans="12:31" x14ac:dyDescent="0.25">
      <c r="L849" s="2"/>
      <c r="U849" s="2">
        <v>42767</v>
      </c>
      <c r="V849">
        <v>244.006</v>
      </c>
      <c r="W849">
        <f t="shared" si="61"/>
        <v>2.7715956519004159E-2</v>
      </c>
      <c r="AD849" s="2">
        <v>43313</v>
      </c>
      <c r="AE849">
        <v>2.6086020438052415E-2</v>
      </c>
    </row>
    <row r="850" spans="12:31" x14ac:dyDescent="0.25">
      <c r="L850" s="2"/>
      <c r="U850" s="2">
        <v>42795</v>
      </c>
      <c r="V850">
        <v>243.892</v>
      </c>
      <c r="W850">
        <f t="shared" si="61"/>
        <v>2.411875271120234E-2</v>
      </c>
      <c r="AD850" s="2">
        <v>43344</v>
      </c>
      <c r="AE850">
        <v>2.3052782030269725E-2</v>
      </c>
    </row>
    <row r="851" spans="12:31" x14ac:dyDescent="0.25">
      <c r="L851" s="2"/>
      <c r="U851" s="2">
        <v>42826</v>
      </c>
      <c r="V851">
        <v>244.19300000000001</v>
      </c>
      <c r="W851">
        <f t="shared" si="61"/>
        <v>2.1528817669152822E-2</v>
      </c>
      <c r="AD851" s="2">
        <v>43374</v>
      </c>
      <c r="AE851">
        <v>2.4614877571210947E-2</v>
      </c>
    </row>
    <row r="852" spans="12:31" x14ac:dyDescent="0.25">
      <c r="L852" s="2"/>
      <c r="U852" s="2">
        <v>42856</v>
      </c>
      <c r="V852">
        <v>244.00399999999999</v>
      </c>
      <c r="W852">
        <f t="shared" ref="W852:W915" si="65">LN(V852)-LN(V840)</f>
        <v>1.8393234242362055E-2</v>
      </c>
      <c r="AD852" s="2">
        <v>43405</v>
      </c>
      <c r="AE852">
        <v>2.1245982977308842E-2</v>
      </c>
    </row>
    <row r="853" spans="12:31" x14ac:dyDescent="0.25">
      <c r="L853" s="2"/>
      <c r="U853" s="2">
        <v>42887</v>
      </c>
      <c r="V853">
        <v>244.16300000000001</v>
      </c>
      <c r="W853">
        <f t="shared" si="65"/>
        <v>1.6272539252383034E-2</v>
      </c>
      <c r="AD853" s="2">
        <v>43435</v>
      </c>
      <c r="AE853">
        <v>1.9825969223167483E-2</v>
      </c>
    </row>
    <row r="854" spans="12:31" x14ac:dyDescent="0.25">
      <c r="L854" s="2"/>
      <c r="U854" s="2">
        <v>42917</v>
      </c>
      <c r="V854">
        <v>244.24299999999999</v>
      </c>
      <c r="W854">
        <f t="shared" si="65"/>
        <v>1.7103963201701156E-2</v>
      </c>
      <c r="AD854" s="2">
        <v>43466</v>
      </c>
      <c r="AE854">
        <v>1.4766332681220184E-2</v>
      </c>
    </row>
    <row r="855" spans="12:31" x14ac:dyDescent="0.25">
      <c r="L855" s="2"/>
      <c r="U855" s="2">
        <v>42948</v>
      </c>
      <c r="V855">
        <v>245.18299999999999</v>
      </c>
      <c r="W855">
        <f t="shared" si="65"/>
        <v>1.9097688270304225E-2</v>
      </c>
      <c r="AD855" s="2">
        <v>43497</v>
      </c>
      <c r="AE855">
        <v>1.5074423162215744E-2</v>
      </c>
    </row>
    <row r="856" spans="12:31" x14ac:dyDescent="0.25">
      <c r="L856" s="2"/>
      <c r="U856" s="2">
        <v>42979</v>
      </c>
      <c r="V856">
        <v>246.435</v>
      </c>
      <c r="W856">
        <f t="shared" si="65"/>
        <v>2.1571309611642775E-2</v>
      </c>
      <c r="AD856" s="2">
        <v>43525</v>
      </c>
      <c r="AE856">
        <v>1.865673916713817E-2</v>
      </c>
    </row>
    <row r="857" spans="12:31" x14ac:dyDescent="0.25">
      <c r="L857" s="2"/>
      <c r="U857" s="2">
        <v>43009</v>
      </c>
      <c r="V857">
        <v>246.626</v>
      </c>
      <c r="W857">
        <f t="shared" si="65"/>
        <v>2.0006113975012063E-2</v>
      </c>
      <c r="AD857" s="2">
        <v>43556</v>
      </c>
      <c r="AE857">
        <v>1.9808347575986041E-2</v>
      </c>
    </row>
    <row r="858" spans="12:31" x14ac:dyDescent="0.25">
      <c r="L858" s="2"/>
      <c r="U858" s="2">
        <v>43040</v>
      </c>
      <c r="V858">
        <v>247.28399999999999</v>
      </c>
      <c r="W858">
        <f t="shared" si="65"/>
        <v>2.1492315285689401E-2</v>
      </c>
      <c r="AD858" s="2">
        <v>43586</v>
      </c>
      <c r="AE858">
        <v>1.779974595956002E-2</v>
      </c>
    </row>
    <row r="859" spans="12:31" x14ac:dyDescent="0.25">
      <c r="L859" s="2"/>
      <c r="U859" s="2">
        <v>43070</v>
      </c>
      <c r="V859">
        <v>247.80500000000001</v>
      </c>
      <c r="W859">
        <f t="shared" si="65"/>
        <v>2.1075647246180829E-2</v>
      </c>
      <c r="AD859" s="2">
        <v>43617</v>
      </c>
      <c r="AE859">
        <v>1.6573840904157144E-2</v>
      </c>
    </row>
    <row r="860" spans="12:31" x14ac:dyDescent="0.25">
      <c r="L860" s="2"/>
      <c r="U860" s="2">
        <v>43101</v>
      </c>
      <c r="V860">
        <v>248.85900000000001</v>
      </c>
      <c r="W860">
        <f t="shared" si="65"/>
        <v>2.1285046284350351E-2</v>
      </c>
      <c r="AD860" s="2">
        <v>43647</v>
      </c>
      <c r="AE860">
        <v>1.8098542197341416E-2</v>
      </c>
    </row>
    <row r="861" spans="12:31" x14ac:dyDescent="0.25">
      <c r="L861" s="2"/>
      <c r="U861" s="2">
        <v>43132</v>
      </c>
      <c r="V861">
        <v>249.529</v>
      </c>
      <c r="W861">
        <f t="shared" si="65"/>
        <v>2.2382325747230425E-2</v>
      </c>
      <c r="AD861" s="2">
        <v>43678</v>
      </c>
      <c r="AE861">
        <v>1.7227168654438962E-2</v>
      </c>
    </row>
    <row r="862" spans="12:31" x14ac:dyDescent="0.25">
      <c r="L862" s="2"/>
      <c r="U862" s="2">
        <v>43160</v>
      </c>
      <c r="V862">
        <v>249.577</v>
      </c>
      <c r="W862">
        <f t="shared" si="65"/>
        <v>2.30419804576103E-2</v>
      </c>
      <c r="AD862" s="2">
        <v>43709</v>
      </c>
      <c r="AE862">
        <v>1.6704673825508998E-2</v>
      </c>
    </row>
    <row r="863" spans="12:31" x14ac:dyDescent="0.25">
      <c r="L863" s="2"/>
      <c r="U863" s="2">
        <v>43191</v>
      </c>
      <c r="V863">
        <v>250.227</v>
      </c>
      <c r="W863">
        <f t="shared" si="65"/>
        <v>2.4409609642525254E-2</v>
      </c>
      <c r="AD863" s="2">
        <v>43739</v>
      </c>
      <c r="AE863">
        <v>1.7191119291485535E-2</v>
      </c>
    </row>
    <row r="864" spans="12:31" x14ac:dyDescent="0.25">
      <c r="L864" s="2"/>
      <c r="U864" s="2">
        <v>43221</v>
      </c>
      <c r="V864">
        <v>250.792</v>
      </c>
      <c r="W864">
        <f t="shared" si="65"/>
        <v>2.7439291721927717E-2</v>
      </c>
      <c r="AD864" s="2">
        <v>43770</v>
      </c>
      <c r="AE864">
        <v>2.0707025997130479E-2</v>
      </c>
    </row>
    <row r="865" spans="12:31" x14ac:dyDescent="0.25">
      <c r="L865" s="2"/>
      <c r="U865" s="2">
        <v>43252</v>
      </c>
      <c r="V865">
        <v>251.018</v>
      </c>
      <c r="W865">
        <f t="shared" si="65"/>
        <v>2.7688614662420008E-2</v>
      </c>
      <c r="AD865" s="2">
        <v>43800</v>
      </c>
      <c r="AE865">
        <v>2.2930353112747603E-2</v>
      </c>
    </row>
    <row r="866" spans="12:31" x14ac:dyDescent="0.25">
      <c r="L866" s="2"/>
      <c r="U866" s="2">
        <v>43282</v>
      </c>
      <c r="V866">
        <v>251.214</v>
      </c>
      <c r="W866">
        <f t="shared" si="65"/>
        <v>2.8141534173609095E-2</v>
      </c>
      <c r="AD866" s="2">
        <v>43831</v>
      </c>
      <c r="AE866">
        <v>2.4812257762911294E-2</v>
      </c>
    </row>
    <row r="867" spans="12:31" x14ac:dyDescent="0.25">
      <c r="L867" s="2"/>
      <c r="U867" s="2">
        <v>43313</v>
      </c>
      <c r="V867">
        <v>251.66300000000001</v>
      </c>
      <c r="W867">
        <f t="shared" si="65"/>
        <v>2.6086020438052415E-2</v>
      </c>
      <c r="AD867" s="2">
        <v>43862</v>
      </c>
      <c r="AE867">
        <v>2.3127853803888598E-2</v>
      </c>
    </row>
    <row r="868" spans="12:31" x14ac:dyDescent="0.25">
      <c r="L868" s="2"/>
      <c r="U868" s="2">
        <v>43344</v>
      </c>
      <c r="V868">
        <v>252.18199999999999</v>
      </c>
      <c r="W868">
        <f t="shared" si="65"/>
        <v>2.3052782030269725E-2</v>
      </c>
      <c r="AD868" s="2">
        <v>43891</v>
      </c>
      <c r="AE868">
        <v>1.5116587344980559E-2</v>
      </c>
    </row>
    <row r="869" spans="12:31" x14ac:dyDescent="0.25">
      <c r="L869" s="2"/>
      <c r="U869" s="2">
        <v>43374</v>
      </c>
      <c r="V869">
        <v>252.77199999999999</v>
      </c>
      <c r="W869">
        <f t="shared" si="65"/>
        <v>2.4614877571210947E-2</v>
      </c>
      <c r="AD869" s="2">
        <v>43922</v>
      </c>
      <c r="AE869">
        <v>3.4926574394233967E-3</v>
      </c>
    </row>
    <row r="870" spans="12:31" x14ac:dyDescent="0.25">
      <c r="L870" s="2"/>
      <c r="U870" s="2">
        <v>43405</v>
      </c>
      <c r="V870">
        <v>252.59399999999999</v>
      </c>
      <c r="W870">
        <f t="shared" si="65"/>
        <v>2.1245982977308842E-2</v>
      </c>
      <c r="AD870" s="2">
        <v>43952</v>
      </c>
      <c r="AE870">
        <v>2.1598618572857831E-3</v>
      </c>
    </row>
    <row r="871" spans="12:31" x14ac:dyDescent="0.25">
      <c r="L871" s="2"/>
      <c r="U871" s="2">
        <v>43435</v>
      </c>
      <c r="V871">
        <v>252.767</v>
      </c>
      <c r="W871">
        <f t="shared" si="65"/>
        <v>1.9825969223167483E-2</v>
      </c>
      <c r="AD871" s="2">
        <v>43983</v>
      </c>
      <c r="AE871">
        <v>6.9931583643469963E-3</v>
      </c>
    </row>
    <row r="872" spans="12:31" x14ac:dyDescent="0.25">
      <c r="L872" s="2"/>
      <c r="U872" s="2">
        <v>43466</v>
      </c>
      <c r="V872">
        <v>252.56100000000001</v>
      </c>
      <c r="W872">
        <f t="shared" si="65"/>
        <v>1.4766332681220184E-2</v>
      </c>
      <c r="AD872" s="2">
        <v>44013</v>
      </c>
      <c r="AE872">
        <v>1.0136023459060617E-2</v>
      </c>
    </row>
    <row r="873" spans="12:31" x14ac:dyDescent="0.25">
      <c r="L873" s="2"/>
      <c r="U873" s="2">
        <v>43497</v>
      </c>
      <c r="V873">
        <v>253.31899999999999</v>
      </c>
      <c r="W873">
        <f t="shared" si="65"/>
        <v>1.5074423162215744E-2</v>
      </c>
      <c r="AD873" s="2">
        <v>44044</v>
      </c>
      <c r="AE873">
        <v>1.2922131994971053E-2</v>
      </c>
    </row>
    <row r="874" spans="12:31" x14ac:dyDescent="0.25">
      <c r="L874" s="2"/>
      <c r="U874" s="2">
        <v>43525</v>
      </c>
      <c r="V874">
        <v>254.27699999999999</v>
      </c>
      <c r="W874">
        <f t="shared" si="65"/>
        <v>1.865673916713817E-2</v>
      </c>
      <c r="AD874" s="2">
        <v>44075</v>
      </c>
      <c r="AE874">
        <v>1.3637428833770393E-2</v>
      </c>
    </row>
    <row r="875" spans="12:31" x14ac:dyDescent="0.25">
      <c r="L875" s="2"/>
      <c r="U875" s="2">
        <v>43556</v>
      </c>
      <c r="V875">
        <v>255.233</v>
      </c>
      <c r="W875">
        <f t="shared" si="65"/>
        <v>1.9808347575986041E-2</v>
      </c>
      <c r="AD875" s="2">
        <v>44105</v>
      </c>
      <c r="AE875">
        <v>1.1959849092290753E-2</v>
      </c>
    </row>
    <row r="876" spans="12:31" x14ac:dyDescent="0.25">
      <c r="L876" s="2"/>
      <c r="U876" s="2">
        <v>43586</v>
      </c>
      <c r="V876">
        <v>255.29599999999999</v>
      </c>
      <c r="W876">
        <f t="shared" si="65"/>
        <v>1.779974595956002E-2</v>
      </c>
      <c r="AD876" s="2">
        <v>44136</v>
      </c>
      <c r="AE876">
        <v>1.1627544865932649E-2</v>
      </c>
    </row>
    <row r="877" spans="12:31" x14ac:dyDescent="0.25">
      <c r="L877" s="2"/>
      <c r="U877" s="2">
        <v>43617</v>
      </c>
      <c r="V877">
        <v>255.21299999999999</v>
      </c>
      <c r="W877">
        <f t="shared" si="65"/>
        <v>1.6573840904157144E-2</v>
      </c>
      <c r="AD877" s="2">
        <v>44166</v>
      </c>
      <c r="AE877">
        <v>1.2965118658522456E-2</v>
      </c>
    </row>
    <row r="878" spans="12:31" x14ac:dyDescent="0.25">
      <c r="L878" s="2"/>
      <c r="U878" s="2">
        <v>43647</v>
      </c>
      <c r="V878">
        <v>255.80199999999999</v>
      </c>
      <c r="W878">
        <f t="shared" si="65"/>
        <v>1.8098542197341416E-2</v>
      </c>
      <c r="AD878" s="2">
        <v>44197</v>
      </c>
      <c r="AE878">
        <v>1.3854589649349158E-2</v>
      </c>
    </row>
    <row r="879" spans="12:31" x14ac:dyDescent="0.25">
      <c r="L879" s="2"/>
      <c r="U879" s="2">
        <v>43678</v>
      </c>
      <c r="V879">
        <v>256.036</v>
      </c>
      <c r="W879">
        <f t="shared" si="65"/>
        <v>1.7227168654438962E-2</v>
      </c>
      <c r="AD879" s="2">
        <v>44228</v>
      </c>
      <c r="AE879">
        <v>1.6590891026516452E-2</v>
      </c>
    </row>
    <row r="880" spans="12:31" x14ac:dyDescent="0.25">
      <c r="L880" s="2"/>
      <c r="U880" s="2">
        <v>43709</v>
      </c>
      <c r="V880">
        <v>256.43</v>
      </c>
      <c r="W880">
        <f t="shared" si="65"/>
        <v>1.6704673825508998E-2</v>
      </c>
      <c r="AD880" s="2">
        <v>44256</v>
      </c>
      <c r="AE880">
        <v>2.5849334334224316E-2</v>
      </c>
    </row>
    <row r="881" spans="12:31" x14ac:dyDescent="0.25">
      <c r="L881" s="2"/>
      <c r="U881" s="2">
        <v>43739</v>
      </c>
      <c r="V881">
        <v>257.15499999999997</v>
      </c>
      <c r="W881">
        <f t="shared" si="65"/>
        <v>1.7191119291485535E-2</v>
      </c>
      <c r="AD881" s="2">
        <v>44287</v>
      </c>
      <c r="AE881">
        <v>4.0649876915713534E-2</v>
      </c>
    </row>
    <row r="882" spans="12:31" x14ac:dyDescent="0.25">
      <c r="L882" s="2"/>
      <c r="U882" s="2">
        <v>43770</v>
      </c>
      <c r="V882">
        <v>257.87900000000002</v>
      </c>
      <c r="W882">
        <f t="shared" si="65"/>
        <v>2.0707025997130479E-2</v>
      </c>
      <c r="AD882" s="2">
        <v>44317</v>
      </c>
      <c r="AE882">
        <v>4.8088608877541184E-2</v>
      </c>
    </row>
    <row r="883" spans="12:31" x14ac:dyDescent="0.25">
      <c r="L883" s="2"/>
      <c r="U883" s="2">
        <v>43800</v>
      </c>
      <c r="V883">
        <v>258.63</v>
      </c>
      <c r="W883">
        <f t="shared" si="65"/>
        <v>2.2930353112747603E-2</v>
      </c>
      <c r="AD883" s="2">
        <v>44348</v>
      </c>
      <c r="AE883">
        <v>5.1786550251852859E-2</v>
      </c>
    </row>
    <row r="884" spans="12:31" x14ac:dyDescent="0.25">
      <c r="L884" s="2"/>
      <c r="U884" s="2">
        <v>43831</v>
      </c>
      <c r="V884">
        <v>258.90600000000001</v>
      </c>
      <c r="W884">
        <f t="shared" si="65"/>
        <v>2.4812257762911294E-2</v>
      </c>
      <c r="AD884" s="2">
        <v>44378</v>
      </c>
      <c r="AE884">
        <v>5.1240276047643363E-2</v>
      </c>
    </row>
    <row r="885" spans="12:31" x14ac:dyDescent="0.25">
      <c r="L885" s="2"/>
      <c r="U885" s="2">
        <v>43862</v>
      </c>
      <c r="V885">
        <v>259.24599999999998</v>
      </c>
      <c r="W885">
        <f t="shared" si="65"/>
        <v>2.3127853803888598E-2</v>
      </c>
      <c r="AD885" s="2">
        <v>44409</v>
      </c>
      <c r="AE885">
        <v>5.0458410987920033E-2</v>
      </c>
    </row>
    <row r="886" spans="12:31" x14ac:dyDescent="0.25">
      <c r="L886" s="2"/>
      <c r="U886" s="2">
        <v>43891</v>
      </c>
      <c r="V886">
        <v>258.14999999999998</v>
      </c>
      <c r="W886">
        <f t="shared" si="65"/>
        <v>1.5116587344980559E-2</v>
      </c>
      <c r="AD886" s="2">
        <v>44440</v>
      </c>
      <c r="AE886">
        <v>5.2222460849106866E-2</v>
      </c>
    </row>
    <row r="887" spans="12:31" x14ac:dyDescent="0.25">
      <c r="L887" s="2"/>
      <c r="U887" s="2">
        <v>43922</v>
      </c>
      <c r="V887">
        <v>256.12599999999998</v>
      </c>
      <c r="W887">
        <f t="shared" si="65"/>
        <v>3.4926574394233967E-3</v>
      </c>
      <c r="AD887" s="2">
        <v>44470</v>
      </c>
      <c r="AE887">
        <v>6.03332294301131E-2</v>
      </c>
    </row>
    <row r="888" spans="12:31" x14ac:dyDescent="0.25">
      <c r="L888" s="2"/>
      <c r="U888" s="2">
        <v>43952</v>
      </c>
      <c r="V888">
        <v>255.84800000000001</v>
      </c>
      <c r="W888">
        <f t="shared" si="65"/>
        <v>2.1598618572857831E-3</v>
      </c>
      <c r="AD888" s="2">
        <v>44501</v>
      </c>
      <c r="AE888">
        <v>6.6373064551135563E-2</v>
      </c>
    </row>
    <row r="889" spans="12:31" x14ac:dyDescent="0.25">
      <c r="L889" s="2"/>
      <c r="U889" s="2">
        <v>43983</v>
      </c>
      <c r="V889">
        <v>257.00400000000002</v>
      </c>
      <c r="W889">
        <f t="shared" si="65"/>
        <v>6.9931583643469963E-3</v>
      </c>
      <c r="AD889" s="2">
        <v>44531</v>
      </c>
      <c r="AE889">
        <v>6.9307574225847546E-2</v>
      </c>
    </row>
    <row r="890" spans="12:31" x14ac:dyDescent="0.25">
      <c r="L890" s="2"/>
      <c r="U890" s="2">
        <v>44013</v>
      </c>
      <c r="V890">
        <v>258.40800000000002</v>
      </c>
      <c r="W890">
        <f t="shared" si="65"/>
        <v>1.0136023459060617E-2</v>
      </c>
      <c r="AD890" s="2">
        <v>44562</v>
      </c>
      <c r="AE890">
        <v>7.2969443117901989E-2</v>
      </c>
    </row>
    <row r="891" spans="12:31" x14ac:dyDescent="0.25">
      <c r="L891" s="2"/>
      <c r="U891" s="2">
        <v>44044</v>
      </c>
      <c r="V891">
        <v>259.36599999999999</v>
      </c>
      <c r="W891">
        <f t="shared" si="65"/>
        <v>1.2922131994971053E-2</v>
      </c>
      <c r="AD891" s="2">
        <v>44593</v>
      </c>
      <c r="AE891">
        <v>7.6487959952141082E-2</v>
      </c>
    </row>
    <row r="892" spans="12:31" x14ac:dyDescent="0.25">
      <c r="L892" s="2"/>
      <c r="U892" s="2">
        <v>44075</v>
      </c>
      <c r="V892">
        <v>259.95100000000002</v>
      </c>
      <c r="W892">
        <f t="shared" si="65"/>
        <v>1.3637428833770393E-2</v>
      </c>
      <c r="AD892" s="2">
        <v>44621</v>
      </c>
      <c r="AE892">
        <v>8.2017045413636858E-2</v>
      </c>
    </row>
    <row r="893" spans="12:31" x14ac:dyDescent="0.25">
      <c r="L893" s="2"/>
      <c r="U893" s="2">
        <v>44105</v>
      </c>
      <c r="V893">
        <v>260.24900000000002</v>
      </c>
      <c r="W893">
        <f t="shared" si="65"/>
        <v>1.1959849092290753E-2</v>
      </c>
      <c r="AD893" s="2">
        <v>44652</v>
      </c>
      <c r="AE893">
        <v>7.9290357698398317E-2</v>
      </c>
    </row>
    <row r="894" spans="12:31" x14ac:dyDescent="0.25">
      <c r="L894" s="2"/>
      <c r="U894" s="2">
        <v>44136</v>
      </c>
      <c r="V894">
        <v>260.89499999999998</v>
      </c>
      <c r="W894">
        <f t="shared" si="65"/>
        <v>1.1627544865932649E-2</v>
      </c>
      <c r="AD894" s="2">
        <v>44682</v>
      </c>
      <c r="AE894">
        <v>8.1884056775519021E-2</v>
      </c>
    </row>
    <row r="895" spans="12:31" x14ac:dyDescent="0.25">
      <c r="L895" s="2"/>
      <c r="U895" s="2">
        <v>44166</v>
      </c>
      <c r="V895">
        <v>262.005</v>
      </c>
      <c r="W895">
        <f t="shared" si="65"/>
        <v>1.2965118658522456E-2</v>
      </c>
      <c r="AD895" s="2">
        <v>44713</v>
      </c>
      <c r="AE895">
        <v>8.6083597697570902E-2</v>
      </c>
    </row>
    <row r="896" spans="12:31" x14ac:dyDescent="0.25">
      <c r="L896" s="2"/>
      <c r="U896" s="2">
        <v>44197</v>
      </c>
      <c r="V896">
        <v>262.51799999999997</v>
      </c>
      <c r="W896">
        <f t="shared" si="65"/>
        <v>1.3854589649349158E-2</v>
      </c>
      <c r="AD896" s="2">
        <v>44743</v>
      </c>
      <c r="AE896">
        <v>8.1117379969441572E-2</v>
      </c>
    </row>
    <row r="897" spans="12:31" x14ac:dyDescent="0.25">
      <c r="L897" s="2"/>
      <c r="U897" s="2">
        <v>44228</v>
      </c>
      <c r="V897">
        <v>263.58300000000003</v>
      </c>
      <c r="W897">
        <f t="shared" si="65"/>
        <v>1.6590891026516452E-2</v>
      </c>
      <c r="AD897" s="2">
        <v>44774</v>
      </c>
      <c r="AE897">
        <v>7.8984977490766717E-2</v>
      </c>
    </row>
    <row r="898" spans="12:31" x14ac:dyDescent="0.25">
      <c r="L898" s="2"/>
      <c r="U898" s="2">
        <v>44256</v>
      </c>
      <c r="V898">
        <v>264.91000000000003</v>
      </c>
      <c r="W898">
        <f t="shared" si="65"/>
        <v>2.5849334334224316E-2</v>
      </c>
      <c r="AD898" s="2">
        <v>44805</v>
      </c>
      <c r="AE898">
        <v>7.8795205712089533E-2</v>
      </c>
    </row>
    <row r="899" spans="12:31" x14ac:dyDescent="0.25">
      <c r="L899" s="2"/>
      <c r="U899" s="2">
        <v>44287</v>
      </c>
      <c r="V899">
        <v>266.75200000000001</v>
      </c>
      <c r="W899">
        <f t="shared" si="65"/>
        <v>4.0649876915713534E-2</v>
      </c>
      <c r="AD899" s="2">
        <v>44835</v>
      </c>
      <c r="AE899">
        <v>7.466155479419978E-2</v>
      </c>
    </row>
    <row r="900" spans="12:31" x14ac:dyDescent="0.25">
      <c r="L900" s="2"/>
      <c r="U900" s="2">
        <v>44317</v>
      </c>
      <c r="V900">
        <v>268.452</v>
      </c>
      <c r="W900">
        <f t="shared" si="65"/>
        <v>4.8088608877541184E-2</v>
      </c>
      <c r="AD900" s="2">
        <v>44866</v>
      </c>
      <c r="AE900">
        <v>6.8774530274252399E-2</v>
      </c>
    </row>
    <row r="901" spans="12:31" x14ac:dyDescent="0.25">
      <c r="L901" s="2"/>
      <c r="U901" s="2">
        <v>44348</v>
      </c>
      <c r="V901">
        <v>270.66399999999999</v>
      </c>
      <c r="W901">
        <f t="shared" si="65"/>
        <v>5.1786550251852859E-2</v>
      </c>
      <c r="AD901" s="2">
        <v>44896</v>
      </c>
      <c r="AE901">
        <v>6.2143451320502585E-2</v>
      </c>
    </row>
    <row r="902" spans="12:31" x14ac:dyDescent="0.25">
      <c r="L902" s="2"/>
      <c r="U902" s="2">
        <v>44378</v>
      </c>
      <c r="V902">
        <v>271.99400000000003</v>
      </c>
      <c r="W902">
        <f t="shared" si="65"/>
        <v>5.1240276047643363E-2</v>
      </c>
      <c r="AD902" s="2">
        <v>44927</v>
      </c>
      <c r="AE902">
        <v>6.167934356325766E-2</v>
      </c>
    </row>
    <row r="903" spans="12:31" x14ac:dyDescent="0.25">
      <c r="L903" s="2"/>
      <c r="U903" s="2">
        <v>44409</v>
      </c>
      <c r="V903">
        <v>272.78899999999999</v>
      </c>
      <c r="W903">
        <f t="shared" si="65"/>
        <v>5.0458410987920033E-2</v>
      </c>
      <c r="AD903" s="2">
        <v>44958</v>
      </c>
      <c r="AE903">
        <v>5.7943597621188836E-2</v>
      </c>
    </row>
    <row r="904" spans="12:31" x14ac:dyDescent="0.25">
      <c r="L904" s="2"/>
      <c r="U904" s="2">
        <v>44440</v>
      </c>
      <c r="V904">
        <v>273.887</v>
      </c>
      <c r="W904">
        <f t="shared" si="65"/>
        <v>5.2222460849106866E-2</v>
      </c>
      <c r="AD904" s="2">
        <v>44986</v>
      </c>
      <c r="AE904">
        <v>4.8171784696489972E-2</v>
      </c>
    </row>
    <row r="905" spans="12:31" x14ac:dyDescent="0.25">
      <c r="L905" s="2"/>
      <c r="U905" s="2">
        <v>44470</v>
      </c>
      <c r="V905">
        <v>276.43400000000003</v>
      </c>
      <c r="W905">
        <f t="shared" si="65"/>
        <v>6.03332294301131E-2</v>
      </c>
      <c r="AD905" s="2">
        <v>45017</v>
      </c>
      <c r="AE905">
        <v>4.8228664984886649E-2</v>
      </c>
    </row>
    <row r="906" spans="12:31" x14ac:dyDescent="0.25">
      <c r="L906" s="2"/>
      <c r="U906" s="2">
        <v>44501</v>
      </c>
      <c r="V906">
        <v>278.79899999999998</v>
      </c>
      <c r="W906">
        <f t="shared" si="65"/>
        <v>6.6373064551135563E-2</v>
      </c>
      <c r="AD906" s="2">
        <v>45047</v>
      </c>
      <c r="AE906">
        <v>4.0380517205052868E-2</v>
      </c>
    </row>
    <row r="907" spans="12:31" x14ac:dyDescent="0.25">
      <c r="L907" s="2"/>
      <c r="U907" s="2">
        <v>44531</v>
      </c>
      <c r="V907">
        <v>280.80799999999999</v>
      </c>
      <c r="W907">
        <f t="shared" si="65"/>
        <v>6.9307574225847546E-2</v>
      </c>
      <c r="AD907" s="2">
        <v>45078</v>
      </c>
      <c r="AE907">
        <v>3.0075772852725002E-2</v>
      </c>
    </row>
    <row r="908" spans="12:31" x14ac:dyDescent="0.25">
      <c r="L908" s="2"/>
      <c r="U908" s="2">
        <v>44562</v>
      </c>
      <c r="V908">
        <v>282.39</v>
      </c>
      <c r="W908">
        <f t="shared" si="65"/>
        <v>7.2969443117901989E-2</v>
      </c>
      <c r="AD908" s="2">
        <v>45108</v>
      </c>
      <c r="AE908">
        <v>3.2193972872251564E-2</v>
      </c>
    </row>
    <row r="909" spans="12:31" x14ac:dyDescent="0.25">
      <c r="L909" s="2"/>
      <c r="U909" s="2">
        <v>44593</v>
      </c>
      <c r="V909">
        <v>284.53500000000003</v>
      </c>
      <c r="W909">
        <f t="shared" si="65"/>
        <v>7.6487959952141082E-2</v>
      </c>
      <c r="AD909" s="2">
        <v>45139</v>
      </c>
      <c r="AE909">
        <v>3.6512446344684868E-2</v>
      </c>
    </row>
    <row r="910" spans="12:31" x14ac:dyDescent="0.25">
      <c r="L910" s="2"/>
      <c r="U910" s="2">
        <v>44621</v>
      </c>
      <c r="V910">
        <v>287.553</v>
      </c>
      <c r="W910">
        <f t="shared" si="65"/>
        <v>8.2017045413636858E-2</v>
      </c>
      <c r="AD910" s="2">
        <v>45170</v>
      </c>
      <c r="AE910">
        <v>3.627460030834051E-2</v>
      </c>
    </row>
    <row r="911" spans="12:31" x14ac:dyDescent="0.25">
      <c r="L911" s="2"/>
      <c r="U911" s="2">
        <v>44652</v>
      </c>
      <c r="V911">
        <v>288.76400000000001</v>
      </c>
      <c r="W911">
        <f t="shared" si="65"/>
        <v>7.9290357698398317E-2</v>
      </c>
      <c r="AD911" s="2">
        <v>45200</v>
      </c>
      <c r="AE911">
        <v>3.1942245920578038E-2</v>
      </c>
    </row>
    <row r="912" spans="12:31" x14ac:dyDescent="0.25">
      <c r="L912" s="2"/>
      <c r="U912" s="2">
        <v>44682</v>
      </c>
      <c r="V912">
        <v>291.35899999999998</v>
      </c>
      <c r="W912">
        <f t="shared" si="65"/>
        <v>8.1884056775519021E-2</v>
      </c>
      <c r="AD912" s="2">
        <v>45231</v>
      </c>
      <c r="AE912">
        <v>3.0912079662114955E-2</v>
      </c>
    </row>
    <row r="913" spans="12:31" x14ac:dyDescent="0.25">
      <c r="L913" s="2"/>
      <c r="U913" s="2">
        <v>44713</v>
      </c>
      <c r="V913">
        <v>294.99599999999998</v>
      </c>
      <c r="W913">
        <f t="shared" si="65"/>
        <v>8.6083597697570902E-2</v>
      </c>
      <c r="AD913" s="2">
        <v>45261</v>
      </c>
      <c r="AE913">
        <v>3.2691363580503285E-2</v>
      </c>
    </row>
    <row r="914" spans="12:31" x14ac:dyDescent="0.25">
      <c r="L914" s="2"/>
      <c r="U914" s="2">
        <v>44743</v>
      </c>
      <c r="V914">
        <v>294.97699999999998</v>
      </c>
      <c r="W914">
        <f t="shared" si="65"/>
        <v>8.1117379969441572E-2</v>
      </c>
      <c r="AD914" s="2">
        <v>45292</v>
      </c>
      <c r="AE914">
        <v>3.0587214047342215E-2</v>
      </c>
    </row>
    <row r="915" spans="12:31" x14ac:dyDescent="0.25">
      <c r="L915" s="2"/>
      <c r="U915" s="2">
        <v>44774</v>
      </c>
      <c r="V915">
        <v>295.209</v>
      </c>
      <c r="W915">
        <f t="shared" si="65"/>
        <v>7.8984977490766717E-2</v>
      </c>
      <c r="AD915" s="2">
        <v>45323</v>
      </c>
      <c r="AE915">
        <v>3.1166664079222528E-2</v>
      </c>
    </row>
    <row r="916" spans="12:31" x14ac:dyDescent="0.25">
      <c r="L916" s="2"/>
      <c r="U916" s="2">
        <v>44805</v>
      </c>
      <c r="V916">
        <v>296.34100000000001</v>
      </c>
      <c r="W916">
        <f t="shared" ref="W916:W938" si="66">LN(V916)-LN(V904)</f>
        <v>7.8795205712089533E-2</v>
      </c>
      <c r="AD916" s="2">
        <v>45352</v>
      </c>
      <c r="AE916">
        <v>3.416111994331672E-2</v>
      </c>
    </row>
    <row r="917" spans="12:31" x14ac:dyDescent="0.25">
      <c r="L917" s="2"/>
      <c r="U917" s="2">
        <v>44835</v>
      </c>
      <c r="V917">
        <v>297.863</v>
      </c>
      <c r="W917">
        <f t="shared" si="66"/>
        <v>7.466155479419978E-2</v>
      </c>
      <c r="AD917" s="2">
        <v>45383</v>
      </c>
      <c r="AE917">
        <v>3.3025903309011895E-2</v>
      </c>
    </row>
    <row r="918" spans="12:31" x14ac:dyDescent="0.25">
      <c r="L918" s="2"/>
      <c r="U918" s="2">
        <v>44866</v>
      </c>
      <c r="V918">
        <v>298.64800000000002</v>
      </c>
      <c r="W918">
        <f t="shared" si="66"/>
        <v>6.8774530274252399E-2</v>
      </c>
      <c r="AD918" s="2">
        <v>45413</v>
      </c>
      <c r="AE918">
        <v>3.1985081133276694E-2</v>
      </c>
    </row>
    <row r="919" spans="12:31" x14ac:dyDescent="0.25">
      <c r="L919" s="2"/>
      <c r="U919" s="2">
        <v>44896</v>
      </c>
      <c r="V919">
        <v>298.81200000000001</v>
      </c>
      <c r="W919">
        <f t="shared" si="66"/>
        <v>6.2143451320502585E-2</v>
      </c>
      <c r="AD919" s="2">
        <v>45444</v>
      </c>
      <c r="AE919">
        <v>2.9322158029740031E-2</v>
      </c>
    </row>
    <row r="920" spans="12:31" x14ac:dyDescent="0.25">
      <c r="L920" s="2"/>
      <c r="U920" s="2">
        <v>44927</v>
      </c>
      <c r="V920">
        <v>300.35599999999999</v>
      </c>
      <c r="W920">
        <f t="shared" si="66"/>
        <v>6.167934356325766E-2</v>
      </c>
      <c r="AD920" s="2">
        <v>45474</v>
      </c>
      <c r="AE920">
        <v>2.8816447072076201E-2</v>
      </c>
    </row>
    <row r="921" spans="12:31" x14ac:dyDescent="0.25">
      <c r="L921" s="2"/>
      <c r="U921" s="2">
        <v>44958</v>
      </c>
      <c r="V921">
        <v>301.50900000000001</v>
      </c>
      <c r="W921">
        <f t="shared" si="66"/>
        <v>5.7943597621188836E-2</v>
      </c>
    </row>
    <row r="922" spans="12:31" x14ac:dyDescent="0.25">
      <c r="L922" s="2"/>
      <c r="U922" s="2">
        <v>44986</v>
      </c>
      <c r="V922">
        <v>301.74400000000003</v>
      </c>
      <c r="W922">
        <f t="shared" si="66"/>
        <v>4.8171784696489972E-2</v>
      </c>
    </row>
    <row r="923" spans="12:31" x14ac:dyDescent="0.25">
      <c r="L923" s="2"/>
      <c r="U923" s="2">
        <v>45017</v>
      </c>
      <c r="V923">
        <v>303.03199999999998</v>
      </c>
      <c r="W923">
        <f t="shared" si="66"/>
        <v>4.8228664984886649E-2</v>
      </c>
    </row>
    <row r="924" spans="12:31" x14ac:dyDescent="0.25">
      <c r="L924" s="2"/>
      <c r="U924" s="2">
        <v>45047</v>
      </c>
      <c r="V924">
        <v>303.36500000000001</v>
      </c>
      <c r="W924">
        <f t="shared" si="66"/>
        <v>4.0380517205052868E-2</v>
      </c>
    </row>
    <row r="925" spans="12:31" x14ac:dyDescent="0.25">
      <c r="L925" s="2"/>
      <c r="U925" s="2">
        <v>45078</v>
      </c>
      <c r="V925">
        <v>304.00299999999999</v>
      </c>
      <c r="W925">
        <f t="shared" si="66"/>
        <v>3.0075772852725002E-2</v>
      </c>
    </row>
    <row r="926" spans="12:31" x14ac:dyDescent="0.25">
      <c r="L926" s="2"/>
      <c r="U926" s="2">
        <v>45108</v>
      </c>
      <c r="V926">
        <v>304.62799999999999</v>
      </c>
      <c r="W926">
        <f t="shared" si="66"/>
        <v>3.2193972872251564E-2</v>
      </c>
    </row>
    <row r="927" spans="12:31" x14ac:dyDescent="0.25">
      <c r="L927" s="2"/>
      <c r="U927" s="2">
        <v>45139</v>
      </c>
      <c r="V927">
        <v>306.18700000000001</v>
      </c>
      <c r="W927">
        <f t="shared" si="66"/>
        <v>3.6512446344684868E-2</v>
      </c>
    </row>
    <row r="928" spans="12:31" x14ac:dyDescent="0.25">
      <c r="L928" s="2"/>
      <c r="U928" s="2">
        <v>45170</v>
      </c>
      <c r="V928">
        <v>307.28800000000001</v>
      </c>
      <c r="W928">
        <f t="shared" si="66"/>
        <v>3.627460030834051E-2</v>
      </c>
    </row>
    <row r="929" spans="12:23" x14ac:dyDescent="0.25">
      <c r="L929" s="2"/>
      <c r="U929" s="2">
        <v>45200</v>
      </c>
      <c r="V929">
        <v>307.53100000000001</v>
      </c>
      <c r="W929">
        <f t="shared" si="66"/>
        <v>3.1942245920578038E-2</v>
      </c>
    </row>
    <row r="930" spans="12:23" x14ac:dyDescent="0.25">
      <c r="L930" s="2"/>
      <c r="U930" s="2">
        <v>45231</v>
      </c>
      <c r="V930">
        <v>308.024</v>
      </c>
      <c r="W930">
        <f t="shared" si="66"/>
        <v>3.0912079662114955E-2</v>
      </c>
    </row>
    <row r="931" spans="12:23" x14ac:dyDescent="0.25">
      <c r="L931" s="2"/>
      <c r="U931" s="2">
        <v>45261</v>
      </c>
      <c r="V931">
        <v>308.74200000000002</v>
      </c>
      <c r="W931">
        <f t="shared" si="66"/>
        <v>3.2691363580503285E-2</v>
      </c>
    </row>
    <row r="932" spans="12:23" x14ac:dyDescent="0.25">
      <c r="L932" s="2"/>
      <c r="U932" s="2">
        <v>45292</v>
      </c>
      <c r="V932">
        <v>309.685</v>
      </c>
      <c r="W932">
        <f t="shared" si="66"/>
        <v>3.0587214047342215E-2</v>
      </c>
    </row>
    <row r="933" spans="12:23" x14ac:dyDescent="0.25">
      <c r="U933" s="2">
        <v>45323</v>
      </c>
      <c r="V933">
        <v>311.05399999999997</v>
      </c>
      <c r="W933">
        <f t="shared" si="66"/>
        <v>3.1166664079222528E-2</v>
      </c>
    </row>
    <row r="934" spans="12:23" x14ac:dyDescent="0.25">
      <c r="U934" s="2">
        <v>45352</v>
      </c>
      <c r="V934">
        <v>312.23</v>
      </c>
      <c r="W934">
        <f t="shared" si="66"/>
        <v>3.416111994331672E-2</v>
      </c>
    </row>
    <row r="935" spans="12:23" x14ac:dyDescent="0.25">
      <c r="U935" s="2">
        <v>45383</v>
      </c>
      <c r="V935">
        <v>313.20699999999999</v>
      </c>
      <c r="W935">
        <f t="shared" si="66"/>
        <v>3.3025903309011895E-2</v>
      </c>
    </row>
    <row r="936" spans="12:23" x14ac:dyDescent="0.25">
      <c r="U936" s="2">
        <v>45413</v>
      </c>
      <c r="V936">
        <v>313.22500000000002</v>
      </c>
      <c r="W936">
        <f t="shared" si="66"/>
        <v>3.1985081133276694E-2</v>
      </c>
    </row>
    <row r="937" spans="12:23" x14ac:dyDescent="0.25">
      <c r="U937" s="2">
        <v>45444</v>
      </c>
      <c r="V937">
        <v>313.04899999999998</v>
      </c>
      <c r="W937">
        <f t="shared" si="66"/>
        <v>2.9322158029740031E-2</v>
      </c>
    </row>
    <row r="938" spans="12:23" x14ac:dyDescent="0.25">
      <c r="U938" s="2">
        <v>45474</v>
      </c>
      <c r="V938">
        <v>313.53399999999999</v>
      </c>
      <c r="W938">
        <f t="shared" si="66"/>
        <v>2.8816447072076201E-2</v>
      </c>
    </row>
  </sheetData>
  <dataConsolidate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D306-8472-4EA5-B740-B665039C6509}">
  <dimension ref="A1:B321"/>
  <sheetViews>
    <sheetView workbookViewId="0"/>
  </sheetViews>
  <sheetFormatPr defaultRowHeight="15" x14ac:dyDescent="0.25"/>
  <sheetData>
    <row r="1" spans="1:2" x14ac:dyDescent="0.25">
      <c r="A1" t="s">
        <v>18</v>
      </c>
    </row>
    <row r="2" spans="1:2" x14ac:dyDescent="0.25">
      <c r="A2" t="s">
        <v>5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s="2">
        <v>17168</v>
      </c>
      <c r="B4" t="s">
        <v>41</v>
      </c>
    </row>
    <row r="5" spans="1:2" x14ac:dyDescent="0.25">
      <c r="A5" t="s">
        <v>23</v>
      </c>
    </row>
    <row r="6" spans="1:2" x14ac:dyDescent="0.25">
      <c r="A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s="2">
        <v>17168</v>
      </c>
      <c r="B8">
        <v>2182.681</v>
      </c>
    </row>
    <row r="9" spans="1:2" x14ac:dyDescent="0.25">
      <c r="A9" s="2">
        <v>17258</v>
      </c>
      <c r="B9">
        <v>2176.8919999999998</v>
      </c>
    </row>
    <row r="10" spans="1:2" x14ac:dyDescent="0.25">
      <c r="A10" s="2">
        <v>17349</v>
      </c>
      <c r="B10">
        <v>2172.4319999999998</v>
      </c>
    </row>
    <row r="11" spans="1:2" x14ac:dyDescent="0.25">
      <c r="A11" s="2">
        <v>17441</v>
      </c>
      <c r="B11">
        <v>2206.4520000000002</v>
      </c>
    </row>
    <row r="12" spans="1:2" x14ac:dyDescent="0.25">
      <c r="A12" s="2">
        <v>17533</v>
      </c>
      <c r="B12">
        <v>2239.6819999999998</v>
      </c>
    </row>
    <row r="13" spans="1:2" x14ac:dyDescent="0.25">
      <c r="A13" s="2">
        <v>17624</v>
      </c>
      <c r="B13">
        <v>2276.69</v>
      </c>
    </row>
    <row r="14" spans="1:2" x14ac:dyDescent="0.25">
      <c r="A14" s="2">
        <v>17715</v>
      </c>
      <c r="B14">
        <v>2289.77</v>
      </c>
    </row>
    <row r="15" spans="1:2" x14ac:dyDescent="0.25">
      <c r="A15" s="2">
        <v>17807</v>
      </c>
      <c r="B15">
        <v>2292.364</v>
      </c>
    </row>
    <row r="16" spans="1:2" x14ac:dyDescent="0.25">
      <c r="A16" s="2">
        <v>17899</v>
      </c>
      <c r="B16">
        <v>2260.8069999999998</v>
      </c>
    </row>
    <row r="17" spans="1:2" x14ac:dyDescent="0.25">
      <c r="A17" s="2">
        <v>17989</v>
      </c>
      <c r="B17">
        <v>2253.1280000000002</v>
      </c>
    </row>
    <row r="18" spans="1:2" x14ac:dyDescent="0.25">
      <c r="A18" s="2">
        <v>18080</v>
      </c>
      <c r="B18">
        <v>2276.424</v>
      </c>
    </row>
    <row r="19" spans="1:2" x14ac:dyDescent="0.25">
      <c r="A19" s="2">
        <v>18172</v>
      </c>
      <c r="B19">
        <v>2257.3519999999999</v>
      </c>
    </row>
    <row r="20" spans="1:2" x14ac:dyDescent="0.25">
      <c r="A20" s="2">
        <v>18264</v>
      </c>
      <c r="B20">
        <v>2346.1039999999998</v>
      </c>
    </row>
    <row r="21" spans="1:2" x14ac:dyDescent="0.25">
      <c r="A21" s="2">
        <v>18354</v>
      </c>
      <c r="B21">
        <v>2417.6819999999998</v>
      </c>
    </row>
    <row r="22" spans="1:2" x14ac:dyDescent="0.25">
      <c r="A22" s="2">
        <v>18445</v>
      </c>
      <c r="B22">
        <v>2511.127</v>
      </c>
    </row>
    <row r="23" spans="1:2" x14ac:dyDescent="0.25">
      <c r="A23" s="2">
        <v>18537</v>
      </c>
      <c r="B23">
        <v>2559.2139999999999</v>
      </c>
    </row>
    <row r="24" spans="1:2" x14ac:dyDescent="0.25">
      <c r="A24" s="2">
        <v>18629</v>
      </c>
      <c r="B24">
        <v>2593.9670000000001</v>
      </c>
    </row>
    <row r="25" spans="1:2" x14ac:dyDescent="0.25">
      <c r="A25" s="2">
        <v>18719</v>
      </c>
      <c r="B25">
        <v>2638.8980000000001</v>
      </c>
    </row>
    <row r="26" spans="1:2" x14ac:dyDescent="0.25">
      <c r="A26" s="2">
        <v>18810</v>
      </c>
      <c r="B26">
        <v>2693.259</v>
      </c>
    </row>
    <row r="27" spans="1:2" x14ac:dyDescent="0.25">
      <c r="A27" s="2">
        <v>18902</v>
      </c>
      <c r="B27">
        <v>2699.1559999999999</v>
      </c>
    </row>
    <row r="28" spans="1:2" x14ac:dyDescent="0.25">
      <c r="A28" s="2">
        <v>18994</v>
      </c>
      <c r="B28">
        <v>2727.9540000000002</v>
      </c>
    </row>
    <row r="29" spans="1:2" x14ac:dyDescent="0.25">
      <c r="A29" s="2">
        <v>19085</v>
      </c>
      <c r="B29">
        <v>2733.8</v>
      </c>
    </row>
    <row r="30" spans="1:2" x14ac:dyDescent="0.25">
      <c r="A30" s="2">
        <v>19176</v>
      </c>
      <c r="B30">
        <v>2753.5169999999998</v>
      </c>
    </row>
    <row r="31" spans="1:2" x14ac:dyDescent="0.25">
      <c r="A31" s="2">
        <v>19268</v>
      </c>
      <c r="B31">
        <v>2843.9409999999998</v>
      </c>
    </row>
    <row r="32" spans="1:2" x14ac:dyDescent="0.25">
      <c r="A32" s="2">
        <v>19360</v>
      </c>
      <c r="B32">
        <v>2896.8110000000001</v>
      </c>
    </row>
    <row r="33" spans="1:2" x14ac:dyDescent="0.25">
      <c r="A33" s="2">
        <v>19450</v>
      </c>
      <c r="B33">
        <v>2919.2060000000001</v>
      </c>
    </row>
    <row r="34" spans="1:2" x14ac:dyDescent="0.25">
      <c r="A34" s="2">
        <v>19541</v>
      </c>
      <c r="B34">
        <v>2902.7849999999999</v>
      </c>
    </row>
    <row r="35" spans="1:2" x14ac:dyDescent="0.25">
      <c r="A35" s="2">
        <v>19633</v>
      </c>
      <c r="B35">
        <v>2858.8449999999998</v>
      </c>
    </row>
    <row r="36" spans="1:2" x14ac:dyDescent="0.25">
      <c r="A36" s="2">
        <v>19725</v>
      </c>
      <c r="B36">
        <v>2845.192</v>
      </c>
    </row>
    <row r="37" spans="1:2" x14ac:dyDescent="0.25">
      <c r="A37" s="2">
        <v>19815</v>
      </c>
      <c r="B37">
        <v>2848.3049999999998</v>
      </c>
    </row>
    <row r="38" spans="1:2" x14ac:dyDescent="0.25">
      <c r="A38" s="2">
        <v>19906</v>
      </c>
      <c r="B38">
        <v>2880.482</v>
      </c>
    </row>
    <row r="39" spans="1:2" x14ac:dyDescent="0.25">
      <c r="A39" s="2">
        <v>19998</v>
      </c>
      <c r="B39">
        <v>2936.8519999999999</v>
      </c>
    </row>
    <row r="40" spans="1:2" x14ac:dyDescent="0.25">
      <c r="A40" s="2">
        <v>20090</v>
      </c>
      <c r="B40">
        <v>3020.7460000000001</v>
      </c>
    </row>
    <row r="41" spans="1:2" x14ac:dyDescent="0.25">
      <c r="A41" s="2">
        <v>20180</v>
      </c>
      <c r="B41">
        <v>3069.91</v>
      </c>
    </row>
    <row r="42" spans="1:2" x14ac:dyDescent="0.25">
      <c r="A42" s="2">
        <v>20271</v>
      </c>
      <c r="B42">
        <v>3111.3789999999999</v>
      </c>
    </row>
    <row r="43" spans="1:2" x14ac:dyDescent="0.25">
      <c r="A43" s="2">
        <v>20363</v>
      </c>
      <c r="B43">
        <v>3130.0680000000002</v>
      </c>
    </row>
    <row r="44" spans="1:2" x14ac:dyDescent="0.25">
      <c r="A44" s="2">
        <v>20455</v>
      </c>
      <c r="B44">
        <v>3117.922</v>
      </c>
    </row>
    <row r="45" spans="1:2" x14ac:dyDescent="0.25">
      <c r="A45" s="2">
        <v>20546</v>
      </c>
      <c r="B45">
        <v>3143.694</v>
      </c>
    </row>
    <row r="46" spans="1:2" x14ac:dyDescent="0.25">
      <c r="A46" s="2">
        <v>20637</v>
      </c>
      <c r="B46">
        <v>3140.8739999999998</v>
      </c>
    </row>
    <row r="47" spans="1:2" x14ac:dyDescent="0.25">
      <c r="A47" s="2">
        <v>20729</v>
      </c>
      <c r="B47">
        <v>3192.57</v>
      </c>
    </row>
    <row r="48" spans="1:2" x14ac:dyDescent="0.25">
      <c r="A48" s="2">
        <v>20821</v>
      </c>
      <c r="B48">
        <v>3213.011</v>
      </c>
    </row>
    <row r="49" spans="1:2" x14ac:dyDescent="0.25">
      <c r="A49" s="2">
        <v>20911</v>
      </c>
      <c r="B49">
        <v>3205.97</v>
      </c>
    </row>
    <row r="50" spans="1:2" x14ac:dyDescent="0.25">
      <c r="A50" s="2">
        <v>21002</v>
      </c>
      <c r="B50">
        <v>3237.386</v>
      </c>
    </row>
    <row r="51" spans="1:2" x14ac:dyDescent="0.25">
      <c r="A51" s="2">
        <v>21094</v>
      </c>
      <c r="B51">
        <v>3203.8939999999998</v>
      </c>
    </row>
    <row r="52" spans="1:2" x14ac:dyDescent="0.25">
      <c r="A52" s="2">
        <v>21186</v>
      </c>
      <c r="B52">
        <v>3120.7240000000002</v>
      </c>
    </row>
    <row r="53" spans="1:2" x14ac:dyDescent="0.25">
      <c r="A53" s="2">
        <v>21276</v>
      </c>
      <c r="B53">
        <v>3141.2240000000002</v>
      </c>
    </row>
    <row r="54" spans="1:2" x14ac:dyDescent="0.25">
      <c r="A54" s="2">
        <v>21367</v>
      </c>
      <c r="B54">
        <v>3213.884</v>
      </c>
    </row>
    <row r="55" spans="1:2" x14ac:dyDescent="0.25">
      <c r="A55" s="2">
        <v>21459</v>
      </c>
      <c r="B55">
        <v>3289.0320000000002</v>
      </c>
    </row>
    <row r="56" spans="1:2" x14ac:dyDescent="0.25">
      <c r="A56" s="2">
        <v>21551</v>
      </c>
      <c r="B56">
        <v>3352.1289999999999</v>
      </c>
    </row>
    <row r="57" spans="1:2" x14ac:dyDescent="0.25">
      <c r="A57" s="2">
        <v>21641</v>
      </c>
      <c r="B57">
        <v>3427.6669999999999</v>
      </c>
    </row>
    <row r="58" spans="1:2" x14ac:dyDescent="0.25">
      <c r="A58" s="2">
        <v>21732</v>
      </c>
      <c r="B58">
        <v>3430.0569999999998</v>
      </c>
    </row>
    <row r="59" spans="1:2" x14ac:dyDescent="0.25">
      <c r="A59" s="2">
        <v>21824</v>
      </c>
      <c r="B59">
        <v>3439.8319999999999</v>
      </c>
    </row>
    <row r="60" spans="1:2" x14ac:dyDescent="0.25">
      <c r="A60" s="2">
        <v>21916</v>
      </c>
      <c r="B60">
        <v>3517.181</v>
      </c>
    </row>
    <row r="61" spans="1:2" x14ac:dyDescent="0.25">
      <c r="A61" s="2">
        <v>22007</v>
      </c>
      <c r="B61">
        <v>3498.2460000000001</v>
      </c>
    </row>
    <row r="62" spans="1:2" x14ac:dyDescent="0.25">
      <c r="A62" s="2">
        <v>22098</v>
      </c>
      <c r="B62">
        <v>3515.3850000000002</v>
      </c>
    </row>
    <row r="63" spans="1:2" x14ac:dyDescent="0.25">
      <c r="A63" s="2">
        <v>22190</v>
      </c>
      <c r="B63">
        <v>3470.2779999999998</v>
      </c>
    </row>
    <row r="64" spans="1:2" x14ac:dyDescent="0.25">
      <c r="A64" s="2">
        <v>22282</v>
      </c>
      <c r="B64">
        <v>3493.703</v>
      </c>
    </row>
    <row r="65" spans="1:2" x14ac:dyDescent="0.25">
      <c r="A65" s="2">
        <v>22372</v>
      </c>
      <c r="B65">
        <v>3553.0210000000002</v>
      </c>
    </row>
    <row r="66" spans="1:2" x14ac:dyDescent="0.25">
      <c r="A66" s="2">
        <v>22463</v>
      </c>
      <c r="B66">
        <v>3621.252</v>
      </c>
    </row>
    <row r="67" spans="1:2" x14ac:dyDescent="0.25">
      <c r="A67" s="2">
        <v>22555</v>
      </c>
      <c r="B67">
        <v>3692.2890000000002</v>
      </c>
    </row>
    <row r="68" spans="1:2" x14ac:dyDescent="0.25">
      <c r="A68" s="2">
        <v>22647</v>
      </c>
      <c r="B68">
        <v>3758.1469999999999</v>
      </c>
    </row>
    <row r="69" spans="1:2" x14ac:dyDescent="0.25">
      <c r="A69" s="2">
        <v>22737</v>
      </c>
      <c r="B69">
        <v>3792.1489999999999</v>
      </c>
    </row>
    <row r="70" spans="1:2" x14ac:dyDescent="0.25">
      <c r="A70" s="2">
        <v>22828</v>
      </c>
      <c r="B70">
        <v>3838.7759999999998</v>
      </c>
    </row>
    <row r="71" spans="1:2" x14ac:dyDescent="0.25">
      <c r="A71" s="2">
        <v>22920</v>
      </c>
      <c r="B71">
        <v>3851.4209999999998</v>
      </c>
    </row>
    <row r="72" spans="1:2" x14ac:dyDescent="0.25">
      <c r="A72" s="2">
        <v>23012</v>
      </c>
      <c r="B72">
        <v>3893.482</v>
      </c>
    </row>
    <row r="73" spans="1:2" x14ac:dyDescent="0.25">
      <c r="A73" s="2">
        <v>23102</v>
      </c>
      <c r="B73">
        <v>3937.183</v>
      </c>
    </row>
    <row r="74" spans="1:2" x14ac:dyDescent="0.25">
      <c r="A74" s="2">
        <v>23193</v>
      </c>
      <c r="B74">
        <v>4023.7550000000001</v>
      </c>
    </row>
    <row r="75" spans="1:2" x14ac:dyDescent="0.25">
      <c r="A75" s="2">
        <v>23285</v>
      </c>
      <c r="B75">
        <v>4050.1469999999999</v>
      </c>
    </row>
    <row r="76" spans="1:2" x14ac:dyDescent="0.25">
      <c r="A76" s="2">
        <v>23377</v>
      </c>
      <c r="B76">
        <v>4135.5529999999999</v>
      </c>
    </row>
    <row r="77" spans="1:2" x14ac:dyDescent="0.25">
      <c r="A77" s="2">
        <v>23468</v>
      </c>
      <c r="B77">
        <v>4180.5919999999996</v>
      </c>
    </row>
    <row r="78" spans="1:2" x14ac:dyDescent="0.25">
      <c r="A78" s="2">
        <v>23559</v>
      </c>
      <c r="B78">
        <v>4245.9179999999997</v>
      </c>
    </row>
    <row r="79" spans="1:2" x14ac:dyDescent="0.25">
      <c r="A79" s="2">
        <v>23651</v>
      </c>
      <c r="B79">
        <v>4259.0460000000003</v>
      </c>
    </row>
    <row r="80" spans="1:2" x14ac:dyDescent="0.25">
      <c r="A80" s="2">
        <v>23743</v>
      </c>
      <c r="B80">
        <v>4362.1109999999999</v>
      </c>
    </row>
    <row r="81" spans="1:2" x14ac:dyDescent="0.25">
      <c r="A81" s="2">
        <v>23833</v>
      </c>
      <c r="B81">
        <v>4417.2250000000004</v>
      </c>
    </row>
    <row r="82" spans="1:2" x14ac:dyDescent="0.25">
      <c r="A82" s="2">
        <v>23924</v>
      </c>
      <c r="B82">
        <v>4515.4269999999997</v>
      </c>
    </row>
    <row r="83" spans="1:2" x14ac:dyDescent="0.25">
      <c r="A83" s="2">
        <v>24016</v>
      </c>
      <c r="B83">
        <v>4619.4579999999996</v>
      </c>
    </row>
    <row r="84" spans="1:2" x14ac:dyDescent="0.25">
      <c r="A84" s="2">
        <v>24108</v>
      </c>
      <c r="B84">
        <v>4731.8879999999999</v>
      </c>
    </row>
    <row r="85" spans="1:2" x14ac:dyDescent="0.25">
      <c r="A85" s="2">
        <v>24198</v>
      </c>
      <c r="B85">
        <v>4748.0460000000003</v>
      </c>
    </row>
    <row r="86" spans="1:2" x14ac:dyDescent="0.25">
      <c r="A86" s="2">
        <v>24289</v>
      </c>
      <c r="B86">
        <v>4788.2539999999999</v>
      </c>
    </row>
    <row r="87" spans="1:2" x14ac:dyDescent="0.25">
      <c r="A87" s="2">
        <v>24381</v>
      </c>
      <c r="B87">
        <v>4827.5370000000003</v>
      </c>
    </row>
    <row r="88" spans="1:2" x14ac:dyDescent="0.25">
      <c r="A88" s="2">
        <v>24473</v>
      </c>
      <c r="B88">
        <v>4870.299</v>
      </c>
    </row>
    <row r="89" spans="1:2" x14ac:dyDescent="0.25">
      <c r="A89" s="2">
        <v>24563</v>
      </c>
      <c r="B89">
        <v>4873.2870000000003</v>
      </c>
    </row>
    <row r="90" spans="1:2" x14ac:dyDescent="0.25">
      <c r="A90" s="2">
        <v>24654</v>
      </c>
      <c r="B90">
        <v>4919.3919999999998</v>
      </c>
    </row>
    <row r="91" spans="1:2" x14ac:dyDescent="0.25">
      <c r="A91" s="2">
        <v>24746</v>
      </c>
      <c r="B91">
        <v>4956.4769999999999</v>
      </c>
    </row>
    <row r="92" spans="1:2" x14ac:dyDescent="0.25">
      <c r="A92" s="2">
        <v>24838</v>
      </c>
      <c r="B92">
        <v>5057.5529999999999</v>
      </c>
    </row>
    <row r="93" spans="1:2" x14ac:dyDescent="0.25">
      <c r="A93" s="2">
        <v>24929</v>
      </c>
      <c r="B93">
        <v>5142.0330000000004</v>
      </c>
    </row>
    <row r="94" spans="1:2" x14ac:dyDescent="0.25">
      <c r="A94" s="2">
        <v>25020</v>
      </c>
      <c r="B94">
        <v>5181.8590000000004</v>
      </c>
    </row>
    <row r="95" spans="1:2" x14ac:dyDescent="0.25">
      <c r="A95" s="2">
        <v>25112</v>
      </c>
      <c r="B95">
        <v>5202.2120000000004</v>
      </c>
    </row>
    <row r="96" spans="1:2" x14ac:dyDescent="0.25">
      <c r="A96" s="2">
        <v>25204</v>
      </c>
      <c r="B96">
        <v>5283.5969999999998</v>
      </c>
    </row>
    <row r="97" spans="1:2" x14ac:dyDescent="0.25">
      <c r="A97" s="2">
        <v>25294</v>
      </c>
      <c r="B97">
        <v>5299.625</v>
      </c>
    </row>
    <row r="98" spans="1:2" x14ac:dyDescent="0.25">
      <c r="A98" s="2">
        <v>25385</v>
      </c>
      <c r="B98">
        <v>5334.6</v>
      </c>
    </row>
    <row r="99" spans="1:2" x14ac:dyDescent="0.25">
      <c r="A99" s="2">
        <v>25477</v>
      </c>
      <c r="B99">
        <v>5308.5559999999996</v>
      </c>
    </row>
    <row r="100" spans="1:2" x14ac:dyDescent="0.25">
      <c r="A100" s="2">
        <v>25569</v>
      </c>
      <c r="B100">
        <v>5300.652</v>
      </c>
    </row>
    <row r="101" spans="1:2" x14ac:dyDescent="0.25">
      <c r="A101" s="2">
        <v>25659</v>
      </c>
      <c r="B101">
        <v>5308.1639999999998</v>
      </c>
    </row>
    <row r="102" spans="1:2" x14ac:dyDescent="0.25">
      <c r="A102" s="2">
        <v>25750</v>
      </c>
      <c r="B102">
        <v>5357.0770000000002</v>
      </c>
    </row>
    <row r="103" spans="1:2" x14ac:dyDescent="0.25">
      <c r="A103" s="2">
        <v>25842</v>
      </c>
      <c r="B103">
        <v>5299.6719999999996</v>
      </c>
    </row>
    <row r="104" spans="1:2" x14ac:dyDescent="0.25">
      <c r="A104" s="2">
        <v>25934</v>
      </c>
      <c r="B104">
        <v>5443.6189999999997</v>
      </c>
    </row>
    <row r="105" spans="1:2" x14ac:dyDescent="0.25">
      <c r="A105" s="2">
        <v>26024</v>
      </c>
      <c r="B105">
        <v>5473.0590000000002</v>
      </c>
    </row>
    <row r="106" spans="1:2" x14ac:dyDescent="0.25">
      <c r="A106" s="2">
        <v>26115</v>
      </c>
      <c r="B106">
        <v>5518.0720000000001</v>
      </c>
    </row>
    <row r="107" spans="1:2" x14ac:dyDescent="0.25">
      <c r="A107" s="2">
        <v>26207</v>
      </c>
      <c r="B107">
        <v>5531.0320000000002</v>
      </c>
    </row>
    <row r="108" spans="1:2" x14ac:dyDescent="0.25">
      <c r="A108" s="2">
        <v>26299</v>
      </c>
      <c r="B108">
        <v>5632.6490000000003</v>
      </c>
    </row>
    <row r="109" spans="1:2" x14ac:dyDescent="0.25">
      <c r="A109" s="2">
        <v>26390</v>
      </c>
      <c r="B109">
        <v>5760.47</v>
      </c>
    </row>
    <row r="110" spans="1:2" x14ac:dyDescent="0.25">
      <c r="A110" s="2">
        <v>26481</v>
      </c>
      <c r="B110">
        <v>5814.8540000000003</v>
      </c>
    </row>
    <row r="111" spans="1:2" x14ac:dyDescent="0.25">
      <c r="A111" s="2">
        <v>26573</v>
      </c>
      <c r="B111">
        <v>5912.22</v>
      </c>
    </row>
    <row r="112" spans="1:2" x14ac:dyDescent="0.25">
      <c r="A112" s="2">
        <v>26665</v>
      </c>
      <c r="B112">
        <v>6058.5439999999999</v>
      </c>
    </row>
    <row r="113" spans="1:2" x14ac:dyDescent="0.25">
      <c r="A113" s="2">
        <v>26755</v>
      </c>
      <c r="B113">
        <v>6124.5060000000003</v>
      </c>
    </row>
    <row r="114" spans="1:2" x14ac:dyDescent="0.25">
      <c r="A114" s="2">
        <v>26846</v>
      </c>
      <c r="B114">
        <v>6092.3010000000004</v>
      </c>
    </row>
    <row r="115" spans="1:2" x14ac:dyDescent="0.25">
      <c r="A115" s="2">
        <v>26938</v>
      </c>
      <c r="B115">
        <v>6150.1310000000003</v>
      </c>
    </row>
    <row r="116" spans="1:2" x14ac:dyDescent="0.25">
      <c r="A116" s="2">
        <v>27030</v>
      </c>
      <c r="B116">
        <v>6097.2579999999998</v>
      </c>
    </row>
    <row r="117" spans="1:2" x14ac:dyDescent="0.25">
      <c r="A117" s="2">
        <v>27120</v>
      </c>
      <c r="B117">
        <v>6111.7510000000002</v>
      </c>
    </row>
    <row r="118" spans="1:2" x14ac:dyDescent="0.25">
      <c r="A118" s="2">
        <v>27211</v>
      </c>
      <c r="B118">
        <v>6053.9780000000001</v>
      </c>
    </row>
    <row r="119" spans="1:2" x14ac:dyDescent="0.25">
      <c r="A119" s="2">
        <v>27303</v>
      </c>
      <c r="B119">
        <v>6030.4639999999999</v>
      </c>
    </row>
    <row r="120" spans="1:2" x14ac:dyDescent="0.25">
      <c r="A120" s="2">
        <v>27395</v>
      </c>
      <c r="B120">
        <v>5957.0349999999999</v>
      </c>
    </row>
    <row r="121" spans="1:2" x14ac:dyDescent="0.25">
      <c r="A121" s="2">
        <v>27485</v>
      </c>
      <c r="B121">
        <v>5999.61</v>
      </c>
    </row>
    <row r="122" spans="1:2" x14ac:dyDescent="0.25">
      <c r="A122" s="2">
        <v>27576</v>
      </c>
      <c r="B122">
        <v>6102.326</v>
      </c>
    </row>
    <row r="123" spans="1:2" x14ac:dyDescent="0.25">
      <c r="A123" s="2">
        <v>27668</v>
      </c>
      <c r="B123">
        <v>6184.53</v>
      </c>
    </row>
    <row r="124" spans="1:2" x14ac:dyDescent="0.25">
      <c r="A124" s="2">
        <v>27760</v>
      </c>
      <c r="B124">
        <v>6323.6490000000003</v>
      </c>
    </row>
    <row r="125" spans="1:2" x14ac:dyDescent="0.25">
      <c r="A125" s="2">
        <v>27851</v>
      </c>
      <c r="B125">
        <v>6370.0249999999996</v>
      </c>
    </row>
    <row r="126" spans="1:2" x14ac:dyDescent="0.25">
      <c r="A126" s="2">
        <v>27942</v>
      </c>
      <c r="B126">
        <v>6404.8950000000004</v>
      </c>
    </row>
    <row r="127" spans="1:2" x14ac:dyDescent="0.25">
      <c r="A127" s="2">
        <v>28034</v>
      </c>
      <c r="B127">
        <v>6451.1769999999997</v>
      </c>
    </row>
    <row r="128" spans="1:2" x14ac:dyDescent="0.25">
      <c r="A128" s="2">
        <v>28126</v>
      </c>
      <c r="B128">
        <v>6527.7030000000004</v>
      </c>
    </row>
    <row r="129" spans="1:2" x14ac:dyDescent="0.25">
      <c r="A129" s="2">
        <v>28216</v>
      </c>
      <c r="B129">
        <v>6654.4660000000003</v>
      </c>
    </row>
    <row r="130" spans="1:2" x14ac:dyDescent="0.25">
      <c r="A130" s="2">
        <v>28307</v>
      </c>
      <c r="B130">
        <v>6774.4570000000003</v>
      </c>
    </row>
    <row r="131" spans="1:2" x14ac:dyDescent="0.25">
      <c r="A131" s="2">
        <v>28399</v>
      </c>
      <c r="B131">
        <v>6774.5919999999996</v>
      </c>
    </row>
    <row r="132" spans="1:2" x14ac:dyDescent="0.25">
      <c r="A132" s="2">
        <v>28491</v>
      </c>
      <c r="B132">
        <v>6796.26</v>
      </c>
    </row>
    <row r="133" spans="1:2" x14ac:dyDescent="0.25">
      <c r="A133" s="2">
        <v>28581</v>
      </c>
      <c r="B133">
        <v>7058.92</v>
      </c>
    </row>
    <row r="134" spans="1:2" x14ac:dyDescent="0.25">
      <c r="A134" s="2">
        <v>28672</v>
      </c>
      <c r="B134">
        <v>7129.915</v>
      </c>
    </row>
    <row r="135" spans="1:2" x14ac:dyDescent="0.25">
      <c r="A135" s="2">
        <v>28764</v>
      </c>
      <c r="B135">
        <v>7225.75</v>
      </c>
    </row>
    <row r="136" spans="1:2" x14ac:dyDescent="0.25">
      <c r="A136" s="2">
        <v>28856</v>
      </c>
      <c r="B136">
        <v>7238.7269999999999</v>
      </c>
    </row>
    <row r="137" spans="1:2" x14ac:dyDescent="0.25">
      <c r="A137" s="2">
        <v>28946</v>
      </c>
      <c r="B137">
        <v>7246.4539999999997</v>
      </c>
    </row>
    <row r="138" spans="1:2" x14ac:dyDescent="0.25">
      <c r="A138" s="2">
        <v>29037</v>
      </c>
      <c r="B138">
        <v>7300.2809999999999</v>
      </c>
    </row>
    <row r="139" spans="1:2" x14ac:dyDescent="0.25">
      <c r="A139" s="2">
        <v>29129</v>
      </c>
      <c r="B139">
        <v>7318.5349999999999</v>
      </c>
    </row>
    <row r="140" spans="1:2" x14ac:dyDescent="0.25">
      <c r="A140" s="2">
        <v>29221</v>
      </c>
      <c r="B140">
        <v>7341.5569999999998</v>
      </c>
    </row>
    <row r="141" spans="1:2" x14ac:dyDescent="0.25">
      <c r="A141" s="2">
        <v>29312</v>
      </c>
      <c r="B141">
        <v>7190.2889999999998</v>
      </c>
    </row>
    <row r="142" spans="1:2" x14ac:dyDescent="0.25">
      <c r="A142" s="2">
        <v>29403</v>
      </c>
      <c r="B142">
        <v>7181.7430000000004</v>
      </c>
    </row>
    <row r="143" spans="1:2" x14ac:dyDescent="0.25">
      <c r="A143" s="2">
        <v>29495</v>
      </c>
      <c r="B143">
        <v>7315.6769999999997</v>
      </c>
    </row>
    <row r="144" spans="1:2" x14ac:dyDescent="0.25">
      <c r="A144" s="2">
        <v>29587</v>
      </c>
      <c r="B144">
        <v>7459.0219999999999</v>
      </c>
    </row>
    <row r="145" spans="1:2" x14ac:dyDescent="0.25">
      <c r="A145" s="2">
        <v>29677</v>
      </c>
      <c r="B145">
        <v>7403.7449999999999</v>
      </c>
    </row>
    <row r="146" spans="1:2" x14ac:dyDescent="0.25">
      <c r="A146" s="2">
        <v>29768</v>
      </c>
      <c r="B146">
        <v>7492.4049999999997</v>
      </c>
    </row>
    <row r="147" spans="1:2" x14ac:dyDescent="0.25">
      <c r="A147" s="2">
        <v>29860</v>
      </c>
      <c r="B147">
        <v>7410.768</v>
      </c>
    </row>
    <row r="148" spans="1:2" x14ac:dyDescent="0.25">
      <c r="A148" s="2">
        <v>29952</v>
      </c>
      <c r="B148">
        <v>7295.6310000000003</v>
      </c>
    </row>
    <row r="149" spans="1:2" x14ac:dyDescent="0.25">
      <c r="A149" s="2">
        <v>30042</v>
      </c>
      <c r="B149">
        <v>7328.9120000000003</v>
      </c>
    </row>
    <row r="150" spans="1:2" x14ac:dyDescent="0.25">
      <c r="A150" s="2">
        <v>30133</v>
      </c>
      <c r="B150">
        <v>7300.8959999999997</v>
      </c>
    </row>
    <row r="151" spans="1:2" x14ac:dyDescent="0.25">
      <c r="A151" s="2">
        <v>30225</v>
      </c>
      <c r="B151">
        <v>7303.817</v>
      </c>
    </row>
    <row r="152" spans="1:2" x14ac:dyDescent="0.25">
      <c r="A152" s="2">
        <v>30317</v>
      </c>
      <c r="B152">
        <v>7400.0659999999998</v>
      </c>
    </row>
    <row r="153" spans="1:2" x14ac:dyDescent="0.25">
      <c r="A153" s="2">
        <v>30407</v>
      </c>
      <c r="B153">
        <v>7568.4560000000001</v>
      </c>
    </row>
    <row r="154" spans="1:2" x14ac:dyDescent="0.25">
      <c r="A154" s="2">
        <v>30498</v>
      </c>
      <c r="B154">
        <v>7719.7460000000001</v>
      </c>
    </row>
    <row r="155" spans="1:2" x14ac:dyDescent="0.25">
      <c r="A155" s="2">
        <v>30590</v>
      </c>
      <c r="B155">
        <v>7880.7939999999999</v>
      </c>
    </row>
    <row r="156" spans="1:2" x14ac:dyDescent="0.25">
      <c r="A156" s="2">
        <v>30682</v>
      </c>
      <c r="B156">
        <v>8034.8469999999998</v>
      </c>
    </row>
    <row r="157" spans="1:2" x14ac:dyDescent="0.25">
      <c r="A157" s="2">
        <v>30773</v>
      </c>
      <c r="B157">
        <v>8173.67</v>
      </c>
    </row>
    <row r="158" spans="1:2" x14ac:dyDescent="0.25">
      <c r="A158" s="2">
        <v>30864</v>
      </c>
      <c r="B158">
        <v>8252.4650000000001</v>
      </c>
    </row>
    <row r="159" spans="1:2" x14ac:dyDescent="0.25">
      <c r="A159" s="2">
        <v>30956</v>
      </c>
      <c r="B159">
        <v>8320.1990000000005</v>
      </c>
    </row>
    <row r="160" spans="1:2" x14ac:dyDescent="0.25">
      <c r="A160" s="2">
        <v>31048</v>
      </c>
      <c r="B160">
        <v>8400.82</v>
      </c>
    </row>
    <row r="161" spans="1:2" x14ac:dyDescent="0.25">
      <c r="A161" s="2">
        <v>31138</v>
      </c>
      <c r="B161">
        <v>8474.7870000000003</v>
      </c>
    </row>
    <row r="162" spans="1:2" x14ac:dyDescent="0.25">
      <c r="A162" s="2">
        <v>31229</v>
      </c>
      <c r="B162">
        <v>8604.2199999999993</v>
      </c>
    </row>
    <row r="163" spans="1:2" x14ac:dyDescent="0.25">
      <c r="A163" s="2">
        <v>31321</v>
      </c>
      <c r="B163">
        <v>8668.1880000000001</v>
      </c>
    </row>
    <row r="164" spans="1:2" x14ac:dyDescent="0.25">
      <c r="A164" s="2">
        <v>31413</v>
      </c>
      <c r="B164">
        <v>8749.1270000000004</v>
      </c>
    </row>
    <row r="165" spans="1:2" x14ac:dyDescent="0.25">
      <c r="A165" s="2">
        <v>31503</v>
      </c>
      <c r="B165">
        <v>8788.5239999999994</v>
      </c>
    </row>
    <row r="166" spans="1:2" x14ac:dyDescent="0.25">
      <c r="A166" s="2">
        <v>31594</v>
      </c>
      <c r="B166">
        <v>8872.6010000000006</v>
      </c>
    </row>
    <row r="167" spans="1:2" x14ac:dyDescent="0.25">
      <c r="A167" s="2">
        <v>31686</v>
      </c>
      <c r="B167">
        <v>8920.1929999999993</v>
      </c>
    </row>
    <row r="168" spans="1:2" x14ac:dyDescent="0.25">
      <c r="A168" s="2">
        <v>31778</v>
      </c>
      <c r="B168">
        <v>8986.3670000000002</v>
      </c>
    </row>
    <row r="169" spans="1:2" x14ac:dyDescent="0.25">
      <c r="A169" s="2">
        <v>31868</v>
      </c>
      <c r="B169">
        <v>9083.2559999999994</v>
      </c>
    </row>
    <row r="170" spans="1:2" x14ac:dyDescent="0.25">
      <c r="A170" s="2">
        <v>31959</v>
      </c>
      <c r="B170">
        <v>9162.0239999999994</v>
      </c>
    </row>
    <row r="171" spans="1:2" x14ac:dyDescent="0.25">
      <c r="A171" s="2">
        <v>32051</v>
      </c>
      <c r="B171">
        <v>9319.3320000000003</v>
      </c>
    </row>
    <row r="172" spans="1:2" x14ac:dyDescent="0.25">
      <c r="A172" s="2">
        <v>32143</v>
      </c>
      <c r="B172">
        <v>9367.5020000000004</v>
      </c>
    </row>
    <row r="173" spans="1:2" x14ac:dyDescent="0.25">
      <c r="A173" s="2">
        <v>32234</v>
      </c>
      <c r="B173">
        <v>9490.5939999999991</v>
      </c>
    </row>
    <row r="174" spans="1:2" x14ac:dyDescent="0.25">
      <c r="A174" s="2">
        <v>32325</v>
      </c>
      <c r="B174">
        <v>9546.2060000000001</v>
      </c>
    </row>
    <row r="175" spans="1:2" x14ac:dyDescent="0.25">
      <c r="A175" s="2">
        <v>32417</v>
      </c>
      <c r="B175">
        <v>9673.4050000000007</v>
      </c>
    </row>
    <row r="176" spans="1:2" x14ac:dyDescent="0.25">
      <c r="A176" s="2">
        <v>32509</v>
      </c>
      <c r="B176">
        <v>9771.7250000000004</v>
      </c>
    </row>
    <row r="177" spans="1:2" x14ac:dyDescent="0.25">
      <c r="A177" s="2">
        <v>32599</v>
      </c>
      <c r="B177">
        <v>9846.2929999999997</v>
      </c>
    </row>
    <row r="178" spans="1:2" x14ac:dyDescent="0.25">
      <c r="A178" s="2">
        <v>32690</v>
      </c>
      <c r="B178">
        <v>9919.2279999999992</v>
      </c>
    </row>
    <row r="179" spans="1:2" x14ac:dyDescent="0.25">
      <c r="A179" s="2">
        <v>32782</v>
      </c>
      <c r="B179">
        <v>9938.7669999999998</v>
      </c>
    </row>
    <row r="180" spans="1:2" x14ac:dyDescent="0.25">
      <c r="A180" s="2">
        <v>32874</v>
      </c>
      <c r="B180">
        <v>10047.386</v>
      </c>
    </row>
    <row r="181" spans="1:2" x14ac:dyDescent="0.25">
      <c r="A181" s="2">
        <v>32964</v>
      </c>
      <c r="B181">
        <v>10083.855</v>
      </c>
    </row>
    <row r="182" spans="1:2" x14ac:dyDescent="0.25">
      <c r="A182" s="2">
        <v>33055</v>
      </c>
      <c r="B182">
        <v>10090.569</v>
      </c>
    </row>
    <row r="183" spans="1:2" x14ac:dyDescent="0.25">
      <c r="A183" s="2">
        <v>33147</v>
      </c>
      <c r="B183">
        <v>9998.7039999999997</v>
      </c>
    </row>
    <row r="184" spans="1:2" x14ac:dyDescent="0.25">
      <c r="A184" s="2">
        <v>33239</v>
      </c>
      <c r="B184">
        <v>9951.9159999999993</v>
      </c>
    </row>
    <row r="185" spans="1:2" x14ac:dyDescent="0.25">
      <c r="A185" s="2">
        <v>33329</v>
      </c>
      <c r="B185">
        <v>10029.51</v>
      </c>
    </row>
    <row r="186" spans="1:2" x14ac:dyDescent="0.25">
      <c r="A186" s="2">
        <v>33420</v>
      </c>
      <c r="B186">
        <v>10080.195</v>
      </c>
    </row>
    <row r="187" spans="1:2" x14ac:dyDescent="0.25">
      <c r="A187" s="2">
        <v>33512</v>
      </c>
      <c r="B187">
        <v>10115.329</v>
      </c>
    </row>
    <row r="188" spans="1:2" x14ac:dyDescent="0.25">
      <c r="A188" s="2">
        <v>33604</v>
      </c>
      <c r="B188">
        <v>10236.434999999999</v>
      </c>
    </row>
    <row r="189" spans="1:2" x14ac:dyDescent="0.25">
      <c r="A189" s="2">
        <v>33695</v>
      </c>
      <c r="B189">
        <v>10347.429</v>
      </c>
    </row>
    <row r="190" spans="1:2" x14ac:dyDescent="0.25">
      <c r="A190" s="2">
        <v>33786</v>
      </c>
      <c r="B190">
        <v>10449.673000000001</v>
      </c>
    </row>
    <row r="191" spans="1:2" x14ac:dyDescent="0.25">
      <c r="A191" s="2">
        <v>33878</v>
      </c>
      <c r="B191">
        <v>10558.647999999999</v>
      </c>
    </row>
    <row r="192" spans="1:2" x14ac:dyDescent="0.25">
      <c r="A192" s="2">
        <v>33970</v>
      </c>
      <c r="B192">
        <v>10576.275</v>
      </c>
    </row>
    <row r="193" spans="1:2" x14ac:dyDescent="0.25">
      <c r="A193" s="2">
        <v>34060</v>
      </c>
      <c r="B193">
        <v>10637.847</v>
      </c>
    </row>
    <row r="194" spans="1:2" x14ac:dyDescent="0.25">
      <c r="A194" s="2">
        <v>34151</v>
      </c>
      <c r="B194">
        <v>10688.606</v>
      </c>
    </row>
    <row r="195" spans="1:2" x14ac:dyDescent="0.25">
      <c r="A195" s="2">
        <v>34243</v>
      </c>
      <c r="B195">
        <v>10833.986999999999</v>
      </c>
    </row>
    <row r="196" spans="1:2" x14ac:dyDescent="0.25">
      <c r="A196" s="2">
        <v>34335</v>
      </c>
      <c r="B196">
        <v>10939.116</v>
      </c>
    </row>
    <row r="197" spans="1:2" x14ac:dyDescent="0.25">
      <c r="A197" s="2">
        <v>34425</v>
      </c>
      <c r="B197">
        <v>11087.361000000001</v>
      </c>
    </row>
    <row r="198" spans="1:2" x14ac:dyDescent="0.25">
      <c r="A198" s="2">
        <v>34516</v>
      </c>
      <c r="B198">
        <v>11152.175999999999</v>
      </c>
    </row>
    <row r="199" spans="1:2" x14ac:dyDescent="0.25">
      <c r="A199" s="2">
        <v>34608</v>
      </c>
      <c r="B199">
        <v>11279.932000000001</v>
      </c>
    </row>
    <row r="200" spans="1:2" x14ac:dyDescent="0.25">
      <c r="A200" s="2">
        <v>34700</v>
      </c>
      <c r="B200">
        <v>11319.950999999999</v>
      </c>
    </row>
    <row r="201" spans="1:2" x14ac:dyDescent="0.25">
      <c r="A201" s="2">
        <v>34790</v>
      </c>
      <c r="B201">
        <v>11353.721</v>
      </c>
    </row>
    <row r="202" spans="1:2" x14ac:dyDescent="0.25">
      <c r="A202" s="2">
        <v>34881</v>
      </c>
      <c r="B202">
        <v>11450.31</v>
      </c>
    </row>
    <row r="203" spans="1:2" x14ac:dyDescent="0.25">
      <c r="A203" s="2">
        <v>34973</v>
      </c>
      <c r="B203">
        <v>11528.066999999999</v>
      </c>
    </row>
    <row r="204" spans="1:2" x14ac:dyDescent="0.25">
      <c r="A204" s="2">
        <v>35065</v>
      </c>
      <c r="B204">
        <v>11614.418</v>
      </c>
    </row>
    <row r="205" spans="1:2" x14ac:dyDescent="0.25">
      <c r="A205" s="2">
        <v>35156</v>
      </c>
      <c r="B205">
        <v>11808.14</v>
      </c>
    </row>
    <row r="206" spans="1:2" x14ac:dyDescent="0.25">
      <c r="A206" s="2">
        <v>35247</v>
      </c>
      <c r="B206">
        <v>11914.063</v>
      </c>
    </row>
    <row r="207" spans="1:2" x14ac:dyDescent="0.25">
      <c r="A207" s="2">
        <v>35339</v>
      </c>
      <c r="B207">
        <v>12037.775</v>
      </c>
    </row>
    <row r="208" spans="1:2" x14ac:dyDescent="0.25">
      <c r="A208" s="2">
        <v>35431</v>
      </c>
      <c r="B208">
        <v>12115.472</v>
      </c>
    </row>
    <row r="209" spans="1:2" x14ac:dyDescent="0.25">
      <c r="A209" s="2">
        <v>35521</v>
      </c>
      <c r="B209">
        <v>12317.221</v>
      </c>
    </row>
    <row r="210" spans="1:2" x14ac:dyDescent="0.25">
      <c r="A210" s="2">
        <v>35612</v>
      </c>
      <c r="B210">
        <v>12471.01</v>
      </c>
    </row>
    <row r="211" spans="1:2" x14ac:dyDescent="0.25">
      <c r="A211" s="2">
        <v>35704</v>
      </c>
      <c r="B211">
        <v>12577.495000000001</v>
      </c>
    </row>
    <row r="212" spans="1:2" x14ac:dyDescent="0.25">
      <c r="A212" s="2">
        <v>35796</v>
      </c>
      <c r="B212">
        <v>12703.742</v>
      </c>
    </row>
    <row r="213" spans="1:2" x14ac:dyDescent="0.25">
      <c r="A213" s="2">
        <v>35886</v>
      </c>
      <c r="B213">
        <v>12821.339</v>
      </c>
    </row>
    <row r="214" spans="1:2" x14ac:dyDescent="0.25">
      <c r="A214" s="2">
        <v>35977</v>
      </c>
      <c r="B214">
        <v>12982.752</v>
      </c>
    </row>
    <row r="215" spans="1:2" x14ac:dyDescent="0.25">
      <c r="A215" s="2">
        <v>36069</v>
      </c>
      <c r="B215">
        <v>13191.67</v>
      </c>
    </row>
    <row r="216" spans="1:2" x14ac:dyDescent="0.25">
      <c r="A216" s="2">
        <v>36161</v>
      </c>
      <c r="B216">
        <v>13315.597</v>
      </c>
    </row>
    <row r="217" spans="1:2" x14ac:dyDescent="0.25">
      <c r="A217" s="2">
        <v>36251</v>
      </c>
      <c r="B217">
        <v>13426.748</v>
      </c>
    </row>
    <row r="218" spans="1:2" x14ac:dyDescent="0.25">
      <c r="A218" s="2">
        <v>36342</v>
      </c>
      <c r="B218">
        <v>13604.771000000001</v>
      </c>
    </row>
    <row r="219" spans="1:2" x14ac:dyDescent="0.25">
      <c r="A219" s="2">
        <v>36434</v>
      </c>
      <c r="B219">
        <v>13827.98</v>
      </c>
    </row>
    <row r="220" spans="1:2" x14ac:dyDescent="0.25">
      <c r="A220" s="2">
        <v>36526</v>
      </c>
      <c r="B220">
        <v>13878.147000000001</v>
      </c>
    </row>
    <row r="221" spans="1:2" x14ac:dyDescent="0.25">
      <c r="A221" s="2">
        <v>36617</v>
      </c>
      <c r="B221">
        <v>14130.907999999999</v>
      </c>
    </row>
    <row r="222" spans="1:2" x14ac:dyDescent="0.25">
      <c r="A222" s="2">
        <v>36708</v>
      </c>
      <c r="B222">
        <v>14145.312</v>
      </c>
    </row>
    <row r="223" spans="1:2" x14ac:dyDescent="0.25">
      <c r="A223" s="2">
        <v>36800</v>
      </c>
      <c r="B223">
        <v>14229.764999999999</v>
      </c>
    </row>
    <row r="224" spans="1:2" x14ac:dyDescent="0.25">
      <c r="A224" s="2">
        <v>36892</v>
      </c>
      <c r="B224">
        <v>14183.12</v>
      </c>
    </row>
    <row r="225" spans="1:2" x14ac:dyDescent="0.25">
      <c r="A225" s="2">
        <v>36982</v>
      </c>
      <c r="B225">
        <v>14271.694</v>
      </c>
    </row>
    <row r="226" spans="1:2" x14ac:dyDescent="0.25">
      <c r="A226" s="2">
        <v>37073</v>
      </c>
      <c r="B226">
        <v>14214.516</v>
      </c>
    </row>
    <row r="227" spans="1:2" x14ac:dyDescent="0.25">
      <c r="A227" s="2">
        <v>37165</v>
      </c>
      <c r="B227">
        <v>14253.574000000001</v>
      </c>
    </row>
    <row r="228" spans="1:2" x14ac:dyDescent="0.25">
      <c r="A228" s="2">
        <v>37257</v>
      </c>
      <c r="B228">
        <v>14372.785</v>
      </c>
    </row>
    <row r="229" spans="1:2" x14ac:dyDescent="0.25">
      <c r="A229" s="2">
        <v>37347</v>
      </c>
      <c r="B229">
        <v>14460.848</v>
      </c>
    </row>
    <row r="230" spans="1:2" x14ac:dyDescent="0.25">
      <c r="A230" s="2">
        <v>37438</v>
      </c>
      <c r="B230">
        <v>14519.633</v>
      </c>
    </row>
    <row r="231" spans="1:2" x14ac:dyDescent="0.25">
      <c r="A231" s="2">
        <v>37530</v>
      </c>
      <c r="B231">
        <v>14537.58</v>
      </c>
    </row>
    <row r="232" spans="1:2" x14ac:dyDescent="0.25">
      <c r="A232" s="2">
        <v>37622</v>
      </c>
      <c r="B232">
        <v>14614.141</v>
      </c>
    </row>
    <row r="233" spans="1:2" x14ac:dyDescent="0.25">
      <c r="A233" s="2">
        <v>37712</v>
      </c>
      <c r="B233">
        <v>14743.566999999999</v>
      </c>
    </row>
    <row r="234" spans="1:2" x14ac:dyDescent="0.25">
      <c r="A234" s="2">
        <v>37803</v>
      </c>
      <c r="B234">
        <v>14988.781999999999</v>
      </c>
    </row>
    <row r="235" spans="1:2" x14ac:dyDescent="0.25">
      <c r="A235" s="2">
        <v>37895</v>
      </c>
      <c r="B235">
        <v>15162.76</v>
      </c>
    </row>
    <row r="236" spans="1:2" x14ac:dyDescent="0.25">
      <c r="A236" s="2">
        <v>37987</v>
      </c>
      <c r="B236">
        <v>15248.68</v>
      </c>
    </row>
    <row r="237" spans="1:2" x14ac:dyDescent="0.25">
      <c r="A237" s="2">
        <v>38078</v>
      </c>
      <c r="B237">
        <v>15366.85</v>
      </c>
    </row>
    <row r="238" spans="1:2" x14ac:dyDescent="0.25">
      <c r="A238" s="2">
        <v>38169</v>
      </c>
      <c r="B238">
        <v>15512.619000000001</v>
      </c>
    </row>
    <row r="239" spans="1:2" x14ac:dyDescent="0.25">
      <c r="A239" s="2">
        <v>38261</v>
      </c>
      <c r="B239">
        <v>15670.88</v>
      </c>
    </row>
    <row r="240" spans="1:2" x14ac:dyDescent="0.25">
      <c r="A240" s="2">
        <v>38353</v>
      </c>
      <c r="B240">
        <v>15844.727000000001</v>
      </c>
    </row>
    <row r="241" spans="1:2" x14ac:dyDescent="0.25">
      <c r="A241" s="2">
        <v>38443</v>
      </c>
      <c r="B241">
        <v>15922.781999999999</v>
      </c>
    </row>
    <row r="242" spans="1:2" x14ac:dyDescent="0.25">
      <c r="A242" s="2">
        <v>38534</v>
      </c>
      <c r="B242">
        <v>16047.587</v>
      </c>
    </row>
    <row r="243" spans="1:2" x14ac:dyDescent="0.25">
      <c r="A243" s="2">
        <v>38626</v>
      </c>
      <c r="B243">
        <v>16136.734</v>
      </c>
    </row>
    <row r="244" spans="1:2" x14ac:dyDescent="0.25">
      <c r="A244" s="2">
        <v>38718</v>
      </c>
      <c r="B244">
        <v>16353.834999999999</v>
      </c>
    </row>
    <row r="245" spans="1:2" x14ac:dyDescent="0.25">
      <c r="A245" s="2">
        <v>38808</v>
      </c>
      <c r="B245">
        <v>16396.151000000002</v>
      </c>
    </row>
    <row r="246" spans="1:2" x14ac:dyDescent="0.25">
      <c r="A246" s="2">
        <v>38899</v>
      </c>
      <c r="B246">
        <v>16420.738000000001</v>
      </c>
    </row>
    <row r="247" spans="1:2" x14ac:dyDescent="0.25">
      <c r="A247" s="2">
        <v>38991</v>
      </c>
      <c r="B247">
        <v>16561.866000000002</v>
      </c>
    </row>
    <row r="248" spans="1:2" x14ac:dyDescent="0.25">
      <c r="A248" s="2">
        <v>39083</v>
      </c>
      <c r="B248">
        <v>16611.689999999999</v>
      </c>
    </row>
    <row r="249" spans="1:2" x14ac:dyDescent="0.25">
      <c r="A249" s="2">
        <v>39173</v>
      </c>
      <c r="B249">
        <v>16713.313999999998</v>
      </c>
    </row>
    <row r="250" spans="1:2" x14ac:dyDescent="0.25">
      <c r="A250" s="2">
        <v>39264</v>
      </c>
      <c r="B250">
        <v>16809.587</v>
      </c>
    </row>
    <row r="251" spans="1:2" x14ac:dyDescent="0.25">
      <c r="A251" s="2">
        <v>39356</v>
      </c>
      <c r="B251">
        <v>16915.190999999999</v>
      </c>
    </row>
    <row r="252" spans="1:2" x14ac:dyDescent="0.25">
      <c r="A252" s="2">
        <v>39448</v>
      </c>
      <c r="B252">
        <v>16843.003000000001</v>
      </c>
    </row>
    <row r="253" spans="1:2" x14ac:dyDescent="0.25">
      <c r="A253" s="2">
        <v>39539</v>
      </c>
      <c r="B253">
        <v>16943.291000000001</v>
      </c>
    </row>
    <row r="254" spans="1:2" x14ac:dyDescent="0.25">
      <c r="A254" s="2">
        <v>39630</v>
      </c>
      <c r="B254">
        <v>16854.294999999998</v>
      </c>
    </row>
    <row r="255" spans="1:2" x14ac:dyDescent="0.25">
      <c r="A255" s="2">
        <v>39722</v>
      </c>
      <c r="B255">
        <v>16485.349999999999</v>
      </c>
    </row>
    <row r="256" spans="1:2" x14ac:dyDescent="0.25">
      <c r="A256" s="2">
        <v>39814</v>
      </c>
      <c r="B256">
        <v>16298.262000000001</v>
      </c>
    </row>
    <row r="257" spans="1:2" x14ac:dyDescent="0.25">
      <c r="A257" s="2">
        <v>39904</v>
      </c>
      <c r="B257">
        <v>16269.145</v>
      </c>
    </row>
    <row r="258" spans="1:2" x14ac:dyDescent="0.25">
      <c r="A258" s="2">
        <v>39995</v>
      </c>
      <c r="B258">
        <v>16326.281000000001</v>
      </c>
    </row>
    <row r="259" spans="1:2" x14ac:dyDescent="0.25">
      <c r="A259" s="2">
        <v>40087</v>
      </c>
      <c r="B259">
        <v>16502.754000000001</v>
      </c>
    </row>
    <row r="260" spans="1:2" x14ac:dyDescent="0.25">
      <c r="A260" s="2">
        <v>40179</v>
      </c>
      <c r="B260">
        <v>16582.71</v>
      </c>
    </row>
    <row r="261" spans="1:2" x14ac:dyDescent="0.25">
      <c r="A261" s="2">
        <v>40269</v>
      </c>
      <c r="B261">
        <v>16743.162</v>
      </c>
    </row>
    <row r="262" spans="1:2" x14ac:dyDescent="0.25">
      <c r="A262" s="2">
        <v>40360</v>
      </c>
      <c r="B262">
        <v>16872.266</v>
      </c>
    </row>
    <row r="263" spans="1:2" x14ac:dyDescent="0.25">
      <c r="A263" s="2">
        <v>40452</v>
      </c>
      <c r="B263">
        <v>16960.864000000001</v>
      </c>
    </row>
    <row r="264" spans="1:2" x14ac:dyDescent="0.25">
      <c r="A264" s="2">
        <v>40544</v>
      </c>
      <c r="B264">
        <v>16920.632000000001</v>
      </c>
    </row>
    <row r="265" spans="1:2" x14ac:dyDescent="0.25">
      <c r="A265" s="2">
        <v>40634</v>
      </c>
      <c r="B265">
        <v>17035.114000000001</v>
      </c>
    </row>
    <row r="266" spans="1:2" x14ac:dyDescent="0.25">
      <c r="A266" s="2">
        <v>40725</v>
      </c>
      <c r="B266">
        <v>17031.312999999998</v>
      </c>
    </row>
    <row r="267" spans="1:2" x14ac:dyDescent="0.25">
      <c r="A267" s="2">
        <v>40817</v>
      </c>
      <c r="B267">
        <v>17222.582999999999</v>
      </c>
    </row>
    <row r="268" spans="1:2" x14ac:dyDescent="0.25">
      <c r="A268" s="2">
        <v>40909</v>
      </c>
      <c r="B268">
        <v>17367.009999999998</v>
      </c>
    </row>
    <row r="269" spans="1:2" x14ac:dyDescent="0.25">
      <c r="A269" s="2">
        <v>41000</v>
      </c>
      <c r="B269">
        <v>17444.525000000001</v>
      </c>
    </row>
    <row r="270" spans="1:2" x14ac:dyDescent="0.25">
      <c r="A270" s="2">
        <v>41091</v>
      </c>
      <c r="B270">
        <v>17469.650000000001</v>
      </c>
    </row>
    <row r="271" spans="1:2" x14ac:dyDescent="0.25">
      <c r="A271" s="2">
        <v>41183</v>
      </c>
      <c r="B271">
        <v>17489.851999999999</v>
      </c>
    </row>
    <row r="272" spans="1:2" x14ac:dyDescent="0.25">
      <c r="A272" s="2">
        <v>41275</v>
      </c>
      <c r="B272">
        <v>17662.400000000001</v>
      </c>
    </row>
    <row r="273" spans="1:2" x14ac:dyDescent="0.25">
      <c r="A273" s="2">
        <v>41365</v>
      </c>
      <c r="B273">
        <v>17709.670999999998</v>
      </c>
    </row>
    <row r="274" spans="1:2" x14ac:dyDescent="0.25">
      <c r="A274" s="2">
        <v>41456</v>
      </c>
      <c r="B274">
        <v>17860.45</v>
      </c>
    </row>
    <row r="275" spans="1:2" x14ac:dyDescent="0.25">
      <c r="A275" s="2">
        <v>41548</v>
      </c>
      <c r="B275">
        <v>18016.147000000001</v>
      </c>
    </row>
    <row r="276" spans="1:2" x14ac:dyDescent="0.25">
      <c r="A276" s="2">
        <v>41640</v>
      </c>
      <c r="B276">
        <v>17953.973999999998</v>
      </c>
    </row>
    <row r="277" spans="1:2" x14ac:dyDescent="0.25">
      <c r="A277" s="2">
        <v>41730</v>
      </c>
      <c r="B277">
        <v>18185.911</v>
      </c>
    </row>
    <row r="278" spans="1:2" x14ac:dyDescent="0.25">
      <c r="A278" s="2">
        <v>41821</v>
      </c>
      <c r="B278">
        <v>18406.940999999999</v>
      </c>
    </row>
    <row r="279" spans="1:2" x14ac:dyDescent="0.25">
      <c r="A279" s="2">
        <v>41913</v>
      </c>
      <c r="B279">
        <v>18500.030999999999</v>
      </c>
    </row>
    <row r="280" spans="1:2" x14ac:dyDescent="0.25">
      <c r="A280" s="2">
        <v>42005</v>
      </c>
      <c r="B280">
        <v>18666.620999999999</v>
      </c>
    </row>
    <row r="281" spans="1:2" x14ac:dyDescent="0.25">
      <c r="A281" s="2">
        <v>42095</v>
      </c>
      <c r="B281">
        <v>18782.242999999999</v>
      </c>
    </row>
    <row r="282" spans="1:2" x14ac:dyDescent="0.25">
      <c r="A282" s="2">
        <v>42186</v>
      </c>
      <c r="B282">
        <v>18857.418000000001</v>
      </c>
    </row>
    <row r="283" spans="1:2" x14ac:dyDescent="0.25">
      <c r="A283" s="2">
        <v>42278</v>
      </c>
      <c r="B283">
        <v>18892.205999999998</v>
      </c>
    </row>
    <row r="284" spans="1:2" x14ac:dyDescent="0.25">
      <c r="A284" s="2">
        <v>42370</v>
      </c>
      <c r="B284">
        <v>19001.689999999999</v>
      </c>
    </row>
    <row r="285" spans="1:2" x14ac:dyDescent="0.25">
      <c r="A285" s="2">
        <v>42461</v>
      </c>
      <c r="B285">
        <v>19062.708999999999</v>
      </c>
    </row>
    <row r="286" spans="1:2" x14ac:dyDescent="0.25">
      <c r="A286" s="2">
        <v>42552</v>
      </c>
      <c r="B286">
        <v>19197.937999999998</v>
      </c>
    </row>
    <row r="287" spans="1:2" x14ac:dyDescent="0.25">
      <c r="A287" s="2">
        <v>42644</v>
      </c>
      <c r="B287">
        <v>19304.351999999999</v>
      </c>
    </row>
    <row r="288" spans="1:2" x14ac:dyDescent="0.25">
      <c r="A288" s="2">
        <v>42736</v>
      </c>
      <c r="B288">
        <v>19398.343000000001</v>
      </c>
    </row>
    <row r="289" spans="1:2" x14ac:dyDescent="0.25">
      <c r="A289" s="2">
        <v>42826</v>
      </c>
      <c r="B289">
        <v>19506.949000000001</v>
      </c>
    </row>
    <row r="290" spans="1:2" x14ac:dyDescent="0.25">
      <c r="A290" s="2">
        <v>42917</v>
      </c>
      <c r="B290">
        <v>19660.766</v>
      </c>
    </row>
    <row r="291" spans="1:2" x14ac:dyDescent="0.25">
      <c r="A291" s="2">
        <v>43009</v>
      </c>
      <c r="B291">
        <v>19882.351999999999</v>
      </c>
    </row>
    <row r="292" spans="1:2" x14ac:dyDescent="0.25">
      <c r="A292" s="2">
        <v>43101</v>
      </c>
      <c r="B292">
        <v>20044.077000000001</v>
      </c>
    </row>
    <row r="293" spans="1:2" x14ac:dyDescent="0.25">
      <c r="A293" s="2">
        <v>43191</v>
      </c>
      <c r="B293">
        <v>20150.475999999999</v>
      </c>
    </row>
    <row r="294" spans="1:2" x14ac:dyDescent="0.25">
      <c r="A294" s="2">
        <v>43282</v>
      </c>
      <c r="B294">
        <v>20276.153999999999</v>
      </c>
    </row>
    <row r="295" spans="1:2" x14ac:dyDescent="0.25">
      <c r="A295" s="2">
        <v>43374</v>
      </c>
      <c r="B295">
        <v>20304.874</v>
      </c>
    </row>
    <row r="296" spans="1:2" x14ac:dyDescent="0.25">
      <c r="A296" s="2">
        <v>43466</v>
      </c>
      <c r="B296">
        <v>20431.641</v>
      </c>
    </row>
    <row r="297" spans="1:2" x14ac:dyDescent="0.25">
      <c r="A297" s="2">
        <v>43556</v>
      </c>
      <c r="B297">
        <v>20602.275000000001</v>
      </c>
    </row>
    <row r="298" spans="1:2" x14ac:dyDescent="0.25">
      <c r="A298" s="2">
        <v>43647</v>
      </c>
      <c r="B298">
        <v>20843.322</v>
      </c>
    </row>
    <row r="299" spans="1:2" x14ac:dyDescent="0.25">
      <c r="A299" s="2">
        <v>43739</v>
      </c>
      <c r="B299">
        <v>20985.448</v>
      </c>
    </row>
    <row r="300" spans="1:2" x14ac:dyDescent="0.25">
      <c r="A300" s="2">
        <v>43831</v>
      </c>
      <c r="B300">
        <v>20693.238000000001</v>
      </c>
    </row>
    <row r="301" spans="1:2" x14ac:dyDescent="0.25">
      <c r="A301" s="2">
        <v>43922</v>
      </c>
      <c r="B301">
        <v>19056.616999999998</v>
      </c>
    </row>
    <row r="302" spans="1:2" x14ac:dyDescent="0.25">
      <c r="A302" s="2">
        <v>44013</v>
      </c>
      <c r="B302">
        <v>20548.793000000001</v>
      </c>
    </row>
    <row r="303" spans="1:2" x14ac:dyDescent="0.25">
      <c r="A303" s="2">
        <v>44105</v>
      </c>
      <c r="B303">
        <v>20771.690999999999</v>
      </c>
    </row>
    <row r="304" spans="1:2" x14ac:dyDescent="0.25">
      <c r="A304" s="2">
        <v>44197</v>
      </c>
      <c r="B304">
        <v>21058.379000000001</v>
      </c>
    </row>
    <row r="305" spans="1:2" x14ac:dyDescent="0.25">
      <c r="A305" s="2">
        <v>44287</v>
      </c>
      <c r="B305">
        <v>21389.005000000001</v>
      </c>
    </row>
    <row r="306" spans="1:2" x14ac:dyDescent="0.25">
      <c r="A306" s="2">
        <v>44378</v>
      </c>
      <c r="B306">
        <v>21571.420999999998</v>
      </c>
    </row>
    <row r="307" spans="1:2" x14ac:dyDescent="0.25">
      <c r="A307" s="2">
        <v>44470</v>
      </c>
      <c r="B307">
        <v>21960.387999999999</v>
      </c>
    </row>
    <row r="308" spans="1:2" x14ac:dyDescent="0.25">
      <c r="A308" s="2">
        <v>44562</v>
      </c>
      <c r="B308">
        <v>21903.85</v>
      </c>
    </row>
    <row r="309" spans="1:2" x14ac:dyDescent="0.25">
      <c r="A309" s="2">
        <v>44652</v>
      </c>
      <c r="B309">
        <v>21919.222000000002</v>
      </c>
    </row>
    <row r="310" spans="1:2" x14ac:dyDescent="0.25">
      <c r="A310" s="2">
        <v>44743</v>
      </c>
      <c r="B310">
        <v>22066.784</v>
      </c>
    </row>
    <row r="311" spans="1:2" x14ac:dyDescent="0.25">
      <c r="A311" s="2">
        <v>44835</v>
      </c>
      <c r="B311">
        <v>22249.458999999999</v>
      </c>
    </row>
    <row r="312" spans="1:2" x14ac:dyDescent="0.25">
      <c r="A312" s="2">
        <v>44927</v>
      </c>
      <c r="B312">
        <v>22403.435000000001</v>
      </c>
    </row>
    <row r="313" spans="1:2" x14ac:dyDescent="0.25">
      <c r="A313" s="2">
        <v>45017</v>
      </c>
      <c r="B313">
        <v>22539.418000000001</v>
      </c>
    </row>
    <row r="314" spans="1:2" x14ac:dyDescent="0.25">
      <c r="A314" s="2">
        <v>45108</v>
      </c>
      <c r="B314">
        <v>22780.933000000001</v>
      </c>
    </row>
    <row r="315" spans="1:2" x14ac:dyDescent="0.25">
      <c r="A315" s="2">
        <v>45200</v>
      </c>
      <c r="B315">
        <v>22960.6</v>
      </c>
    </row>
    <row r="316" spans="1:2" x14ac:dyDescent="0.25">
      <c r="A316" s="2">
        <v>45292</v>
      </c>
      <c r="B316">
        <v>23053.544999999998</v>
      </c>
    </row>
    <row r="317" spans="1:2" x14ac:dyDescent="0.25">
      <c r="A317" s="2">
        <v>45383</v>
      </c>
      <c r="B317">
        <v>23223.905999999999</v>
      </c>
    </row>
    <row r="318" spans="1:2" x14ac:dyDescent="0.25">
      <c r="A318" s="2">
        <v>45474</v>
      </c>
      <c r="B318">
        <v>23400.294000000002</v>
      </c>
    </row>
    <row r="319" spans="1:2" x14ac:dyDescent="0.25">
      <c r="A319" s="2">
        <v>45566</v>
      </c>
      <c r="B319">
        <v>23542.348999999998</v>
      </c>
    </row>
    <row r="320" spans="1:2" x14ac:dyDescent="0.25">
      <c r="A320" s="2">
        <v>45658</v>
      </c>
      <c r="B320">
        <v>23512.717000000001</v>
      </c>
    </row>
    <row r="321" spans="1:2" x14ac:dyDescent="0.25">
      <c r="A321" s="2">
        <v>45748</v>
      </c>
      <c r="B321">
        <v>23703.781999999999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QT1</vt:lpstr>
      <vt:lpstr>Sheet1</vt:lpstr>
      <vt:lpstr>Data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McNelis</dc:creator>
  <cp:keywords/>
  <dc:description/>
  <cp:lastModifiedBy>Paul D McNelis</cp:lastModifiedBy>
  <cp:revision/>
  <dcterms:created xsi:type="dcterms:W3CDTF">2024-08-12T09:57:36Z</dcterms:created>
  <dcterms:modified xsi:type="dcterms:W3CDTF">2026-01-19T17:59:59Z</dcterms:modified>
  <cp:category/>
  <cp:contentStatus/>
</cp:coreProperties>
</file>