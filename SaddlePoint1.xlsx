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Saint\Dropbox\ComputMacro\EXCEL-ICM\"/>
    </mc:Choice>
  </mc:AlternateContent>
  <xr:revisionPtr revIDLastSave="0" documentId="13_ncr:1_{FE47815E-A1B6-44B5-8C23-5666C6C8DB8E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Alpha">Hoja1!$B$8</definedName>
    <definedName name="Beta">Hoja1!$B$9</definedName>
    <definedName name="Delta">Hoja1!$B$11</definedName>
    <definedName name="Gamma">Hoja1!$B$10</definedName>
    <definedName name="Ita">Hoja1!$B$13</definedName>
    <definedName name="Lambda1">Hoja1!$B$24</definedName>
    <definedName name="Lambda1_0">Hoja1!$B$24</definedName>
    <definedName name="Lambda2">Hoja1!$B$25</definedName>
    <definedName name="Theta">Hoja1!$B$12</definedName>
    <definedName name="x1bar_0">Hoja1!$B$20</definedName>
    <definedName name="x1bar_1">Hoja1!$C$20</definedName>
    <definedName name="x2bar_0">Hoja1!$B$21</definedName>
    <definedName name="x2bar_1">Hoja1!$C$21</definedName>
    <definedName name="x2bar0">Hoja1!$B$21</definedName>
    <definedName name="z1_0">Hoja1!$B$16</definedName>
    <definedName name="z1_1">Hoja1!$C$16</definedName>
    <definedName name="z2_0">Hoja1!$B$17</definedName>
    <definedName name="z2_1">Hoja1!$C$17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C20" i="1"/>
  <c r="B21" i="1"/>
  <c r="B20" i="1"/>
  <c r="B25" i="1" l="1"/>
  <c r="B24" i="1"/>
  <c r="C25" i="1"/>
  <c r="C24" i="1"/>
  <c r="E4" i="1" l="1"/>
  <c r="E5" i="1" s="1"/>
  <c r="F3" i="1" l="1"/>
  <c r="E6" i="1"/>
  <c r="E7" i="1" s="1"/>
  <c r="E8" i="1" s="1"/>
  <c r="E9" i="1" s="1"/>
  <c r="E10" i="1" s="1"/>
  <c r="E11" i="1" s="1"/>
  <c r="G3" i="1"/>
  <c r="I3" i="1" l="1"/>
  <c r="G4" i="1" s="1"/>
  <c r="H3" i="1"/>
  <c r="F4" i="1" s="1"/>
  <c r="E12" i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B29" i="1"/>
  <c r="B28" i="1"/>
  <c r="I4" i="1" l="1"/>
  <c r="H4" i="1" s="1"/>
  <c r="G5" i="1" l="1"/>
  <c r="F5" i="1"/>
  <c r="H5" i="1" l="1"/>
  <c r="F6" i="1" s="1"/>
  <c r="I5" i="1"/>
  <c r="G6" i="1" s="1"/>
  <c r="H6" i="1" s="1"/>
  <c r="F7" i="1" s="1"/>
  <c r="I6" i="1" l="1"/>
  <c r="G7" i="1" s="1"/>
  <c r="I7" i="1" s="1"/>
  <c r="G8" i="1" s="1"/>
  <c r="H7" i="1" l="1"/>
  <c r="F8" i="1" s="1"/>
  <c r="I8" i="1" s="1"/>
  <c r="G9" i="1" s="1"/>
  <c r="H8" i="1" l="1"/>
  <c r="F9" i="1" s="1"/>
  <c r="I9" i="1" s="1"/>
  <c r="G10" i="1" s="1"/>
  <c r="H9" i="1" l="1"/>
  <c r="F10" i="1" s="1"/>
  <c r="I10" i="1" s="1"/>
  <c r="G11" i="1" s="1"/>
  <c r="H10" i="1" l="1"/>
  <c r="F11" i="1" s="1"/>
  <c r="H11" i="1" s="1"/>
  <c r="F12" i="1" s="1"/>
  <c r="I11" i="1" l="1"/>
  <c r="G12" i="1" s="1"/>
  <c r="H12" i="1" s="1"/>
  <c r="F13" i="1" s="1"/>
  <c r="I12" i="1" l="1"/>
  <c r="G13" i="1" s="1"/>
  <c r="H13" i="1" s="1"/>
  <c r="F14" i="1" s="1"/>
  <c r="I13" i="1" l="1"/>
  <c r="G14" i="1" s="1"/>
  <c r="H14" i="1" s="1"/>
  <c r="F15" i="1" s="1"/>
  <c r="I14" i="1" l="1"/>
  <c r="G15" i="1" s="1"/>
  <c r="H15" i="1" s="1"/>
  <c r="F16" i="1" s="1"/>
  <c r="I15" i="1" l="1"/>
  <c r="G16" i="1" s="1"/>
  <c r="H16" i="1" s="1"/>
  <c r="F17" i="1" s="1"/>
  <c r="I16" i="1" l="1"/>
  <c r="G17" i="1" s="1"/>
  <c r="H17" i="1"/>
  <c r="F18" i="1" s="1"/>
  <c r="I17" i="1"/>
  <c r="G18" i="1" s="1"/>
  <c r="H18" i="1" l="1"/>
  <c r="F19" i="1" s="1"/>
  <c r="I18" i="1"/>
  <c r="G19" i="1" s="1"/>
  <c r="H19" i="1" l="1"/>
  <c r="F20" i="1" s="1"/>
  <c r="I19" i="1"/>
  <c r="G20" i="1" s="1"/>
  <c r="H20" i="1" l="1"/>
  <c r="F21" i="1" s="1"/>
  <c r="I20" i="1"/>
  <c r="G21" i="1" s="1"/>
  <c r="H21" i="1" l="1"/>
  <c r="F22" i="1" s="1"/>
  <c r="I21" i="1"/>
  <c r="G22" i="1" s="1"/>
  <c r="H22" i="1" l="1"/>
  <c r="F23" i="1" s="1"/>
  <c r="I22" i="1"/>
  <c r="G23" i="1" s="1"/>
  <c r="H23" i="1" l="1"/>
  <c r="F24" i="1" s="1"/>
  <c r="I23" i="1"/>
  <c r="G24" i="1" s="1"/>
  <c r="H24" i="1" l="1"/>
  <c r="F25" i="1" s="1"/>
  <c r="I24" i="1"/>
  <c r="G25" i="1" s="1"/>
  <c r="H25" i="1" l="1"/>
  <c r="F26" i="1" s="1"/>
  <c r="I25" i="1"/>
  <c r="G26" i="1" s="1"/>
  <c r="H26" i="1" l="1"/>
  <c r="F27" i="1" s="1"/>
  <c r="I26" i="1"/>
  <c r="G27" i="1" s="1"/>
  <c r="H27" i="1" l="1"/>
  <c r="F28" i="1" s="1"/>
  <c r="I27" i="1"/>
  <c r="G28" i="1" s="1"/>
  <c r="H28" i="1" l="1"/>
  <c r="F29" i="1" s="1"/>
  <c r="I28" i="1"/>
  <c r="G29" i="1" s="1"/>
  <c r="H29" i="1" l="1"/>
  <c r="F30" i="1" s="1"/>
  <c r="I29" i="1"/>
  <c r="G30" i="1" s="1"/>
  <c r="H30" i="1" l="1"/>
  <c r="F31" i="1" s="1"/>
  <c r="I30" i="1"/>
  <c r="G31" i="1" s="1"/>
  <c r="H31" i="1" l="1"/>
  <c r="F32" i="1" s="1"/>
  <c r="I31" i="1"/>
  <c r="G32" i="1" s="1"/>
  <c r="H32" i="1" l="1"/>
  <c r="F33" i="1" s="1"/>
  <c r="I32" i="1"/>
  <c r="G33" i="1" s="1"/>
  <c r="H33" i="1" l="1"/>
  <c r="I33" i="1"/>
</calcChain>
</file>

<file path=xl/sharedStrings.xml><?xml version="1.0" encoding="utf-8"?>
<sst xmlns="http://schemas.openxmlformats.org/spreadsheetml/2006/main" count="42" uniqueCount="38">
  <si>
    <t xml:space="preserve"> </t>
  </si>
  <si>
    <t>Alpha</t>
  </si>
  <si>
    <t>Beta</t>
  </si>
  <si>
    <t>Gamma</t>
  </si>
  <si>
    <t>Delta</t>
  </si>
  <si>
    <t>Ita</t>
  </si>
  <si>
    <t>Theta</t>
  </si>
  <si>
    <r>
      <t>x</t>
    </r>
    <r>
      <rPr>
        <b/>
        <vertAlign val="subscript"/>
        <sz val="11"/>
        <color theme="0" tint="-4.9989318521683403E-2"/>
        <rFont val="Times New Roman"/>
        <family val="1"/>
      </rPr>
      <t>1</t>
    </r>
  </si>
  <si>
    <r>
      <t>x</t>
    </r>
    <r>
      <rPr>
        <b/>
        <vertAlign val="subscript"/>
        <sz val="11"/>
        <color theme="0" tint="-4.9989318521683403E-2"/>
        <rFont val="Times New Roman"/>
        <family val="1"/>
      </rPr>
      <t>2</t>
    </r>
  </si>
  <si>
    <r>
      <t>∆x</t>
    </r>
    <r>
      <rPr>
        <b/>
        <vertAlign val="subscript"/>
        <sz val="11"/>
        <color theme="0" tint="-4.9989318521683403E-2"/>
        <rFont val="Times New Roman"/>
        <family val="1"/>
      </rPr>
      <t>1</t>
    </r>
  </si>
  <si>
    <r>
      <t>∆x</t>
    </r>
    <r>
      <rPr>
        <b/>
        <vertAlign val="subscript"/>
        <sz val="11"/>
        <color theme="0" tint="-4.9989318521683403E-2"/>
        <rFont val="Times New Roman"/>
        <family val="1"/>
      </rPr>
      <t>2</t>
    </r>
  </si>
  <si>
    <r>
      <t>λ</t>
    </r>
    <r>
      <rPr>
        <vertAlign val="subscript"/>
        <sz val="11"/>
        <rFont val="Times New Roman"/>
        <family val="1"/>
      </rPr>
      <t>1</t>
    </r>
  </si>
  <si>
    <r>
      <t>λ</t>
    </r>
    <r>
      <rPr>
        <vertAlign val="subscript"/>
        <sz val="11"/>
        <rFont val="Times New Roman"/>
        <family val="1"/>
      </rPr>
      <t>2</t>
    </r>
  </si>
  <si>
    <r>
      <t>x</t>
    </r>
    <r>
      <rPr>
        <vertAlign val="subscript"/>
        <sz val="11"/>
        <rFont val="Times New Roman"/>
        <family val="1"/>
      </rPr>
      <t>1</t>
    </r>
  </si>
  <si>
    <r>
      <t>∆x</t>
    </r>
    <r>
      <rPr>
        <vertAlign val="subscript"/>
        <sz val="11"/>
        <rFont val="Times New Roman"/>
        <family val="1"/>
      </rPr>
      <t>1</t>
    </r>
  </si>
  <si>
    <r>
      <t>x</t>
    </r>
    <r>
      <rPr>
        <vertAlign val="subscript"/>
        <sz val="11"/>
        <rFont val="Times New Roman"/>
        <family val="1"/>
      </rPr>
      <t>2</t>
    </r>
  </si>
  <si>
    <r>
      <t>∆x</t>
    </r>
    <r>
      <rPr>
        <vertAlign val="subscript"/>
        <sz val="11"/>
        <rFont val="Times New Roman"/>
        <family val="1"/>
      </rPr>
      <t>2</t>
    </r>
  </si>
  <si>
    <r>
      <t>z</t>
    </r>
    <r>
      <rPr>
        <vertAlign val="subscript"/>
        <sz val="11"/>
        <rFont val="Times New Roman"/>
        <family val="1"/>
      </rPr>
      <t>1</t>
    </r>
  </si>
  <si>
    <r>
      <t>z</t>
    </r>
    <r>
      <rPr>
        <vertAlign val="subscript"/>
        <sz val="11"/>
        <rFont val="Times New Roman"/>
        <family val="1"/>
      </rPr>
      <t>2</t>
    </r>
  </si>
  <si>
    <t>Time</t>
  </si>
  <si>
    <t>Endogenous variables</t>
  </si>
  <si>
    <t>Parameters</t>
  </si>
  <si>
    <t>Exogenous variables</t>
  </si>
  <si>
    <t>Initial</t>
  </si>
  <si>
    <t>Final</t>
  </si>
  <si>
    <t>Steady State</t>
  </si>
  <si>
    <t>Initial SS</t>
  </si>
  <si>
    <t>Final SS</t>
  </si>
  <si>
    <t>Eigenvalues</t>
  </si>
  <si>
    <t>Real</t>
  </si>
  <si>
    <t>Imaginary</t>
  </si>
  <si>
    <t>Stability condition</t>
  </si>
  <si>
    <r>
      <t>Modulus (1+λ</t>
    </r>
    <r>
      <rPr>
        <vertAlign val="subscript"/>
        <sz val="11"/>
        <rFont val="Times New Roman"/>
        <family val="1"/>
      </rPr>
      <t>1</t>
    </r>
    <r>
      <rPr>
        <sz val="11"/>
        <rFont val="Times New Roman"/>
        <family val="1"/>
      </rPr>
      <t>)</t>
    </r>
  </si>
  <si>
    <r>
      <t>Modulus (1+λ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>)</t>
    </r>
  </si>
  <si>
    <t>EXERCISE 1.2: Example of dynamical system (Saddle point)</t>
  </si>
  <si>
    <t>Variation over time</t>
  </si>
  <si>
    <r>
      <t>Steady State of x</t>
    </r>
    <r>
      <rPr>
        <vertAlign val="subscript"/>
        <sz val="11"/>
        <rFont val="Times New Roman"/>
        <family val="1"/>
      </rPr>
      <t>1</t>
    </r>
  </si>
  <si>
    <r>
      <t>Steady State of x</t>
    </r>
    <r>
      <rPr>
        <vertAlign val="subscript"/>
        <sz val="11"/>
        <rFont val="Times New Roman"/>
        <family val="1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</si>
</sst>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000"/>
  </numFmts>
  <fonts count="8" x14ac:knownFonts="1">
    <font>
      <sz val="10"/>
      <name val="Arial"/>
      <family val="2"/>
    </font>
    <font>
      <b/>
      <sz val="11"/>
      <color theme="0" tint="-4.9989318521683403E-2"/>
      <name val="Times New Roman"/>
      <family val="1"/>
    </font>
    <font>
      <b/>
      <vertAlign val="subscript"/>
      <sz val="11"/>
      <color theme="0" tint="-4.9989318521683403E-2"/>
      <name val="Times New Roman"/>
      <family val="1"/>
    </font>
    <font>
      <vertAlign val="subscript"/>
      <sz val="1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i/>
      <sz val="11"/>
      <color theme="0" tint="-4.9989318521683403E-2"/>
      <name val="Times New Roman"/>
      <family val="1"/>
    </font>
    <font>
      <sz val="11"/>
      <color theme="0" tint="-4.9989318521683403E-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166" fontId="5" fillId="0" borderId="0" xfId="0" applyNumberFormat="1" applyFont="1" applyAlignment="1">
      <alignment vertical="center"/>
    </xf>
    <xf numFmtId="0" fontId="4" fillId="2" borderId="9" xfId="0" applyFont="1" applyFill="1" applyBorder="1" applyAlignment="1">
      <alignment vertical="center"/>
    </xf>
    <xf numFmtId="0" fontId="5" fillId="2" borderId="10" xfId="0" applyFont="1" applyFill="1" applyBorder="1" applyAlignment="1">
      <alignment vertical="center"/>
    </xf>
    <xf numFmtId="0" fontId="5" fillId="2" borderId="11" xfId="0" applyFont="1" applyFill="1" applyBorder="1" applyAlignment="1">
      <alignment vertical="center"/>
    </xf>
    <xf numFmtId="0" fontId="5" fillId="3" borderId="3" xfId="0" applyFont="1" applyFill="1" applyBorder="1"/>
    <xf numFmtId="0" fontId="5" fillId="3" borderId="0" xfId="0" applyFont="1" applyFill="1"/>
    <xf numFmtId="0" fontId="5" fillId="3" borderId="6" xfId="0" applyFont="1" applyFill="1" applyBorder="1" applyAlignment="1">
      <alignment vertical="center"/>
    </xf>
    <xf numFmtId="0" fontId="5" fillId="3" borderId="4" xfId="0" applyFont="1" applyFill="1" applyBorder="1"/>
    <xf numFmtId="0" fontId="5" fillId="3" borderId="7" xfId="0" applyFont="1" applyFill="1" applyBorder="1"/>
    <xf numFmtId="0" fontId="5" fillId="3" borderId="8" xfId="0" applyFont="1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2" fontId="5" fillId="3" borderId="6" xfId="0" applyNumberFormat="1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2" fontId="5" fillId="3" borderId="8" xfId="0" applyNumberFormat="1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0" fontId="5" fillId="3" borderId="7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0" xfId="0" applyNumberFormat="1" applyFont="1" applyFill="1" applyAlignment="1">
      <alignment horizontal="right" vertical="center"/>
    </xf>
    <xf numFmtId="165" fontId="5" fillId="3" borderId="6" xfId="0" applyNumberFormat="1" applyFont="1" applyFill="1" applyBorder="1" applyAlignment="1">
      <alignment horizontal="right" vertical="center"/>
    </xf>
    <xf numFmtId="0" fontId="5" fillId="3" borderId="4" xfId="0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right" vertical="center"/>
    </xf>
    <xf numFmtId="165" fontId="5" fillId="3" borderId="8" xfId="0" applyNumberFormat="1" applyFont="1" applyFill="1" applyBorder="1" applyAlignment="1">
      <alignment horizontal="right" vertical="center"/>
    </xf>
    <xf numFmtId="2" fontId="5" fillId="3" borderId="0" xfId="0" applyNumberFormat="1" applyFont="1" applyFill="1" applyAlignment="1">
      <alignment horizontal="right" vertical="center"/>
    </xf>
    <xf numFmtId="2" fontId="5" fillId="3" borderId="6" xfId="0" applyNumberFormat="1" applyFont="1" applyFill="1" applyBorder="1" applyAlignment="1">
      <alignment horizontal="right" vertical="center"/>
    </xf>
    <xf numFmtId="2" fontId="5" fillId="3" borderId="7" xfId="0" applyNumberFormat="1" applyFont="1" applyFill="1" applyBorder="1" applyAlignment="1">
      <alignment horizontal="right" vertical="center"/>
    </xf>
    <xf numFmtId="2" fontId="5" fillId="3" borderId="8" xfId="0" applyNumberFormat="1" applyFont="1" applyFill="1" applyBorder="1" applyAlignment="1">
      <alignment horizontal="right" vertical="center"/>
    </xf>
    <xf numFmtId="2" fontId="5" fillId="3" borderId="0" xfId="0" applyNumberFormat="1" applyFont="1" applyFill="1" applyAlignment="1">
      <alignment vertical="center"/>
    </xf>
    <xf numFmtId="2" fontId="5" fillId="3" borderId="7" xfId="0" applyNumberFormat="1" applyFont="1" applyFill="1" applyBorder="1" applyAlignment="1">
      <alignment vertical="center"/>
    </xf>
    <xf numFmtId="165" fontId="5" fillId="3" borderId="6" xfId="0" applyNumberFormat="1" applyFont="1" applyFill="1" applyBorder="1" applyAlignment="1">
      <alignment vertical="center"/>
    </xf>
    <xf numFmtId="165" fontId="5" fillId="3" borderId="8" xfId="0" applyNumberFormat="1" applyFont="1" applyFill="1" applyBorder="1" applyAlignment="1">
      <alignment vertical="center"/>
    </xf>
    <xf numFmtId="165" fontId="4" fillId="3" borderId="0" xfId="0" applyNumberFormat="1" applyFont="1" applyFill="1" applyAlignment="1">
      <alignment horizontal="right" vertical="center"/>
    </xf>
    <xf numFmtId="0" fontId="6" fillId="4" borderId="1" xfId="0" applyFont="1" applyFill="1" applyBorder="1" applyAlignment="1">
      <alignment vertical="center"/>
    </xf>
    <xf numFmtId="0" fontId="6" fillId="4" borderId="5" xfId="0" applyFont="1" applyFill="1" applyBorder="1" applyAlignment="1">
      <alignment vertical="center"/>
    </xf>
    <xf numFmtId="0" fontId="7" fillId="4" borderId="2" xfId="0" applyFont="1" applyFill="1" applyBorder="1" applyAlignment="1">
      <alignment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3B3B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 panose="02020603050405020304" pitchFamily="18" charset="0"/>
                <a:ea typeface="Arial"/>
                <a:cs typeface="Arial"/>
              </a:defRPr>
            </a:pPr>
            <a:r>
              <a:rPr lang="es-ES" sz="1100">
                <a:latin typeface="Times New Roman" panose="02020603050405020304" pitchFamily="18" charset="0"/>
              </a:rPr>
              <a:t>Variable x</a:t>
            </a:r>
            <a:r>
              <a:rPr lang="es-ES" sz="1100" baseline="-25000">
                <a:latin typeface="Times New Roman" panose="02020603050405020304" pitchFamily="18" charset="0"/>
              </a:rPr>
              <a:t>2</a:t>
            </a:r>
          </a:p>
        </c:rich>
      </c:tx>
      <c:layout>
        <c:manualLayout>
          <c:xMode val="edge"/>
          <c:yMode val="edge"/>
          <c:x val="0.38991101046406162"/>
          <c:y val="3.975671715734328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54089709762531"/>
          <c:y val="0.1606425702811245"/>
          <c:w val="0.8289104612559115"/>
          <c:h val="0.62382852478379325"/>
        </c:manualLayout>
      </c:layout>
      <c:lineChart>
        <c:grouping val="standard"/>
        <c:varyColors val="0"/>
        <c:ser>
          <c:idx val="0"/>
          <c:order val="0"/>
          <c:spPr>
            <a:ln w="1905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Hoja1!$E$3:$E$33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Hoja1!$G$3:$G$33</c:f>
              <c:numCache>
                <c:formatCode>0.000</c:formatCode>
                <c:ptCount val="31"/>
                <c:pt idx="0">
                  <c:v>0.44444444444444442</c:v>
                </c:pt>
                <c:pt idx="1">
                  <c:v>0.44444444444444442</c:v>
                </c:pt>
                <c:pt idx="2">
                  <c:v>0.44444444444444442</c:v>
                </c:pt>
                <c:pt idx="3">
                  <c:v>0.80123361676977578</c:v>
                </c:pt>
                <c:pt idx="4">
                  <c:v>1.0148119614204385</c:v>
                </c:pt>
                <c:pt idx="5">
                  <c:v>1.1426625601547629</c:v>
                </c:pt>
                <c:pt idx="6">
                  <c:v>1.2191954859224083</c:v>
                </c:pt>
                <c:pt idx="7">
                  <c:v>1.2650090275447532</c:v>
                </c:pt>
                <c:pt idx="8">
                  <c:v>1.2924335716207977</c:v>
                </c:pt>
                <c:pt idx="9">
                  <c:v>1.3088502377668103</c:v>
                </c:pt>
                <c:pt idx="10">
                  <c:v>1.3186774540955342</c:v>
                </c:pt>
                <c:pt idx="11">
                  <c:v>1.3245601454968128</c:v>
                </c:pt>
                <c:pt idx="12">
                  <c:v>1.3280815962281078</c:v>
                </c:pt>
                <c:pt idx="13">
                  <c:v>1.3301895795326553</c:v>
                </c:pt>
                <c:pt idx="14">
                  <c:v>1.3314514440200609</c:v>
                </c:pt>
                <c:pt idx="15">
                  <c:v>1.3322068114819907</c:v>
                </c:pt>
                <c:pt idx="16">
                  <c:v>1.3326589836671345</c:v>
                </c:pt>
                <c:pt idx="17">
                  <c:v>1.332929659496042</c:v>
                </c:pt>
                <c:pt idx="18">
                  <c:v>1.33309168946662</c:v>
                </c:pt>
                <c:pt idx="19">
                  <c:v>1.3331886828742998</c:v>
                </c:pt>
                <c:pt idx="20">
                  <c:v>1.3332467450146332</c:v>
                </c:pt>
                <c:pt idx="21">
                  <c:v>1.3332815034120935</c:v>
                </c:pt>
                <c:pt idx="22">
                  <c:v>1.3333023142777454</c:v>
                </c:pt>
                <c:pt idx="23">
                  <c:v>1.3333147816783515</c:v>
                </c:pt>
                <c:pt idx="24">
                  <c:v>1.3333222682607957</c:v>
                </c:pt>
                <c:pt idx="25">
                  <c:v>1.3333268061197567</c:v>
                </c:pt>
                <c:pt idx="26">
                  <c:v>1.3333296577343765</c:v>
                </c:pt>
                <c:pt idx="27">
                  <c:v>1.333331689405979</c:v>
                </c:pt>
                <c:pt idx="28">
                  <c:v>1.3333336852247708</c:v>
                </c:pt>
                <c:pt idx="29">
                  <c:v>1.3333367521532176</c:v>
                </c:pt>
                <c:pt idx="30">
                  <c:v>1.3333430839490445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B7-4D96-8992-87F81A245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5036992"/>
        <c:axId val="565040912"/>
      </c:lineChart>
      <c:catAx>
        <c:axId val="565036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Arial"/>
                    <a:cs typeface="Arial"/>
                  </a:defRPr>
                </a:pPr>
                <a:r>
                  <a:rPr lang="es-ES" sz="1100" baseline="0">
                    <a:latin typeface="Times New Roman" panose="02020603050405020304" pitchFamily="18" charset="0"/>
                  </a:rPr>
                  <a:t>Time</a:t>
                </a:r>
              </a:p>
            </c:rich>
          </c:tx>
          <c:layout>
            <c:manualLayout>
              <c:xMode val="edge"/>
              <c:yMode val="edge"/>
              <c:x val="0.46382134144167847"/>
              <c:y val="0.89441581597893927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565040912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565040912"/>
        <c:scaling>
          <c:orientation val="minMax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chemeClr val="tx1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565036992"/>
        <c:crosses val="autoZero"/>
        <c:crossBetween val="between"/>
      </c:valAx>
      <c:spPr>
        <a:noFill/>
        <a:ln>
          <a:solidFill>
            <a:schemeClr val="bg2">
              <a:lumMod val="50000"/>
            </a:schemeClr>
          </a:solidFill>
        </a:ln>
        <a:effectLst>
          <a:outerShdw blurRad="50800" dist="50800" dir="5400000" algn="ctr" rotWithShape="0">
            <a:schemeClr val="bg1"/>
          </a:outerShdw>
          <a:softEdge rad="12700"/>
        </a:effectLst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  <a:miter lim="800000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0044" r="0.75000000000000044" t="1" header="0" footer="0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 panose="02020603050405020304" pitchFamily="18" charset="0"/>
                <a:ea typeface="Arial"/>
                <a:cs typeface="Arial"/>
              </a:defRPr>
            </a:pPr>
            <a:r>
              <a:rPr lang="es-ES" sz="1100">
                <a:latin typeface="Times New Roman" panose="02020603050405020304" pitchFamily="18" charset="0"/>
              </a:rPr>
              <a:t>Variable x</a:t>
            </a:r>
            <a:r>
              <a:rPr lang="es-ES" sz="1100" baseline="-25000">
                <a:latin typeface="Times New Roman" panose="02020603050405020304" pitchFamily="18" charset="0"/>
              </a:rPr>
              <a:t>1</a:t>
            </a:r>
          </a:p>
        </c:rich>
      </c:tx>
      <c:layout>
        <c:manualLayout>
          <c:xMode val="edge"/>
          <c:yMode val="edge"/>
          <c:x val="0.38991101046406162"/>
          <c:y val="3.975671715734328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667237247517985"/>
          <c:y val="0.16239996043252411"/>
          <c:w val="0.82648443125133308"/>
          <c:h val="0.63370797577741567"/>
        </c:manualLayout>
      </c:layout>
      <c:lineChart>
        <c:grouping val="standard"/>
        <c:varyColors val="0"/>
        <c:ser>
          <c:idx val="0"/>
          <c:order val="0"/>
          <c:spPr>
            <a:ln w="19050">
              <a:solidFill>
                <a:schemeClr val="bg1">
                  <a:lumMod val="50000"/>
                </a:schemeClr>
              </a:solidFill>
              <a:prstDash val="solid"/>
            </a:ln>
          </c:spPr>
          <c:marker>
            <c:symbol val="none"/>
          </c:marker>
          <c:dPt>
            <c:idx val="25"/>
            <c:bubble3D val="0"/>
            <c:spPr>
              <a:ln w="19050">
                <a:solidFill>
                  <a:schemeClr val="tx1">
                    <a:lumMod val="50000"/>
                    <a:lumOff val="50000"/>
                  </a:schemeClr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F162-45A3-B6DE-3A4768B79E08}"/>
              </c:ext>
            </c:extLst>
          </c:dPt>
          <c:cat>
            <c:numRef>
              <c:f>Hoja1!$E$3:$E$33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Hoja1!$F$3:$F$33</c:f>
              <c:numCache>
                <c:formatCode>0.000</c:formatCode>
                <c:ptCount val="31"/>
                <c:pt idx="0">
                  <c:v>0.88888888888888884</c:v>
                </c:pt>
                <c:pt idx="1">
                  <c:v>0.88888888888888884</c:v>
                </c:pt>
                <c:pt idx="2">
                  <c:v>1.6024672335395516</c:v>
                </c:pt>
                <c:pt idx="3">
                  <c:v>0.42407264737688588</c:v>
                </c:pt>
                <c:pt idx="4">
                  <c:v>-0.28132870608244764</c:v>
                </c:pt>
                <c:pt idx="5">
                  <c:v>-0.70359054885161654</c:v>
                </c:pt>
                <c:pt idx="6">
                  <c:v>-0.95636163156133103</c:v>
                </c:pt>
                <c:pt idx="7">
                  <c:v>-1.1076734807097941</c:v>
                </c:pt>
                <c:pt idx="8">
                  <c:v>-1.198250596759969</c:v>
                </c:pt>
                <c:pt idx="9">
                  <c:v>-1.2524711617595778</c:v>
                </c:pt>
                <c:pt idx="10">
                  <c:v>-1.2849282524362782</c:v>
                </c:pt>
                <c:pt idx="11">
                  <c:v>-1.3043574622794416</c:v>
                </c:pt>
                <c:pt idx="12">
                  <c:v>-1.3159880239611748</c:v>
                </c:pt>
                <c:pt idx="13">
                  <c:v>-1.322950219856827</c:v>
                </c:pt>
                <c:pt idx="14">
                  <c:v>-1.3271178751262926</c:v>
                </c:pt>
                <c:pt idx="15">
                  <c:v>-1.3296126843346889</c:v>
                </c:pt>
                <c:pt idx="16">
                  <c:v>-1.3311061075100215</c:v>
                </c:pt>
                <c:pt idx="17">
                  <c:v>-1.3320000887989489</c:v>
                </c:pt>
                <c:pt idx="18">
                  <c:v>-1.3325352368511907</c:v>
                </c:pt>
                <c:pt idx="19">
                  <c:v>-1.332855582905083</c:v>
                </c:pt>
                <c:pt idx="20">
                  <c:v>-1.3330473457416623</c:v>
                </c:pt>
                <c:pt idx="21">
                  <c:v>-1.3331621367989301</c:v>
                </c:pt>
                <c:pt idx="22">
                  <c:v>-1.333230850893151</c:v>
                </c:pt>
                <c:pt idx="23">
                  <c:v>-1.3332719810309905</c:v>
                </c:pt>
                <c:pt idx="24">
                  <c:v>-1.3332965949340672</c:v>
                </c:pt>
                <c:pt idx="25">
                  <c:v>-1.3333113120701525</c:v>
                </c:pt>
                <c:pt idx="26">
                  <c:v>-1.3333200809927361</c:v>
                </c:pt>
                <c:pt idx="27">
                  <c:v>-1.3333252318773638</c:v>
                </c:pt>
                <c:pt idx="28">
                  <c:v>-1.3333280792050335</c:v>
                </c:pt>
                <c:pt idx="29">
                  <c:v>-1.3333292167913897</c:v>
                </c:pt>
                <c:pt idx="30">
                  <c:v>-1.3333285365169334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04-45AA-AABF-6E0E7CF09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7441648"/>
        <c:axId val="577448928"/>
      </c:lineChart>
      <c:catAx>
        <c:axId val="577441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Arial"/>
                    <a:cs typeface="Arial"/>
                  </a:defRPr>
                </a:pPr>
                <a:r>
                  <a:rPr lang="es-ES" sz="1100" baseline="0">
                    <a:latin typeface="Times New Roman" panose="02020603050405020304" pitchFamily="18" charset="0"/>
                  </a:rPr>
                  <a:t>Time</a:t>
                </a:r>
              </a:p>
            </c:rich>
          </c:tx>
          <c:layout>
            <c:manualLayout>
              <c:xMode val="edge"/>
              <c:yMode val="edge"/>
              <c:x val="0.43897173803142681"/>
              <c:y val="0.91920732799966209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577448928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577448928"/>
        <c:scaling>
          <c:orientation val="minMax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chemeClr val="tx1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577441648"/>
        <c:crosses val="autoZero"/>
        <c:crossBetween val="between"/>
      </c:valAx>
      <c:spPr>
        <a:noFill/>
        <a:ln>
          <a:solidFill>
            <a:schemeClr val="tx1"/>
          </a:solidFill>
        </a:ln>
        <a:effectLst>
          <a:outerShdw blurRad="50800" dist="50800" dir="5400000" algn="ctr" rotWithShape="0">
            <a:schemeClr val="bg1"/>
          </a:outerShdw>
          <a:softEdge rad="12700"/>
        </a:effectLst>
      </c:spPr>
    </c:plotArea>
    <c:plotVisOnly val="0"/>
    <c:dispBlanksAs val="gap"/>
    <c:showDLblsOverMax val="0"/>
  </c:chart>
  <c:spPr>
    <a:solidFill>
      <a:srgbClr val="FFFFFF"/>
    </a:solidFill>
    <a:ln w="3175">
      <a:solidFill>
        <a:schemeClr val="bg2">
          <a:lumMod val="50000"/>
        </a:schemeClr>
      </a:solidFill>
      <a:prstDash val="solid"/>
      <a:miter lim="800000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0044" r="0.75000000000000044" t="1" header="0" footer="0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 panose="02020603050405020304" pitchFamily="18" charset="0"/>
                <a:ea typeface="Arial"/>
                <a:cs typeface="Arial"/>
              </a:defRPr>
            </a:pPr>
            <a:r>
              <a:rPr lang="es-ES" sz="1100">
                <a:latin typeface="Times New Roman" panose="02020603050405020304" pitchFamily="18" charset="0"/>
              </a:rPr>
              <a:t>Variable x</a:t>
            </a:r>
            <a:r>
              <a:rPr lang="es-ES" sz="1100" baseline="-25000">
                <a:latin typeface="Times New Roman" panose="02020603050405020304" pitchFamily="18" charset="0"/>
              </a:rPr>
              <a:t>2</a:t>
            </a:r>
          </a:p>
        </c:rich>
      </c:tx>
      <c:layout>
        <c:manualLayout>
          <c:xMode val="edge"/>
          <c:yMode val="edge"/>
          <c:x val="0.38991101046406162"/>
          <c:y val="3.975671715734328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54089709762531"/>
          <c:y val="0.1606425702811245"/>
          <c:w val="0.8289104612559115"/>
          <c:h val="0.62382852478379325"/>
        </c:manualLayout>
      </c:layout>
      <c:lineChart>
        <c:grouping val="standard"/>
        <c:varyColors val="0"/>
        <c:ser>
          <c:idx val="0"/>
          <c:order val="0"/>
          <c:spPr>
            <a:ln w="1905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Hoja1!$E$3:$E$33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Hoja1!$G$3:$G$33</c:f>
              <c:numCache>
                <c:formatCode>0.000</c:formatCode>
                <c:ptCount val="31"/>
                <c:pt idx="0">
                  <c:v>0.44444444444444442</c:v>
                </c:pt>
                <c:pt idx="1">
                  <c:v>0.44444444444444442</c:v>
                </c:pt>
                <c:pt idx="2">
                  <c:v>0.44444444444444442</c:v>
                </c:pt>
                <c:pt idx="3">
                  <c:v>0.80123361676977578</c:v>
                </c:pt>
                <c:pt idx="4">
                  <c:v>1.0148119614204385</c:v>
                </c:pt>
                <c:pt idx="5">
                  <c:v>1.1426625601547629</c:v>
                </c:pt>
                <c:pt idx="6">
                  <c:v>1.2191954859224083</c:v>
                </c:pt>
                <c:pt idx="7">
                  <c:v>1.2650090275447532</c:v>
                </c:pt>
                <c:pt idx="8">
                  <c:v>1.2924335716207977</c:v>
                </c:pt>
                <c:pt idx="9">
                  <c:v>1.3088502377668103</c:v>
                </c:pt>
                <c:pt idx="10">
                  <c:v>1.3186774540955342</c:v>
                </c:pt>
                <c:pt idx="11">
                  <c:v>1.3245601454968128</c:v>
                </c:pt>
                <c:pt idx="12">
                  <c:v>1.3280815962281078</c:v>
                </c:pt>
                <c:pt idx="13">
                  <c:v>1.3301895795326553</c:v>
                </c:pt>
                <c:pt idx="14">
                  <c:v>1.3314514440200609</c:v>
                </c:pt>
                <c:pt idx="15">
                  <c:v>1.3322068114819907</c:v>
                </c:pt>
                <c:pt idx="16">
                  <c:v>1.3326589836671345</c:v>
                </c:pt>
                <c:pt idx="17">
                  <c:v>1.332929659496042</c:v>
                </c:pt>
                <c:pt idx="18">
                  <c:v>1.33309168946662</c:v>
                </c:pt>
                <c:pt idx="19">
                  <c:v>1.3331886828742998</c:v>
                </c:pt>
                <c:pt idx="20">
                  <c:v>1.3332467450146332</c:v>
                </c:pt>
                <c:pt idx="21">
                  <c:v>1.3332815034120935</c:v>
                </c:pt>
                <c:pt idx="22">
                  <c:v>1.3333023142777454</c:v>
                </c:pt>
                <c:pt idx="23">
                  <c:v>1.3333147816783515</c:v>
                </c:pt>
                <c:pt idx="24">
                  <c:v>1.3333222682607957</c:v>
                </c:pt>
                <c:pt idx="25">
                  <c:v>1.3333268061197567</c:v>
                </c:pt>
                <c:pt idx="26">
                  <c:v>1.3333296577343765</c:v>
                </c:pt>
                <c:pt idx="27">
                  <c:v>1.333331689405979</c:v>
                </c:pt>
                <c:pt idx="28">
                  <c:v>1.3333336852247708</c:v>
                </c:pt>
                <c:pt idx="29">
                  <c:v>1.3333367521532176</c:v>
                </c:pt>
                <c:pt idx="30">
                  <c:v>1.3333430839490445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F5-4271-8FE4-289941FAE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5036992"/>
        <c:axId val="565040912"/>
      </c:lineChart>
      <c:catAx>
        <c:axId val="565036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Arial"/>
                    <a:cs typeface="Arial"/>
                  </a:defRPr>
                </a:pPr>
                <a:r>
                  <a:rPr lang="es-ES" sz="1100" baseline="0">
                    <a:latin typeface="Times New Roman" panose="02020603050405020304" pitchFamily="18" charset="0"/>
                  </a:rPr>
                  <a:t>Time</a:t>
                </a:r>
              </a:p>
            </c:rich>
          </c:tx>
          <c:layout>
            <c:manualLayout>
              <c:xMode val="edge"/>
              <c:yMode val="edge"/>
              <c:x val="0.46382134144167847"/>
              <c:y val="0.89441581597893927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565040912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565040912"/>
        <c:scaling>
          <c:orientation val="minMax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chemeClr val="tx1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565036992"/>
        <c:crosses val="autoZero"/>
        <c:crossBetween val="between"/>
      </c:valAx>
      <c:spPr>
        <a:noFill/>
        <a:ln>
          <a:solidFill>
            <a:schemeClr val="bg2">
              <a:lumMod val="50000"/>
            </a:schemeClr>
          </a:solidFill>
        </a:ln>
        <a:effectLst>
          <a:outerShdw blurRad="50800" dist="50800" dir="5400000" algn="ctr" rotWithShape="0">
            <a:schemeClr val="bg1"/>
          </a:outerShdw>
          <a:softEdge rad="12700"/>
        </a:effectLst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  <a:miter lim="800000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0044" r="0.75000000000000044" t="1" header="0" footer="0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 panose="02020603050405020304" pitchFamily="18" charset="0"/>
                <a:ea typeface="Arial"/>
                <a:cs typeface="Arial"/>
              </a:defRPr>
            </a:pPr>
            <a:r>
              <a:rPr lang="es-ES" sz="1100">
                <a:latin typeface="Times New Roman" panose="02020603050405020304" pitchFamily="18" charset="0"/>
              </a:rPr>
              <a:t>Variable x</a:t>
            </a:r>
            <a:r>
              <a:rPr lang="es-ES" sz="1100" baseline="-25000">
                <a:latin typeface="Times New Roman" panose="02020603050405020304" pitchFamily="18" charset="0"/>
              </a:rPr>
              <a:t>1</a:t>
            </a:r>
          </a:p>
        </c:rich>
      </c:tx>
      <c:layout>
        <c:manualLayout>
          <c:xMode val="edge"/>
          <c:yMode val="edge"/>
          <c:x val="0.38991101046406162"/>
          <c:y val="3.975671715734328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667237247517985"/>
          <c:y val="0.16239996043252411"/>
          <c:w val="0.82648443125133308"/>
          <c:h val="0.63370797577741567"/>
        </c:manualLayout>
      </c:layout>
      <c:lineChart>
        <c:grouping val="standard"/>
        <c:varyColors val="0"/>
        <c:ser>
          <c:idx val="0"/>
          <c:order val="0"/>
          <c:spPr>
            <a:ln w="19050">
              <a:solidFill>
                <a:schemeClr val="bg1">
                  <a:lumMod val="50000"/>
                </a:schemeClr>
              </a:solidFill>
              <a:prstDash val="solid"/>
            </a:ln>
          </c:spPr>
          <c:marker>
            <c:symbol val="none"/>
          </c:marker>
          <c:dPt>
            <c:idx val="25"/>
            <c:bubble3D val="0"/>
            <c:spPr>
              <a:ln w="19050">
                <a:solidFill>
                  <a:schemeClr val="tx1">
                    <a:lumMod val="50000"/>
                    <a:lumOff val="50000"/>
                  </a:schemeClr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456-402B-AB2B-8F93F6E60644}"/>
              </c:ext>
            </c:extLst>
          </c:dPt>
          <c:cat>
            <c:numRef>
              <c:f>Hoja1!$E$3:$E$33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Hoja1!$F$3:$F$33</c:f>
              <c:numCache>
                <c:formatCode>0.000</c:formatCode>
                <c:ptCount val="31"/>
                <c:pt idx="0">
                  <c:v>0.88888888888888884</c:v>
                </c:pt>
                <c:pt idx="1">
                  <c:v>0.88888888888888884</c:v>
                </c:pt>
                <c:pt idx="2">
                  <c:v>1.6024672335395516</c:v>
                </c:pt>
                <c:pt idx="3">
                  <c:v>0.42407264737688588</c:v>
                </c:pt>
                <c:pt idx="4">
                  <c:v>-0.28132870608244764</c:v>
                </c:pt>
                <c:pt idx="5">
                  <c:v>-0.70359054885161654</c:v>
                </c:pt>
                <c:pt idx="6">
                  <c:v>-0.95636163156133103</c:v>
                </c:pt>
                <c:pt idx="7">
                  <c:v>-1.1076734807097941</c:v>
                </c:pt>
                <c:pt idx="8">
                  <c:v>-1.198250596759969</c:v>
                </c:pt>
                <c:pt idx="9">
                  <c:v>-1.2524711617595778</c:v>
                </c:pt>
                <c:pt idx="10">
                  <c:v>-1.2849282524362782</c:v>
                </c:pt>
                <c:pt idx="11">
                  <c:v>-1.3043574622794416</c:v>
                </c:pt>
                <c:pt idx="12">
                  <c:v>-1.3159880239611748</c:v>
                </c:pt>
                <c:pt idx="13">
                  <c:v>-1.322950219856827</c:v>
                </c:pt>
                <c:pt idx="14">
                  <c:v>-1.3271178751262926</c:v>
                </c:pt>
                <c:pt idx="15">
                  <c:v>-1.3296126843346889</c:v>
                </c:pt>
                <c:pt idx="16">
                  <c:v>-1.3311061075100215</c:v>
                </c:pt>
                <c:pt idx="17">
                  <c:v>-1.3320000887989489</c:v>
                </c:pt>
                <c:pt idx="18">
                  <c:v>-1.3325352368511907</c:v>
                </c:pt>
                <c:pt idx="19">
                  <c:v>-1.332855582905083</c:v>
                </c:pt>
                <c:pt idx="20">
                  <c:v>-1.3330473457416623</c:v>
                </c:pt>
                <c:pt idx="21">
                  <c:v>-1.3331621367989301</c:v>
                </c:pt>
                <c:pt idx="22">
                  <c:v>-1.333230850893151</c:v>
                </c:pt>
                <c:pt idx="23">
                  <c:v>-1.3332719810309905</c:v>
                </c:pt>
                <c:pt idx="24">
                  <c:v>-1.3332965949340672</c:v>
                </c:pt>
                <c:pt idx="25">
                  <c:v>-1.3333113120701525</c:v>
                </c:pt>
                <c:pt idx="26">
                  <c:v>-1.3333200809927361</c:v>
                </c:pt>
                <c:pt idx="27">
                  <c:v>-1.3333252318773638</c:v>
                </c:pt>
                <c:pt idx="28">
                  <c:v>-1.3333280792050335</c:v>
                </c:pt>
                <c:pt idx="29">
                  <c:v>-1.3333292167913897</c:v>
                </c:pt>
                <c:pt idx="30">
                  <c:v>-1.3333285365169334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56-402B-AB2B-8F93F6E60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7441648"/>
        <c:axId val="577448928"/>
      </c:lineChart>
      <c:catAx>
        <c:axId val="577441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Arial"/>
                    <a:cs typeface="Arial"/>
                  </a:defRPr>
                </a:pPr>
                <a:r>
                  <a:rPr lang="es-ES" sz="1100" baseline="0">
                    <a:latin typeface="Times New Roman" panose="02020603050405020304" pitchFamily="18" charset="0"/>
                  </a:rPr>
                  <a:t>Time</a:t>
                </a:r>
              </a:p>
            </c:rich>
          </c:tx>
          <c:layout>
            <c:manualLayout>
              <c:xMode val="edge"/>
              <c:yMode val="edge"/>
              <c:x val="0.43897173803142681"/>
              <c:y val="0.91920732799966209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577448928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577448928"/>
        <c:scaling>
          <c:orientation val="minMax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chemeClr val="tx1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577441648"/>
        <c:crosses val="autoZero"/>
        <c:crossBetween val="between"/>
      </c:valAx>
      <c:spPr>
        <a:noFill/>
        <a:ln>
          <a:solidFill>
            <a:schemeClr val="tx1"/>
          </a:solidFill>
        </a:ln>
        <a:effectLst>
          <a:outerShdw blurRad="50800" dist="50800" dir="5400000" algn="ctr" rotWithShape="0">
            <a:schemeClr val="bg1"/>
          </a:outerShdw>
          <a:softEdge rad="12700"/>
        </a:effectLst>
      </c:spPr>
    </c:plotArea>
    <c:plotVisOnly val="0"/>
    <c:dispBlanksAs val="gap"/>
    <c:showDLblsOverMax val="0"/>
  </c:chart>
  <c:spPr>
    <a:solidFill>
      <a:srgbClr val="FFFFFF"/>
    </a:solidFill>
    <a:ln w="3175">
      <a:solidFill>
        <a:schemeClr val="bg2">
          <a:lumMod val="50000"/>
        </a:schemeClr>
      </a:solidFill>
      <a:prstDash val="solid"/>
      <a:miter lim="800000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0044" r="0.75000000000000044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8659</xdr:colOff>
      <xdr:row>17</xdr:row>
      <xdr:rowOff>157596</xdr:rowOff>
    </xdr:from>
    <xdr:to>
      <xdr:col>14</xdr:col>
      <xdr:colOff>560659</xdr:colOff>
      <xdr:row>32</xdr:row>
      <xdr:rowOff>105846</xdr:rowOff>
    </xdr:to>
    <xdr:graphicFrame macro="">
      <xdr:nvGraphicFramePr>
        <xdr:cNvPr id="1067" name="Gráfico 10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</xdr:row>
      <xdr:rowOff>13853</xdr:rowOff>
    </xdr:from>
    <xdr:to>
      <xdr:col>14</xdr:col>
      <xdr:colOff>552000</xdr:colOff>
      <xdr:row>15</xdr:row>
      <xdr:rowOff>133553</xdr:rowOff>
    </xdr:to>
    <xdr:graphicFrame macro="">
      <xdr:nvGraphicFramePr>
        <xdr:cNvPr id="1068" name="Gráfico 10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8659</xdr:colOff>
      <xdr:row>17</xdr:row>
      <xdr:rowOff>157596</xdr:rowOff>
    </xdr:from>
    <xdr:to>
      <xdr:col>14</xdr:col>
      <xdr:colOff>560659</xdr:colOff>
      <xdr:row>32</xdr:row>
      <xdr:rowOff>105846</xdr:rowOff>
    </xdr:to>
    <xdr:graphicFrame macro="">
      <xdr:nvGraphicFramePr>
        <xdr:cNvPr id="2" name="Gráfico 10">
          <a:extLst>
            <a:ext uri="{FF2B5EF4-FFF2-40B4-BE49-F238E27FC236}">
              <a16:creationId xmlns:a16="http://schemas.microsoft.com/office/drawing/2014/main" id="{46805A46-DC63-41D1-88F8-7290B548BC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</xdr:row>
      <xdr:rowOff>13853</xdr:rowOff>
    </xdr:from>
    <xdr:to>
      <xdr:col>14</xdr:col>
      <xdr:colOff>552000</xdr:colOff>
      <xdr:row>15</xdr:row>
      <xdr:rowOff>133553</xdr:rowOff>
    </xdr:to>
    <xdr:graphicFrame macro="">
      <xdr:nvGraphicFramePr>
        <xdr:cNvPr id="3" name="Gráfico 10">
          <a:extLst>
            <a:ext uri="{FF2B5EF4-FFF2-40B4-BE49-F238E27FC236}">
              <a16:creationId xmlns:a16="http://schemas.microsoft.com/office/drawing/2014/main" id="{4BDA0FD3-3689-4E8C-9B8B-43E5E15DD8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45"/>
  <sheetViews>
    <sheetView tabSelected="1" zoomScale="110" zoomScaleNormal="110" workbookViewId="0">
      <selection activeCell="B12" sqref="B12"/>
    </sheetView>
  </sheetViews>
  <sheetFormatPr defaultColWidth="11.3984375" defaultRowHeight="13.9" x14ac:dyDescent="0.35"/>
  <cols>
    <col min="1" max="1" width="24.59765625" style="1" customWidth="1"/>
    <col min="2" max="2" width="11.3984375" style="1"/>
    <col min="3" max="3" width="22" style="1" customWidth="1"/>
    <col min="4" max="4" width="8.3984375" style="1" customWidth="1"/>
    <col min="5" max="5" width="9.3984375" style="1" customWidth="1"/>
    <col min="6" max="7" width="9.1328125" style="1" customWidth="1"/>
    <col min="8" max="8" width="8.73046875" style="1" customWidth="1"/>
    <col min="9" max="9" width="8.265625" style="1" customWidth="1"/>
    <col min="10" max="10" width="7.59765625" style="1" customWidth="1"/>
    <col min="11" max="16384" width="11.3984375" style="1"/>
  </cols>
  <sheetData>
    <row r="1" spans="1:57" ht="14.1" customHeight="1" thickBot="1" x14ac:dyDescent="0.4">
      <c r="A1" s="6" t="s">
        <v>34</v>
      </c>
      <c r="B1" s="7"/>
      <c r="C1" s="8"/>
      <c r="BB1" s="2"/>
    </row>
    <row r="2" spans="1:57" ht="14.1" customHeight="1" thickBot="1" x14ac:dyDescent="0.6">
      <c r="A2" s="1" t="s">
        <v>0</v>
      </c>
      <c r="E2" s="41" t="s">
        <v>19</v>
      </c>
      <c r="F2" s="42" t="s">
        <v>7</v>
      </c>
      <c r="G2" s="42" t="s">
        <v>8</v>
      </c>
      <c r="H2" s="42" t="s">
        <v>9</v>
      </c>
      <c r="I2" s="43" t="s">
        <v>10</v>
      </c>
      <c r="BB2" s="3"/>
      <c r="BC2" s="3"/>
      <c r="BD2" s="3"/>
    </row>
    <row r="3" spans="1:57" ht="14.1" customHeight="1" x14ac:dyDescent="0.35">
      <c r="A3" s="36" t="s">
        <v>20</v>
      </c>
      <c r="B3" s="37" t="s">
        <v>35</v>
      </c>
      <c r="C3" s="38"/>
      <c r="E3" s="21">
        <v>0</v>
      </c>
      <c r="F3" s="22">
        <f>x1bar_0</f>
        <v>0.88888888888888884</v>
      </c>
      <c r="G3" s="22">
        <f>x2bar_0</f>
        <v>0.44444444444444442</v>
      </c>
      <c r="H3" s="22">
        <f>-Alpha*F3+Beta*G3+Theta*z1_0</f>
        <v>0</v>
      </c>
      <c r="I3" s="23">
        <f>Gamma*F3-Delta*G3+Ita*z2_0</f>
        <v>0</v>
      </c>
    </row>
    <row r="4" spans="1:57" ht="14.1" customHeight="1" x14ac:dyDescent="0.55000000000000004">
      <c r="A4" s="9" t="s">
        <v>13</v>
      </c>
      <c r="B4" s="10" t="s">
        <v>14</v>
      </c>
      <c r="C4" s="11"/>
      <c r="E4" s="21">
        <f>E3+1</f>
        <v>1</v>
      </c>
      <c r="F4" s="22">
        <f t="shared" ref="F4:F7" si="0">F3+H3</f>
        <v>0.88888888888888884</v>
      </c>
      <c r="G4" s="22">
        <f t="shared" ref="G4:G8" si="1">G3+I3</f>
        <v>0.44444444444444442</v>
      </c>
      <c r="H4" s="35">
        <f>(1/(Alpha+Lambda1))*(z1_1-z1_0)+(Lambda1/(Alpha+Lambda1))*(x1bar_1-x1bar_0)+(Beta/(Alpha+Lambda1))*I4</f>
        <v>0.71357834465066272</v>
      </c>
      <c r="I4" s="23">
        <f t="shared" ref="I4:I33" si="2">Gamma*F4-Delta*G4+Ita*z2_1</f>
        <v>0</v>
      </c>
    </row>
    <row r="5" spans="1:57" ht="14.1" customHeight="1" thickBot="1" x14ac:dyDescent="0.6">
      <c r="A5" s="12" t="s">
        <v>15</v>
      </c>
      <c r="B5" s="13" t="s">
        <v>16</v>
      </c>
      <c r="C5" s="14"/>
      <c r="E5" s="21">
        <f>E4+1</f>
        <v>2</v>
      </c>
      <c r="F5" s="22">
        <f>F4+H4</f>
        <v>1.6024672335395516</v>
      </c>
      <c r="G5" s="22">
        <f t="shared" si="1"/>
        <v>0.44444444444444442</v>
      </c>
      <c r="H5" s="22">
        <f t="shared" ref="H5:H33" si="3">-Alpha*F5+Beta*G5+Theta*z1_1</f>
        <v>-1.1783945861626657</v>
      </c>
      <c r="I5" s="23">
        <f t="shared" si="2"/>
        <v>0.35678917232533136</v>
      </c>
    </row>
    <row r="6" spans="1:57" ht="14.1" customHeight="1" thickBot="1" x14ac:dyDescent="0.4">
      <c r="E6" s="21">
        <f t="shared" ref="E6:E33" si="4">E5+1</f>
        <v>3</v>
      </c>
      <c r="F6" s="22">
        <f t="shared" si="0"/>
        <v>0.42407264737688588</v>
      </c>
      <c r="G6" s="22">
        <f t="shared" si="1"/>
        <v>0.80123361676977578</v>
      </c>
      <c r="H6" s="22">
        <f t="shared" si="3"/>
        <v>-0.70540135345933352</v>
      </c>
      <c r="I6" s="23">
        <f t="shared" si="2"/>
        <v>0.21357834465066272</v>
      </c>
      <c r="BE6" s="4"/>
    </row>
    <row r="7" spans="1:57" ht="14.1" customHeight="1" x14ac:dyDescent="0.35">
      <c r="A7" s="36" t="s">
        <v>21</v>
      </c>
      <c r="B7" s="38"/>
      <c r="E7" s="21">
        <f t="shared" si="4"/>
        <v>4</v>
      </c>
      <c r="F7" s="22">
        <f t="shared" si="0"/>
        <v>-0.28132870608244764</v>
      </c>
      <c r="G7" s="22">
        <f t="shared" si="1"/>
        <v>1.0148119614204385</v>
      </c>
      <c r="H7" s="22">
        <f t="shared" si="3"/>
        <v>-0.42226184276916889</v>
      </c>
      <c r="I7" s="23">
        <f t="shared" si="2"/>
        <v>0.12785059873432436</v>
      </c>
    </row>
    <row r="8" spans="1:57" ht="14.1" customHeight="1" x14ac:dyDescent="0.35">
      <c r="A8" s="15" t="s">
        <v>1</v>
      </c>
      <c r="B8" s="16">
        <v>0.25</v>
      </c>
      <c r="E8" s="21">
        <f t="shared" si="4"/>
        <v>5</v>
      </c>
      <c r="F8" s="22">
        <f>F7+H7</f>
        <v>-0.70359054885161654</v>
      </c>
      <c r="G8" s="22">
        <f t="shared" si="1"/>
        <v>1.1426625601547629</v>
      </c>
      <c r="H8" s="22">
        <f t="shared" si="3"/>
        <v>-0.25277108270971449</v>
      </c>
      <c r="I8" s="23">
        <f t="shared" si="2"/>
        <v>7.6532925767645477E-2</v>
      </c>
    </row>
    <row r="9" spans="1:57" ht="14.1" customHeight="1" x14ac:dyDescent="0.35">
      <c r="A9" s="15" t="s">
        <v>2</v>
      </c>
      <c r="B9" s="16">
        <v>0.5</v>
      </c>
      <c r="C9" s="1" t="s">
        <v>0</v>
      </c>
      <c r="E9" s="21">
        <f t="shared" si="4"/>
        <v>6</v>
      </c>
      <c r="F9" s="22">
        <f t="shared" ref="F9:F32" si="5">F8+H8</f>
        <v>-0.95636163156133103</v>
      </c>
      <c r="G9" s="22">
        <f t="shared" ref="G9:G32" si="6">G8+I8</f>
        <v>1.2191954859224083</v>
      </c>
      <c r="H9" s="22">
        <f t="shared" si="3"/>
        <v>-0.15131184914846307</v>
      </c>
      <c r="I9" s="23">
        <f t="shared" si="2"/>
        <v>4.5813541622344855E-2</v>
      </c>
    </row>
    <row r="10" spans="1:57" ht="14.1" customHeight="1" x14ac:dyDescent="0.35">
      <c r="A10" s="15" t="s">
        <v>3</v>
      </c>
      <c r="B10" s="16">
        <v>0.5</v>
      </c>
      <c r="E10" s="21">
        <f t="shared" si="4"/>
        <v>7</v>
      </c>
      <c r="F10" s="22">
        <f t="shared" si="5"/>
        <v>-1.1076734807097941</v>
      </c>
      <c r="G10" s="22">
        <f t="shared" si="6"/>
        <v>1.2650090275447532</v>
      </c>
      <c r="H10" s="22">
        <f t="shared" si="3"/>
        <v>-9.0577116050174933E-2</v>
      </c>
      <c r="I10" s="23">
        <f t="shared" si="2"/>
        <v>2.7424544076044555E-2</v>
      </c>
      <c r="K10" s="1" t="s">
        <v>0</v>
      </c>
    </row>
    <row r="11" spans="1:57" ht="14.1" customHeight="1" x14ac:dyDescent="0.35">
      <c r="A11" s="15" t="s">
        <v>4</v>
      </c>
      <c r="B11" s="16">
        <v>-1.25</v>
      </c>
      <c r="E11" s="21">
        <f t="shared" si="4"/>
        <v>8</v>
      </c>
      <c r="F11" s="22">
        <f t="shared" si="5"/>
        <v>-1.198250596759969</v>
      </c>
      <c r="G11" s="22">
        <f t="shared" si="6"/>
        <v>1.2924335716207977</v>
      </c>
      <c r="H11" s="22">
        <f t="shared" si="3"/>
        <v>-5.4220564999608811E-2</v>
      </c>
      <c r="I11" s="23">
        <f t="shared" si="2"/>
        <v>1.641666614601256E-2</v>
      </c>
    </row>
    <row r="12" spans="1:57" ht="14.1" customHeight="1" x14ac:dyDescent="0.35">
      <c r="A12" s="15" t="s">
        <v>6</v>
      </c>
      <c r="B12" s="16">
        <v>1</v>
      </c>
      <c r="E12" s="21">
        <f t="shared" si="4"/>
        <v>9</v>
      </c>
      <c r="F12" s="22">
        <f t="shared" ref="F12:F13" si="7">F11+H11</f>
        <v>-1.2524711617595778</v>
      </c>
      <c r="G12" s="22">
        <f t="shared" ref="G12:G13" si="8">G11+I11</f>
        <v>1.3088502377668103</v>
      </c>
      <c r="H12" s="22">
        <f t="shared" si="3"/>
        <v>-3.2457090676700329E-2</v>
      </c>
      <c r="I12" s="23">
        <f t="shared" si="2"/>
        <v>9.8272163287238534E-3</v>
      </c>
    </row>
    <row r="13" spans="1:57" ht="14.1" customHeight="1" thickBot="1" x14ac:dyDescent="0.4">
      <c r="A13" s="17" t="s">
        <v>5</v>
      </c>
      <c r="B13" s="18">
        <v>1</v>
      </c>
      <c r="C13" s="2" t="s">
        <v>0</v>
      </c>
      <c r="E13" s="21">
        <f t="shared" si="4"/>
        <v>10</v>
      </c>
      <c r="F13" s="22">
        <f t="shared" si="7"/>
        <v>-1.2849282524362782</v>
      </c>
      <c r="G13" s="22">
        <f t="shared" si="8"/>
        <v>1.3186774540955342</v>
      </c>
      <c r="H13" s="22">
        <f t="shared" si="3"/>
        <v>-1.9429209843163431E-2</v>
      </c>
      <c r="I13" s="23">
        <f t="shared" si="2"/>
        <v>5.8826914012786169E-3</v>
      </c>
    </row>
    <row r="14" spans="1:57" ht="14.1" customHeight="1" thickBot="1" x14ac:dyDescent="0.4">
      <c r="C14" s="2" t="s">
        <v>0</v>
      </c>
      <c r="E14" s="21">
        <f t="shared" si="4"/>
        <v>11</v>
      </c>
      <c r="F14" s="22">
        <f t="shared" si="5"/>
        <v>-1.3043574622794416</v>
      </c>
      <c r="G14" s="22">
        <f t="shared" si="6"/>
        <v>1.3245601454968128</v>
      </c>
      <c r="H14" s="22">
        <f t="shared" si="3"/>
        <v>-1.1630561681733154E-2</v>
      </c>
      <c r="I14" s="23">
        <f t="shared" si="2"/>
        <v>3.5214507312950616E-3</v>
      </c>
    </row>
    <row r="15" spans="1:57" ht="14.1" customHeight="1" x14ac:dyDescent="0.35">
      <c r="A15" s="36" t="s">
        <v>22</v>
      </c>
      <c r="B15" s="39" t="s">
        <v>23</v>
      </c>
      <c r="C15" s="40" t="s">
        <v>24</v>
      </c>
      <c r="E15" s="21">
        <f t="shared" si="4"/>
        <v>12</v>
      </c>
      <c r="F15" s="22">
        <f t="shared" si="5"/>
        <v>-1.3159880239611748</v>
      </c>
      <c r="G15" s="22">
        <f t="shared" si="6"/>
        <v>1.3280815962281078</v>
      </c>
      <c r="H15" s="22">
        <f t="shared" si="3"/>
        <v>-6.9621958956523899E-3</v>
      </c>
      <c r="I15" s="23">
        <f t="shared" si="2"/>
        <v>2.1079833045474228E-3</v>
      </c>
    </row>
    <row r="16" spans="1:57" ht="14.1" customHeight="1" x14ac:dyDescent="0.55000000000000004">
      <c r="A16" s="9" t="s">
        <v>17</v>
      </c>
      <c r="B16" s="19">
        <v>0</v>
      </c>
      <c r="C16" s="11">
        <v>-1</v>
      </c>
      <c r="E16" s="21">
        <f t="shared" si="4"/>
        <v>13</v>
      </c>
      <c r="F16" s="22">
        <f t="shared" si="5"/>
        <v>-1.322950219856827</v>
      </c>
      <c r="G16" s="22">
        <f t="shared" si="6"/>
        <v>1.3301895795326553</v>
      </c>
      <c r="H16" s="22">
        <f t="shared" si="3"/>
        <v>-4.1676552694656088E-3</v>
      </c>
      <c r="I16" s="23">
        <f t="shared" si="2"/>
        <v>1.2618644874056173E-3</v>
      </c>
    </row>
    <row r="17" spans="1:9" ht="14.1" customHeight="1" thickBot="1" x14ac:dyDescent="0.6">
      <c r="A17" s="12" t="s">
        <v>18</v>
      </c>
      <c r="B17" s="20">
        <v>-1</v>
      </c>
      <c r="C17" s="14">
        <v>-1</v>
      </c>
      <c r="E17" s="21">
        <f t="shared" si="4"/>
        <v>14</v>
      </c>
      <c r="F17" s="22">
        <f t="shared" si="5"/>
        <v>-1.3271178751262926</v>
      </c>
      <c r="G17" s="22">
        <f t="shared" si="6"/>
        <v>1.3314514440200609</v>
      </c>
      <c r="H17" s="22">
        <f t="shared" si="3"/>
        <v>-2.494809208396398E-3</v>
      </c>
      <c r="I17" s="23">
        <f t="shared" si="2"/>
        <v>7.553674619298345E-4</v>
      </c>
    </row>
    <row r="18" spans="1:9" ht="14.1" customHeight="1" thickBot="1" x14ac:dyDescent="0.4">
      <c r="E18" s="21">
        <f t="shared" si="4"/>
        <v>15</v>
      </c>
      <c r="F18" s="22">
        <f t="shared" si="5"/>
        <v>-1.3296126843346889</v>
      </c>
      <c r="G18" s="22">
        <f t="shared" si="6"/>
        <v>1.3322068114819907</v>
      </c>
      <c r="H18" s="22">
        <f t="shared" si="3"/>
        <v>-1.493423175332409E-3</v>
      </c>
      <c r="I18" s="23">
        <f t="shared" si="2"/>
        <v>4.5217218514381763E-4</v>
      </c>
    </row>
    <row r="19" spans="1:9" ht="14.1" customHeight="1" x14ac:dyDescent="0.35">
      <c r="A19" s="36" t="s">
        <v>25</v>
      </c>
      <c r="B19" s="39" t="s">
        <v>26</v>
      </c>
      <c r="C19" s="40" t="s">
        <v>27</v>
      </c>
      <c r="E19" s="21">
        <f t="shared" si="4"/>
        <v>16</v>
      </c>
      <c r="F19" s="22">
        <f t="shared" si="5"/>
        <v>-1.3311061075100215</v>
      </c>
      <c r="G19" s="22">
        <f t="shared" si="6"/>
        <v>1.3326589836671345</v>
      </c>
      <c r="H19" s="22">
        <f t="shared" si="3"/>
        <v>-8.9398128892737017E-4</v>
      </c>
      <c r="I19" s="23">
        <f t="shared" si="2"/>
        <v>2.706758289074962E-4</v>
      </c>
    </row>
    <row r="20" spans="1:9" ht="14.1" customHeight="1" x14ac:dyDescent="0.35">
      <c r="A20" s="15" t="s">
        <v>36</v>
      </c>
      <c r="B20" s="27">
        <f>Theta*Delta/((Alpha*Delta-Gamma*Beta))*z1_0+Ita*Beta/((Alpha*Delta-Gamma*Beta))*z2_0</f>
        <v>0.88888888888888884</v>
      </c>
      <c r="C20" s="28">
        <f>Theta*Delta/((Alpha*Delta-Gamma*Beta))*z1_1+Ita*Beta/((Alpha*Delta-Gamma*Beta))*z2_1</f>
        <v>-1.3333333333333335</v>
      </c>
      <c r="E20" s="21">
        <f t="shared" si="4"/>
        <v>17</v>
      </c>
      <c r="F20" s="22">
        <f t="shared" si="5"/>
        <v>-1.3320000887989489</v>
      </c>
      <c r="G20" s="22">
        <f t="shared" si="6"/>
        <v>1.332929659496042</v>
      </c>
      <c r="H20" s="22">
        <f t="shared" si="3"/>
        <v>-5.3514805224175177E-4</v>
      </c>
      <c r="I20" s="23">
        <f t="shared" si="2"/>
        <v>1.6202997057801483E-4</v>
      </c>
    </row>
    <row r="21" spans="1:9" ht="14.1" customHeight="1" thickBot="1" x14ac:dyDescent="0.4">
      <c r="A21" s="44" t="s">
        <v>37</v>
      </c>
      <c r="B21" s="29">
        <f>Theta*Gamma/((Alpha*Delta-Gamma*Beta))*z1_0+Ita*Alpha/((Alpha*Delta-Gamma*Beta))*z2_0</f>
        <v>0.44444444444444442</v>
      </c>
      <c r="C21" s="30">
        <f>Theta*Gamma/((Alpha*Delta-Gamma*Beta))*z1_1+Ita*Alpha/((Alpha*Delta-Gamma*Beta))*z2_1</f>
        <v>1.3333333333333333</v>
      </c>
      <c r="E21" s="21">
        <f t="shared" si="4"/>
        <v>18</v>
      </c>
      <c r="F21" s="22">
        <f t="shared" si="5"/>
        <v>-1.3325352368511907</v>
      </c>
      <c r="G21" s="22">
        <f t="shared" si="6"/>
        <v>1.33309168946662</v>
      </c>
      <c r="H21" s="22">
        <f t="shared" si="3"/>
        <v>-3.2034605389230641E-4</v>
      </c>
      <c r="I21" s="23">
        <f t="shared" si="2"/>
        <v>9.6993407679768495E-5</v>
      </c>
    </row>
    <row r="22" spans="1:9" ht="14.1" customHeight="1" thickBot="1" x14ac:dyDescent="0.4">
      <c r="E22" s="21">
        <f t="shared" si="4"/>
        <v>19</v>
      </c>
      <c r="F22" s="22">
        <f t="shared" si="5"/>
        <v>-1.332855582905083</v>
      </c>
      <c r="G22" s="22">
        <f t="shared" si="6"/>
        <v>1.3331886828742998</v>
      </c>
      <c r="H22" s="22">
        <f t="shared" si="3"/>
        <v>-1.9176283657929005E-4</v>
      </c>
      <c r="I22" s="23">
        <f t="shared" si="2"/>
        <v>5.8062140333436929E-5</v>
      </c>
    </row>
    <row r="23" spans="1:9" ht="14.1" customHeight="1" x14ac:dyDescent="0.35">
      <c r="A23" s="36" t="s">
        <v>28</v>
      </c>
      <c r="B23" s="39" t="s">
        <v>29</v>
      </c>
      <c r="C23" s="40" t="s">
        <v>30</v>
      </c>
      <c r="E23" s="21">
        <f t="shared" si="4"/>
        <v>20</v>
      </c>
      <c r="F23" s="22">
        <f t="shared" si="5"/>
        <v>-1.3330473457416623</v>
      </c>
      <c r="G23" s="22">
        <f t="shared" si="6"/>
        <v>1.3332467450146332</v>
      </c>
      <c r="H23" s="22">
        <f t="shared" si="3"/>
        <v>-1.147910572678601E-4</v>
      </c>
      <c r="I23" s="23">
        <f t="shared" si="2"/>
        <v>3.4758397460254997E-5</v>
      </c>
    </row>
    <row r="24" spans="1:9" ht="14.1" customHeight="1" x14ac:dyDescent="0.55000000000000004">
      <c r="A24" s="9" t="s">
        <v>11</v>
      </c>
      <c r="B24" s="31">
        <f>IF((Alpha+Delta)^2-4*(Alpha*Delta-Gamma*Beta)&gt;0,(-(Alpha+Delta)-SQRT((Alpha+Delta)^2-4*(Alpha*Delta-Gamma*Beta)))/2,(-(Alpha+Delta))/2)</f>
        <v>-0.40138781886599728</v>
      </c>
      <c r="C24" s="16">
        <f>IF((Alpha+Delta)^2-4*(Alpha*Delta-Gamma*Beta)&gt;0, 3-3, +SQRT(-((Alpha+Delta)^2-4*(Alpha*Delta-Gamma*Beta)))/2)</f>
        <v>0</v>
      </c>
      <c r="E24" s="21">
        <f t="shared" si="4"/>
        <v>21</v>
      </c>
      <c r="F24" s="22">
        <f t="shared" si="5"/>
        <v>-1.3331621367989301</v>
      </c>
      <c r="G24" s="22">
        <f t="shared" si="6"/>
        <v>1.3332815034120935</v>
      </c>
      <c r="H24" s="22">
        <f t="shared" si="3"/>
        <v>-6.8714094220712063E-5</v>
      </c>
      <c r="I24" s="23">
        <f t="shared" si="2"/>
        <v>2.081086565186574E-5</v>
      </c>
    </row>
    <row r="25" spans="1:9" ht="14.1" customHeight="1" thickBot="1" x14ac:dyDescent="0.6">
      <c r="A25" s="12" t="s">
        <v>12</v>
      </c>
      <c r="B25" s="32">
        <f>IF((Alpha+Delta)^2-4*(Alpha*Delta-Gamma*Beta)&gt;0,(-(Alpha+Delta)+SQRT((Alpha+Delta)^2-4*(Alpha*Delta-Gamma*Beta)))/2,(-(Alpha+Delta))/2)</f>
        <v>1.4013878188659974</v>
      </c>
      <c r="C25" s="18">
        <f>IF((Alpha+Delta)^2-4*(Alpha*Delta-Gamma*Beta)&gt;0, 3-3, -SQRT(-((Alpha+Delta)^2-4*(Alpha*Delta-Gamma*Beta)))/2)</f>
        <v>0</v>
      </c>
      <c r="E25" s="21">
        <f t="shared" si="4"/>
        <v>22</v>
      </c>
      <c r="F25" s="22">
        <f t="shared" si="5"/>
        <v>-1.333230850893151</v>
      </c>
      <c r="G25" s="22">
        <f t="shared" si="6"/>
        <v>1.3333023142777454</v>
      </c>
      <c r="H25" s="22">
        <f t="shared" si="3"/>
        <v>-4.1130137839573422E-5</v>
      </c>
      <c r="I25" s="23">
        <f t="shared" si="2"/>
        <v>1.2467400606119838E-5</v>
      </c>
    </row>
    <row r="26" spans="1:9" ht="14.1" customHeight="1" thickBot="1" x14ac:dyDescent="0.4">
      <c r="E26" s="21">
        <f t="shared" si="4"/>
        <v>23</v>
      </c>
      <c r="F26" s="22">
        <f t="shared" si="5"/>
        <v>-1.3332719810309905</v>
      </c>
      <c r="G26" s="22">
        <f t="shared" si="6"/>
        <v>1.3333147816783515</v>
      </c>
      <c r="H26" s="22">
        <f t="shared" si="3"/>
        <v>-2.4613903076620147E-5</v>
      </c>
      <c r="I26" s="23">
        <f t="shared" si="2"/>
        <v>7.48658244420497E-6</v>
      </c>
    </row>
    <row r="27" spans="1:9" ht="14.1" customHeight="1" x14ac:dyDescent="0.35">
      <c r="A27" s="36" t="s">
        <v>31</v>
      </c>
      <c r="B27" s="38"/>
      <c r="E27" s="21">
        <f t="shared" si="4"/>
        <v>24</v>
      </c>
      <c r="F27" s="22">
        <f t="shared" si="5"/>
        <v>-1.3332965949340672</v>
      </c>
      <c r="G27" s="22">
        <f t="shared" si="6"/>
        <v>1.3333222682607957</v>
      </c>
      <c r="H27" s="22">
        <f t="shared" si="3"/>
        <v>-1.4717136085362625E-5</v>
      </c>
      <c r="I27" s="23">
        <f t="shared" si="2"/>
        <v>4.5378589610400866E-6</v>
      </c>
    </row>
    <row r="28" spans="1:9" ht="14.1" customHeight="1" x14ac:dyDescent="0.55000000000000004">
      <c r="A28" s="9" t="s">
        <v>32</v>
      </c>
      <c r="B28" s="33">
        <f>IF(C24=0,ABS(1+B24),SQRT((1+B24)^2+C24^2))</f>
        <v>0.59861218113400272</v>
      </c>
      <c r="E28" s="21">
        <f t="shared" si="4"/>
        <v>25</v>
      </c>
      <c r="F28" s="22">
        <f t="shared" si="5"/>
        <v>-1.3333113120701525</v>
      </c>
      <c r="G28" s="22">
        <f t="shared" si="6"/>
        <v>1.3333268061197567</v>
      </c>
      <c r="H28" s="22">
        <f t="shared" si="3"/>
        <v>-8.7689225835019258E-6</v>
      </c>
      <c r="I28" s="23">
        <f t="shared" si="2"/>
        <v>2.8516146197699044E-6</v>
      </c>
    </row>
    <row r="29" spans="1:9" ht="14.1" customHeight="1" thickBot="1" x14ac:dyDescent="0.6">
      <c r="A29" s="12" t="s">
        <v>33</v>
      </c>
      <c r="B29" s="34">
        <f>IF(C25=0,ABS(1+B25),SQRT((1+B25)^2+C25^2))</f>
        <v>2.4013878188659974</v>
      </c>
      <c r="E29" s="21">
        <f t="shared" si="4"/>
        <v>26</v>
      </c>
      <c r="F29" s="22">
        <f t="shared" si="5"/>
        <v>-1.3333200809927361</v>
      </c>
      <c r="G29" s="22">
        <f t="shared" si="6"/>
        <v>1.3333296577343765</v>
      </c>
      <c r="H29" s="22">
        <f t="shared" si="3"/>
        <v>-5.1508846277137366E-6</v>
      </c>
      <c r="I29" s="23">
        <f t="shared" si="2"/>
        <v>2.0316716025092774E-6</v>
      </c>
    </row>
    <row r="30" spans="1:9" ht="14.1" customHeight="1" x14ac:dyDescent="0.35">
      <c r="E30" s="21">
        <f t="shared" si="4"/>
        <v>27</v>
      </c>
      <c r="F30" s="22">
        <f t="shared" si="5"/>
        <v>-1.3333252318773638</v>
      </c>
      <c r="G30" s="22">
        <f t="shared" si="6"/>
        <v>1.333331689405979</v>
      </c>
      <c r="H30" s="22">
        <f t="shared" si="3"/>
        <v>-2.8473276695306637E-6</v>
      </c>
      <c r="I30" s="23">
        <f t="shared" si="2"/>
        <v>1.9958187917890058E-6</v>
      </c>
    </row>
    <row r="31" spans="1:9" ht="14.1" customHeight="1" x14ac:dyDescent="0.35">
      <c r="E31" s="21">
        <f t="shared" si="4"/>
        <v>28</v>
      </c>
      <c r="F31" s="22">
        <f t="shared" si="5"/>
        <v>-1.3333280792050335</v>
      </c>
      <c r="G31" s="22">
        <f t="shared" si="6"/>
        <v>1.3333336852247708</v>
      </c>
      <c r="H31" s="22">
        <f t="shared" si="3"/>
        <v>-1.1375863562257393E-6</v>
      </c>
      <c r="I31" s="23">
        <f t="shared" si="2"/>
        <v>3.0669284467599311E-6</v>
      </c>
    </row>
    <row r="32" spans="1:9" ht="14.1" customHeight="1" x14ac:dyDescent="0.35">
      <c r="E32" s="21">
        <f t="shared" si="4"/>
        <v>29</v>
      </c>
      <c r="F32" s="22">
        <f t="shared" si="5"/>
        <v>-1.3333292167913897</v>
      </c>
      <c r="G32" s="22">
        <f t="shared" si="6"/>
        <v>1.3333367521532176</v>
      </c>
      <c r="H32" s="22">
        <f t="shared" si="3"/>
        <v>6.8027445632168337E-7</v>
      </c>
      <c r="I32" s="23">
        <f t="shared" si="2"/>
        <v>6.3317958269859531E-6</v>
      </c>
    </row>
    <row r="33" spans="3:9" ht="14.1" customHeight="1" thickBot="1" x14ac:dyDescent="0.4">
      <c r="E33" s="24">
        <f t="shared" si="4"/>
        <v>30</v>
      </c>
      <c r="F33" s="25">
        <f t="shared" ref="F33" si="9">F32+H32</f>
        <v>-1.3333285365169334</v>
      </c>
      <c r="G33" s="25">
        <f t="shared" ref="G33" si="10">G32+I32</f>
        <v>1.3333430839490445</v>
      </c>
      <c r="H33" s="25">
        <f t="shared" si="3"/>
        <v>3.6761037556232168E-6</v>
      </c>
      <c r="I33" s="26">
        <f t="shared" si="2"/>
        <v>1.4586677838934747E-5</v>
      </c>
    </row>
    <row r="34" spans="3:9" ht="14.1" customHeight="1" x14ac:dyDescent="0.35">
      <c r="C34" s="5"/>
    </row>
    <row r="35" spans="3:9" ht="14.1" customHeight="1" x14ac:dyDescent="0.35"/>
    <row r="36" spans="3:9" ht="14.1" customHeight="1" x14ac:dyDescent="0.35"/>
    <row r="37" spans="3:9" ht="14.1" customHeight="1" x14ac:dyDescent="0.35"/>
    <row r="38" spans="3:9" ht="14.1" customHeight="1" x14ac:dyDescent="0.35"/>
    <row r="39" spans="3:9" ht="14.1" customHeight="1" x14ac:dyDescent="0.35"/>
    <row r="40" spans="3:9" ht="14.1" customHeight="1" x14ac:dyDescent="0.35"/>
    <row r="41" spans="3:9" ht="14.1" customHeight="1" x14ac:dyDescent="0.35"/>
    <row r="42" spans="3:9" ht="14.1" customHeight="1" x14ac:dyDescent="0.35"/>
    <row r="43" spans="3:9" ht="14.1" customHeight="1" x14ac:dyDescent="0.35"/>
    <row r="44" spans="3:9" ht="14.1" customHeight="1" x14ac:dyDescent="0.35"/>
    <row r="45" spans="3:9" ht="14.1" customHeight="1" x14ac:dyDescent="0.35"/>
  </sheetData>
  <phoneticPr fontId="0" type="noConversion"/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45"/>
  <sheetViews>
    <sheetView workbookViewId="0">
      <selection sqref="A1:XFD1048576"/>
    </sheetView>
  </sheetViews>
  <sheetFormatPr defaultColWidth="11.3984375" defaultRowHeight="13.9" x14ac:dyDescent="0.35"/>
  <cols>
    <col min="1" max="1" width="24.59765625" style="1" customWidth="1"/>
    <col min="2" max="2" width="11.3984375" style="1"/>
    <col min="3" max="3" width="22" style="1" customWidth="1"/>
    <col min="4" max="4" width="8.3984375" style="1" customWidth="1"/>
    <col min="5" max="5" width="9.3984375" style="1" customWidth="1"/>
    <col min="6" max="7" width="9.1328125" style="1" customWidth="1"/>
    <col min="8" max="8" width="8.73046875" style="1" customWidth="1"/>
    <col min="9" max="9" width="8.265625" style="1" customWidth="1"/>
    <col min="10" max="10" width="7.59765625" style="1" customWidth="1"/>
    <col min="11" max="16384" width="11.3984375" style="1"/>
  </cols>
  <sheetData>
    <row r="1" spans="1:57" ht="14.1" customHeight="1" thickBot="1" x14ac:dyDescent="0.4">
      <c r="A1" s="6"/>
      <c r="B1" s="7"/>
      <c r="C1" s="8"/>
      <c r="BB1" s="2"/>
    </row>
    <row r="2" spans="1:57" ht="14.1" customHeight="1" thickBot="1" x14ac:dyDescent="0.4">
      <c r="E2" s="41"/>
      <c r="F2" s="42"/>
      <c r="G2" s="42"/>
      <c r="H2" s="42"/>
      <c r="I2" s="43"/>
      <c r="BB2" s="3"/>
      <c r="BC2" s="3"/>
      <c r="BD2" s="3"/>
    </row>
    <row r="3" spans="1:57" ht="14.1" customHeight="1" x14ac:dyDescent="0.35">
      <c r="A3" s="36"/>
      <c r="B3" s="37"/>
      <c r="C3" s="38"/>
      <c r="E3" s="21"/>
      <c r="F3" s="22"/>
      <c r="G3" s="22"/>
      <c r="H3" s="22"/>
      <c r="I3" s="23"/>
    </row>
    <row r="4" spans="1:57" ht="14.1" customHeight="1" x14ac:dyDescent="0.4">
      <c r="A4" s="9"/>
      <c r="B4" s="10"/>
      <c r="C4" s="11"/>
      <c r="E4" s="21"/>
      <c r="F4" s="22"/>
      <c r="G4" s="22"/>
      <c r="H4" s="35"/>
      <c r="I4" s="23"/>
    </row>
    <row r="5" spans="1:57" ht="14.1" customHeight="1" thickBot="1" x14ac:dyDescent="0.45">
      <c r="A5" s="12"/>
      <c r="B5" s="13"/>
      <c r="C5" s="14"/>
      <c r="E5" s="21"/>
      <c r="F5" s="22"/>
      <c r="G5" s="22"/>
      <c r="H5" s="22"/>
      <c r="I5" s="23"/>
    </row>
    <row r="6" spans="1:57" ht="14.1" customHeight="1" thickBot="1" x14ac:dyDescent="0.4">
      <c r="E6" s="21"/>
      <c r="F6" s="22"/>
      <c r="G6" s="22"/>
      <c r="H6" s="22"/>
      <c r="I6" s="23"/>
      <c r="BE6" s="4"/>
    </row>
    <row r="7" spans="1:57" ht="14.1" customHeight="1" x14ac:dyDescent="0.35">
      <c r="A7" s="36"/>
      <c r="B7" s="38"/>
      <c r="E7" s="21"/>
      <c r="F7" s="22"/>
      <c r="G7" s="22"/>
      <c r="H7" s="22"/>
      <c r="I7" s="23"/>
    </row>
    <row r="8" spans="1:57" ht="14.1" customHeight="1" x14ac:dyDescent="0.35">
      <c r="A8" s="15"/>
      <c r="B8" s="16"/>
      <c r="E8" s="21"/>
      <c r="F8" s="22"/>
      <c r="G8" s="22"/>
      <c r="H8" s="22"/>
      <c r="I8" s="23"/>
    </row>
    <row r="9" spans="1:57" ht="14.1" customHeight="1" x14ac:dyDescent="0.35">
      <c r="A9" s="15"/>
      <c r="B9" s="16"/>
      <c r="E9" s="21"/>
      <c r="F9" s="22"/>
      <c r="G9" s="22"/>
      <c r="H9" s="22"/>
      <c r="I9" s="23"/>
    </row>
    <row r="10" spans="1:57" ht="14.1" customHeight="1" x14ac:dyDescent="0.35">
      <c r="A10" s="15"/>
      <c r="B10" s="16"/>
      <c r="E10" s="21"/>
      <c r="F10" s="22"/>
      <c r="G10" s="22"/>
      <c r="H10" s="22"/>
      <c r="I10" s="23"/>
    </row>
    <row r="11" spans="1:57" ht="14.1" customHeight="1" x14ac:dyDescent="0.35">
      <c r="A11" s="15"/>
      <c r="B11" s="16"/>
      <c r="E11" s="21"/>
      <c r="F11" s="22"/>
      <c r="G11" s="22"/>
      <c r="H11" s="22"/>
      <c r="I11" s="23"/>
    </row>
    <row r="12" spans="1:57" ht="14.1" customHeight="1" x14ac:dyDescent="0.35">
      <c r="A12" s="15"/>
      <c r="B12" s="16"/>
      <c r="E12" s="21"/>
      <c r="F12" s="22"/>
      <c r="G12" s="22"/>
      <c r="H12" s="22"/>
      <c r="I12" s="23"/>
    </row>
    <row r="13" spans="1:57" ht="14.1" customHeight="1" thickBot="1" x14ac:dyDescent="0.4">
      <c r="A13" s="17"/>
      <c r="B13" s="18"/>
      <c r="C13" s="2"/>
      <c r="E13" s="21"/>
      <c r="F13" s="22"/>
      <c r="G13" s="22"/>
      <c r="H13" s="22"/>
      <c r="I13" s="23"/>
    </row>
    <row r="14" spans="1:57" ht="14.1" customHeight="1" thickBot="1" x14ac:dyDescent="0.4">
      <c r="C14" s="2"/>
      <c r="E14" s="21"/>
      <c r="F14" s="22"/>
      <c r="G14" s="22"/>
      <c r="H14" s="22"/>
      <c r="I14" s="23"/>
    </row>
    <row r="15" spans="1:57" ht="14.1" customHeight="1" x14ac:dyDescent="0.35">
      <c r="A15" s="36"/>
      <c r="B15" s="39"/>
      <c r="C15" s="40"/>
      <c r="E15" s="21"/>
      <c r="F15" s="22"/>
      <c r="G15" s="22"/>
      <c r="H15" s="22"/>
      <c r="I15" s="23"/>
    </row>
    <row r="16" spans="1:57" ht="14.1" customHeight="1" x14ac:dyDescent="0.4">
      <c r="A16" s="9"/>
      <c r="B16" s="19"/>
      <c r="C16" s="11"/>
      <c r="E16" s="21"/>
      <c r="F16" s="22"/>
      <c r="G16" s="22"/>
      <c r="H16" s="22"/>
      <c r="I16" s="23"/>
    </row>
    <row r="17" spans="1:9" ht="14.1" customHeight="1" thickBot="1" x14ac:dyDescent="0.45">
      <c r="A17" s="12"/>
      <c r="B17" s="20"/>
      <c r="C17" s="14"/>
      <c r="E17" s="21"/>
      <c r="F17" s="22"/>
      <c r="G17" s="22"/>
      <c r="H17" s="22"/>
      <c r="I17" s="23"/>
    </row>
    <row r="18" spans="1:9" ht="14.1" customHeight="1" thickBot="1" x14ac:dyDescent="0.4">
      <c r="E18" s="21"/>
      <c r="F18" s="22"/>
      <c r="G18" s="22"/>
      <c r="H18" s="22"/>
      <c r="I18" s="23"/>
    </row>
    <row r="19" spans="1:9" ht="14.1" customHeight="1" x14ac:dyDescent="0.35">
      <c r="A19" s="36"/>
      <c r="B19" s="39"/>
      <c r="C19" s="40"/>
      <c r="E19" s="21"/>
      <c r="F19" s="22"/>
      <c r="G19" s="22"/>
      <c r="H19" s="22"/>
      <c r="I19" s="23"/>
    </row>
    <row r="20" spans="1:9" ht="14.1" customHeight="1" x14ac:dyDescent="0.35">
      <c r="A20" s="15"/>
      <c r="B20" s="27"/>
      <c r="C20" s="28"/>
      <c r="E20" s="21"/>
      <c r="F20" s="22"/>
      <c r="G20" s="22"/>
      <c r="H20" s="22"/>
      <c r="I20" s="23"/>
    </row>
    <row r="21" spans="1:9" ht="14.1" customHeight="1" thickBot="1" x14ac:dyDescent="0.4">
      <c r="A21" s="44"/>
      <c r="B21" s="29"/>
      <c r="C21" s="30"/>
      <c r="E21" s="21"/>
      <c r="F21" s="22"/>
      <c r="G21" s="22"/>
      <c r="H21" s="22"/>
      <c r="I21" s="23"/>
    </row>
    <row r="22" spans="1:9" ht="14.1" customHeight="1" thickBot="1" x14ac:dyDescent="0.4">
      <c r="E22" s="21"/>
      <c r="F22" s="22"/>
      <c r="G22" s="22"/>
      <c r="H22" s="22"/>
      <c r="I22" s="23"/>
    </row>
    <row r="23" spans="1:9" ht="14.1" customHeight="1" x14ac:dyDescent="0.35">
      <c r="A23" s="36"/>
      <c r="B23" s="39"/>
      <c r="C23" s="40"/>
      <c r="E23" s="21"/>
      <c r="F23" s="22"/>
      <c r="G23" s="22"/>
      <c r="H23" s="22"/>
      <c r="I23" s="23"/>
    </row>
    <row r="24" spans="1:9" ht="14.1" customHeight="1" x14ac:dyDescent="0.4">
      <c r="A24" s="9"/>
      <c r="B24" s="31"/>
      <c r="C24" s="16"/>
      <c r="E24" s="21"/>
      <c r="F24" s="22"/>
      <c r="G24" s="22"/>
      <c r="H24" s="22"/>
      <c r="I24" s="23"/>
    </row>
    <row r="25" spans="1:9" ht="14.1" customHeight="1" thickBot="1" x14ac:dyDescent="0.45">
      <c r="A25" s="12"/>
      <c r="B25" s="32"/>
      <c r="C25" s="18"/>
      <c r="E25" s="21"/>
      <c r="F25" s="22"/>
      <c r="G25" s="22"/>
      <c r="H25" s="22"/>
      <c r="I25" s="23"/>
    </row>
    <row r="26" spans="1:9" ht="14.1" customHeight="1" thickBot="1" x14ac:dyDescent="0.4">
      <c r="E26" s="21"/>
      <c r="F26" s="22"/>
      <c r="G26" s="22"/>
      <c r="H26" s="22"/>
      <c r="I26" s="23"/>
    </row>
    <row r="27" spans="1:9" ht="14.1" customHeight="1" x14ac:dyDescent="0.35">
      <c r="A27" s="36"/>
      <c r="B27" s="38"/>
      <c r="E27" s="21"/>
      <c r="F27" s="22"/>
      <c r="G27" s="22"/>
      <c r="H27" s="22"/>
      <c r="I27" s="23"/>
    </row>
    <row r="28" spans="1:9" ht="14.1" customHeight="1" x14ac:dyDescent="0.4">
      <c r="A28" s="9"/>
      <c r="B28" s="33"/>
      <c r="E28" s="21"/>
      <c r="F28" s="22"/>
      <c r="G28" s="22"/>
      <c r="H28" s="22"/>
      <c r="I28" s="23"/>
    </row>
    <row r="29" spans="1:9" ht="14.1" customHeight="1" thickBot="1" x14ac:dyDescent="0.45">
      <c r="A29" s="12"/>
      <c r="B29" s="34"/>
      <c r="E29" s="21"/>
      <c r="F29" s="22"/>
      <c r="G29" s="22"/>
      <c r="H29" s="22"/>
      <c r="I29" s="23"/>
    </row>
    <row r="30" spans="1:9" ht="14.1" customHeight="1" x14ac:dyDescent="0.35">
      <c r="E30" s="21"/>
      <c r="F30" s="22"/>
      <c r="G30" s="22"/>
      <c r="H30" s="22"/>
      <c r="I30" s="23"/>
    </row>
    <row r="31" spans="1:9" ht="14.1" customHeight="1" x14ac:dyDescent="0.35">
      <c r="E31" s="21"/>
      <c r="F31" s="22"/>
      <c r="G31" s="22"/>
      <c r="H31" s="22"/>
      <c r="I31" s="23"/>
    </row>
    <row r="32" spans="1:9" ht="14.1" customHeight="1" x14ac:dyDescent="0.35">
      <c r="E32" s="21"/>
      <c r="F32" s="22"/>
      <c r="G32" s="22"/>
      <c r="H32" s="22"/>
      <c r="I32" s="23"/>
    </row>
    <row r="33" spans="3:9" ht="14.1" customHeight="1" thickBot="1" x14ac:dyDescent="0.4">
      <c r="E33" s="24"/>
      <c r="F33" s="25"/>
      <c r="G33" s="25"/>
      <c r="H33" s="25"/>
      <c r="I33" s="26"/>
    </row>
    <row r="34" spans="3:9" ht="14.1" customHeight="1" x14ac:dyDescent="0.35">
      <c r="C34" s="5"/>
    </row>
    <row r="35" spans="3:9" ht="14.1" customHeight="1" x14ac:dyDescent="0.35"/>
    <row r="36" spans="3:9" ht="14.1" customHeight="1" x14ac:dyDescent="0.35"/>
    <row r="37" spans="3:9" ht="14.1" customHeight="1" x14ac:dyDescent="0.35"/>
    <row r="38" spans="3:9" ht="14.1" customHeight="1" x14ac:dyDescent="0.35"/>
    <row r="39" spans="3:9" ht="14.1" customHeight="1" x14ac:dyDescent="0.35"/>
    <row r="40" spans="3:9" ht="14.1" customHeight="1" x14ac:dyDescent="0.35"/>
    <row r="41" spans="3:9" ht="14.1" customHeight="1" x14ac:dyDescent="0.35"/>
    <row r="42" spans="3:9" ht="14.1" customHeight="1" x14ac:dyDescent="0.35"/>
    <row r="43" spans="3:9" ht="14.1" customHeight="1" x14ac:dyDescent="0.35"/>
    <row r="44" spans="3:9" ht="14.1" customHeight="1" x14ac:dyDescent="0.35"/>
    <row r="45" spans="3:9" ht="14.1" customHeight="1" x14ac:dyDescent="0.35"/>
  </sheetData>
  <phoneticPr fontId="0" type="noConversion"/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0.73046875" defaultRowHeight="12.75" x14ac:dyDescent="0.35"/>
  <sheetData/>
  <phoneticPr fontId="0" type="noConversion"/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18</vt:i4>
      </vt:variant>
    </vt:vector>
  </HeadingPairs>
  <TitlesOfParts>
    <vt:vector size="21" baseType="lpstr">
      <vt:lpstr>Hoja1</vt:lpstr>
      <vt:lpstr>Hoja2</vt:lpstr>
      <vt:lpstr>Hoja3</vt:lpstr>
      <vt:lpstr>Alpha</vt:lpstr>
      <vt:lpstr>Beta</vt:lpstr>
      <vt:lpstr>Delta</vt:lpstr>
      <vt:lpstr>Gamma</vt:lpstr>
      <vt:lpstr>Ita</vt:lpstr>
      <vt:lpstr>Lambda1</vt:lpstr>
      <vt:lpstr>Lambda1_0</vt:lpstr>
      <vt:lpstr>Lambda2</vt:lpstr>
      <vt:lpstr>Theta</vt:lpstr>
      <vt:lpstr>x1bar_0</vt:lpstr>
      <vt:lpstr>x1bar_1</vt:lpstr>
      <vt:lpstr>x2bar_0</vt:lpstr>
      <vt:lpstr>x2bar_1</vt:lpstr>
      <vt:lpstr>x2bar0</vt:lpstr>
      <vt:lpstr>z1_0</vt:lpstr>
      <vt:lpstr>z1_1</vt:lpstr>
      <vt:lpstr>z2_0</vt:lpstr>
      <vt:lpstr>z2_1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JOSELUIS</dc:creator>
  <cp:lastModifiedBy>Paul McNelis</cp:lastModifiedBy>
  <dcterms:created xsi:type="dcterms:W3CDTF">2009-07-04T07:41:09Z</dcterms:created>
  <dcterms:modified xsi:type="dcterms:W3CDTF">2025-09-15T20:14:51Z</dcterms:modified>
</cp:coreProperties>
</file>