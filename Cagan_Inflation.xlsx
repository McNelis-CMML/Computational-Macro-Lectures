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stlePaul1906\Dropbox\ComputMacro\"/>
    </mc:Choice>
  </mc:AlternateContent>
  <xr:revisionPtr revIDLastSave="0" documentId="13_ncr:1_{AB003B62-78C0-403E-B8CB-2B871EC7DCCE}" xr6:coauthVersionLast="47" xr6:coauthVersionMax="47" xr10:uidLastSave="{00000000-0000-0000-0000-000000000000}"/>
  <bookViews>
    <workbookView xWindow="-90" yWindow="-90" windowWidth="19380" windowHeight="10260" xr2:uid="{A9ECA635-EFCB-4E72-9A6B-610E71A93226}"/>
  </bookViews>
  <sheets>
    <sheet name="Sheet1" sheetId="1" r:id="rId1"/>
    <sheet name="Sheet2" sheetId="2" r:id="rId2"/>
  </sheets>
  <definedNames>
    <definedName name="solver_adj" localSheetId="0" hidden="1">Sheet1!$N$92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Sheet1!$O$92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85" i="1"/>
  <c r="O86" i="1"/>
  <c r="O87" i="1"/>
  <c r="O88" i="1"/>
  <c r="O89" i="1"/>
  <c r="O90" i="1"/>
  <c r="O91" i="1"/>
  <c r="O92" i="1"/>
  <c r="N85" i="1"/>
  <c r="N86" i="1" s="1"/>
  <c r="N87" i="1" s="1"/>
  <c r="N88" i="1" s="1"/>
  <c r="N89" i="1" s="1"/>
  <c r="N90" i="1" s="1"/>
  <c r="N91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O105" i="1" s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6" i="1"/>
  <c r="O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3" i="1"/>
  <c r="A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" i="1"/>
  <c r="O104" i="1" l="1"/>
  <c r="O103" i="1"/>
  <c r="O93" i="1"/>
  <c r="O102" i="1"/>
  <c r="O101" i="1"/>
  <c r="O95" i="1"/>
  <c r="O94" i="1"/>
  <c r="O99" i="1"/>
  <c r="O98" i="1"/>
  <c r="O97" i="1"/>
  <c r="O96" i="1"/>
  <c r="O100" i="1"/>
  <c r="O6" i="1" l="1"/>
  <c r="O7" i="1" l="1"/>
  <c r="O8" i="1" l="1"/>
  <c r="O9" i="1" l="1"/>
  <c r="O10" i="1" l="1"/>
  <c r="O11" i="1" l="1"/>
  <c r="O12" i="1" l="1"/>
  <c r="O13" i="1" l="1"/>
  <c r="O14" i="1" l="1"/>
  <c r="O15" i="1" l="1"/>
  <c r="O16" i="1" l="1"/>
  <c r="O17" i="1" l="1"/>
  <c r="O18" i="1" l="1"/>
  <c r="O19" i="1" l="1"/>
  <c r="O20" i="1" l="1"/>
  <c r="O21" i="1" l="1"/>
  <c r="O22" i="1" l="1"/>
  <c r="O23" i="1" l="1"/>
  <c r="O24" i="1" l="1"/>
  <c r="O25" i="1" l="1"/>
  <c r="O26" i="1" l="1"/>
  <c r="O27" i="1" l="1"/>
  <c r="O28" i="1" l="1"/>
  <c r="O29" i="1" l="1"/>
  <c r="O30" i="1" l="1"/>
  <c r="O31" i="1" l="1"/>
  <c r="O32" i="1" l="1"/>
  <c r="O33" i="1" l="1"/>
  <c r="O34" i="1" l="1"/>
  <c r="O35" i="1" l="1"/>
  <c r="O36" i="1" l="1"/>
  <c r="O37" i="1" l="1"/>
  <c r="O38" i="1" l="1"/>
  <c r="O39" i="1" l="1"/>
  <c r="O40" i="1" l="1"/>
  <c r="O41" i="1" l="1"/>
  <c r="O42" i="1" l="1"/>
  <c r="O43" i="1" l="1"/>
  <c r="O44" i="1" l="1"/>
  <c r="O45" i="1" l="1"/>
  <c r="O46" i="1" l="1"/>
  <c r="O47" i="1" l="1"/>
  <c r="O48" i="1" l="1"/>
  <c r="O49" i="1" l="1"/>
  <c r="O50" i="1" l="1"/>
  <c r="O51" i="1" l="1"/>
  <c r="O52" i="1" l="1"/>
  <c r="O53" i="1" l="1"/>
  <c r="O54" i="1" l="1"/>
  <c r="O55" i="1" l="1"/>
  <c r="O56" i="1" l="1"/>
  <c r="O57" i="1" l="1"/>
  <c r="O58" i="1" l="1"/>
  <c r="O59" i="1" l="1"/>
  <c r="O60" i="1" l="1"/>
  <c r="O61" i="1" l="1"/>
  <c r="O62" i="1" l="1"/>
  <c r="O63" i="1" l="1"/>
  <c r="O64" i="1" l="1"/>
  <c r="O65" i="1" l="1"/>
  <c r="O66" i="1" l="1"/>
  <c r="O67" i="1" l="1"/>
  <c r="O68" i="1" l="1"/>
  <c r="O69" i="1" l="1"/>
  <c r="O70" i="1" l="1"/>
  <c r="O71" i="1" l="1"/>
  <c r="O72" i="1" l="1"/>
  <c r="O73" i="1" l="1"/>
  <c r="O74" i="1" l="1"/>
  <c r="O75" i="1" l="1"/>
  <c r="O76" i="1" l="1"/>
  <c r="O77" i="1" l="1"/>
  <c r="O78" i="1" l="1"/>
  <c r="O79" i="1" l="1"/>
  <c r="O80" i="1" l="1"/>
  <c r="O81" i="1" l="1"/>
  <c r="O82" i="1" l="1"/>
  <c r="O84" i="1" l="1"/>
  <c r="O83" i="1"/>
</calcChain>
</file>

<file path=xl/sharedStrings.xml><?xml version="1.0" encoding="utf-8"?>
<sst xmlns="http://schemas.openxmlformats.org/spreadsheetml/2006/main" count="12" uniqueCount="11">
  <si>
    <t>alpha</t>
  </si>
  <si>
    <t>Rev</t>
  </si>
  <si>
    <t>Inf</t>
  </si>
  <si>
    <t>The second column is a grid on the inflation rate</t>
  </si>
  <si>
    <t>The firist column is the seigniorage, given by the formula,  pi * exp(-alpha pi)</t>
  </si>
  <si>
    <t>The fixed value of alpha is in G1</t>
  </si>
  <si>
    <t>Pi</t>
  </si>
  <si>
    <t>Loss</t>
  </si>
  <si>
    <t>xx</t>
  </si>
  <si>
    <t>Finding the Intersection Points</t>
  </si>
  <si>
    <t>On the approximate intersection points, the loss or squared difference between the target  seigniorage of .3  and the two inflation rates are approximated .5 and 1.7.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</si>
</sst>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Cagan</a:t>
            </a:r>
            <a:r>
              <a:rPr lang="en-US" baseline="0"/>
              <a:t> Inflation/Seigniorage Relation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Sheet1!$A$2:$A$60</c:f>
              <c:numCache>
                <c:formatCode>General</c:formatCode>
                <c:ptCount val="59"/>
                <c:pt idx="0">
                  <c:v>0</c:v>
                </c:pt>
                <c:pt idx="1">
                  <c:v>9.048374180359596E-2</c:v>
                </c:pt>
                <c:pt idx="2">
                  <c:v>0.16374615061559639</c:v>
                </c:pt>
                <c:pt idx="3">
                  <c:v>0.22224546620451541</c:v>
                </c:pt>
                <c:pt idx="4">
                  <c:v>0.26812801841425576</c:v>
                </c:pt>
                <c:pt idx="5">
                  <c:v>0.30326532985631671</c:v>
                </c:pt>
                <c:pt idx="6">
                  <c:v>0.32928698165641584</c:v>
                </c:pt>
                <c:pt idx="7">
                  <c:v>0.34760971265398666</c:v>
                </c:pt>
                <c:pt idx="8">
                  <c:v>0.35946317129377725</c:v>
                </c:pt>
                <c:pt idx="9">
                  <c:v>0.36591269376653923</c:v>
                </c:pt>
                <c:pt idx="10">
                  <c:v>0.36787944117144233</c:v>
                </c:pt>
                <c:pt idx="11">
                  <c:v>0.36615819206788752</c:v>
                </c:pt>
                <c:pt idx="12">
                  <c:v>0.36143305429464256</c:v>
                </c:pt>
                <c:pt idx="13">
                  <c:v>0.35429133094421639</c:v>
                </c:pt>
                <c:pt idx="14">
                  <c:v>0.34523574951824904</c:v>
                </c:pt>
                <c:pt idx="15">
                  <c:v>0.33469524022264474</c:v>
                </c:pt>
                <c:pt idx="16">
                  <c:v>0.32303442879144861</c:v>
                </c:pt>
                <c:pt idx="17">
                  <c:v>0.31056199088964886</c:v>
                </c:pt>
                <c:pt idx="18">
                  <c:v>0.29753799879885567</c:v>
                </c:pt>
                <c:pt idx="19">
                  <c:v>0.28418037652300654</c:v>
                </c:pt>
                <c:pt idx="20">
                  <c:v>0.27067056647322529</c:v>
                </c:pt>
                <c:pt idx="21">
                  <c:v>0.25715849933126195</c:v>
                </c:pt>
                <c:pt idx="22">
                  <c:v>0.24376694839713445</c:v>
                </c:pt>
                <c:pt idx="23">
                  <c:v>0.23059534056244849</c:v>
                </c:pt>
                <c:pt idx="24">
                  <c:v>0.21772308789458991</c:v>
                </c:pt>
                <c:pt idx="25">
                  <c:v>0.20521249655974685</c:v>
                </c:pt>
                <c:pt idx="26">
                  <c:v>0.19311130335726798</c:v>
                </c:pt>
                <c:pt idx="27">
                  <c:v>0.18145488439732424</c:v>
                </c:pt>
                <c:pt idx="28">
                  <c:v>0.17026817535061017</c:v>
                </c:pt>
                <c:pt idx="29">
                  <c:v>0.15956733816358085</c:v>
                </c:pt>
                <c:pt idx="30">
                  <c:v>0.14936120510359169</c:v>
                </c:pt>
                <c:pt idx="31">
                  <c:v>0.13965252742002907</c:v>
                </c:pt>
                <c:pt idx="32">
                  <c:v>0.13043905273077175</c:v>
                </c:pt>
                <c:pt idx="33">
                  <c:v>0.12171445242409187</c:v>
                </c:pt>
                <c:pt idx="34">
                  <c:v>0.11346911786510853</c:v>
                </c:pt>
                <c:pt idx="35">
                  <c:v>0.10569084197811462</c:v>
                </c:pt>
                <c:pt idx="36">
                  <c:v>9.8365400810253092E-2</c:v>
                </c:pt>
                <c:pt idx="37">
                  <c:v>9.1477047940255615E-2</c:v>
                </c:pt>
                <c:pt idx="38">
                  <c:v>8.5008933053429131E-2</c:v>
                </c:pt>
                <c:pt idx="39">
                  <c:v>7.8943454638636987E-2</c:v>
                </c:pt>
                <c:pt idx="40">
                  <c:v>7.3262555554936618E-2</c:v>
                </c:pt>
                <c:pt idx="41">
                  <c:v>6.7947969147221038E-2</c:v>
                </c:pt>
                <c:pt idx="42">
                  <c:v>6.2981422646006313E-2</c:v>
                </c:pt>
                <c:pt idx="43">
                  <c:v>5.8344803752463974E-2</c:v>
                </c:pt>
                <c:pt idx="44">
                  <c:v>5.4020295573501124E-2</c:v>
                </c:pt>
                <c:pt idx="45">
                  <c:v>4.9990484422090378E-2</c:v>
                </c:pt>
                <c:pt idx="46">
                  <c:v>4.6238444425314489E-2</c:v>
                </c:pt>
                <c:pt idx="47">
                  <c:v>4.2747802377970365E-2</c:v>
                </c:pt>
                <c:pt idx="48">
                  <c:v>3.9502785835296171E-2</c:v>
                </c:pt>
                <c:pt idx="49">
                  <c:v>3.648825704752931E-2</c:v>
                </c:pt>
                <c:pt idx="50">
                  <c:v>3.3689734995427385E-2</c:v>
                </c:pt>
                <c:pt idx="51">
                  <c:v>3.1093407484129799E-2</c:v>
                </c:pt>
                <c:pt idx="52">
                  <c:v>2.8686134987956077E-2</c:v>
                </c:pt>
                <c:pt idx="53">
                  <c:v>2.6455447706624204E-2</c:v>
                </c:pt>
                <c:pt idx="54">
                  <c:v>2.4389537090108472E-2</c:v>
                </c:pt>
                <c:pt idx="55">
                  <c:v>2.2477242911552432E-2</c:v>
                </c:pt>
                <c:pt idx="56">
                  <c:v>2.070803681230448E-2</c:v>
                </c:pt>
                <c:pt idx="57">
                  <c:v>1.9072003107586322E-2</c:v>
                </c:pt>
                <c:pt idx="58">
                  <c:v>1.7559817523179793E-2</c:v>
                </c:pt>
              </c:numCache>
            </c:numRef>
          </c:xVal>
          <c:yVal>
            <c:numRef>
              <c:f>Sheet1!$B$2:$B$60</c:f>
              <c:numCache>
                <c:formatCode>General</c:formatCode>
                <c:ptCount val="5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DE-414A-B77B-34F148D95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480224"/>
        <c:axId val="540475424"/>
      </c:scatterChart>
      <c:valAx>
        <c:axId val="54048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Seiginorage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75424"/>
        <c:crosses val="autoZero"/>
        <c:crossBetween val="midCat"/>
      </c:valAx>
      <c:valAx>
        <c:axId val="5404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48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8</xdr:row>
      <xdr:rowOff>52387</xdr:rowOff>
    </xdr:from>
    <xdr:to>
      <xdr:col>11</xdr:col>
      <xdr:colOff>333375</xdr:colOff>
      <xdr:row>22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67134F-5503-9874-C14E-529511A72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84B1-E1F2-439E-BF85-3B713B7889A1}">
  <dimension ref="A1:Q200"/>
  <sheetViews>
    <sheetView tabSelected="1" workbookViewId="0">
      <selection activeCell="O92" sqref="O92"/>
    </sheetView>
  </sheetViews>
  <sheetFormatPr defaultRowHeight="14.75" x14ac:dyDescent="0.75"/>
  <sheetData>
    <row r="1" spans="1:17" x14ac:dyDescent="0.75">
      <c r="A1" t="s">
        <v>1</v>
      </c>
      <c r="B1" t="s">
        <v>2</v>
      </c>
      <c r="F1" t="s">
        <v>0</v>
      </c>
      <c r="G1">
        <v>1</v>
      </c>
    </row>
    <row r="2" spans="1:17" x14ac:dyDescent="0.75">
      <c r="A2">
        <f>B2* EXP(-$G$1*B2)</f>
        <v>0</v>
      </c>
      <c r="B2">
        <f>0</f>
        <v>0</v>
      </c>
      <c r="N2" t="s">
        <v>9</v>
      </c>
      <c r="Q2" t="s">
        <v>10</v>
      </c>
    </row>
    <row r="3" spans="1:17" x14ac:dyDescent="0.75">
      <c r="A3">
        <f>B3* EXP(-$G$1*B3)</f>
        <v>9.048374180359596E-2</v>
      </c>
      <c r="B3">
        <f>B2+0.1</f>
        <v>0.1</v>
      </c>
      <c r="N3" t="s">
        <v>6</v>
      </c>
      <c r="O3" t="s">
        <v>7</v>
      </c>
    </row>
    <row r="4" spans="1:17" x14ac:dyDescent="0.75">
      <c r="A4">
        <f t="shared" ref="A4:A67" si="0">B4* EXP(-$G$1*B4)</f>
        <v>0.16374615061559639</v>
      </c>
      <c r="B4">
        <f t="shared" ref="B4:B67" si="1">B3+0.1</f>
        <v>0.2</v>
      </c>
      <c r="F4" t="s">
        <v>3</v>
      </c>
      <c r="N4">
        <v>0.4894184263774774</v>
      </c>
      <c r="O4">
        <f xml:space="preserve"> (0.3 - N4 * EXP(-$G$1 * N4))^2</f>
        <v>2.5706007689228086E-11</v>
      </c>
    </row>
    <row r="5" spans="1:17" x14ac:dyDescent="0.75">
      <c r="A5">
        <f t="shared" si="0"/>
        <v>0.22224546620451541</v>
      </c>
      <c r="B5">
        <f t="shared" si="1"/>
        <v>0.30000000000000004</v>
      </c>
      <c r="F5" t="s">
        <v>4</v>
      </c>
      <c r="N5">
        <v>0.05</v>
      </c>
      <c r="O5">
        <f t="shared" ref="O5:O68" si="2" xml:space="preserve"> (0.3 - N5 * EXP(-$G$1 * N5))^2</f>
        <v>6.3725210810068489E-2</v>
      </c>
    </row>
    <row r="6" spans="1:17" x14ac:dyDescent="0.75">
      <c r="A6">
        <f t="shared" si="0"/>
        <v>0.26812801841425576</v>
      </c>
      <c r="B6">
        <f t="shared" si="1"/>
        <v>0.4</v>
      </c>
      <c r="F6" t="s">
        <v>5</v>
      </c>
      <c r="N6">
        <f>N5+0.02</f>
        <v>7.0000000000000007E-2</v>
      </c>
      <c r="O6">
        <f t="shared" si="2"/>
        <v>5.5099314917404316E-2</v>
      </c>
    </row>
    <row r="7" spans="1:17" x14ac:dyDescent="0.75">
      <c r="A7">
        <f t="shared" si="0"/>
        <v>0.30326532985631671</v>
      </c>
      <c r="B7">
        <f t="shared" si="1"/>
        <v>0.5</v>
      </c>
      <c r="N7">
        <f t="shared" ref="N7:N70" si="3">N6+0.02</f>
        <v>9.0000000000000011E-2</v>
      </c>
      <c r="O7">
        <f t="shared" si="2"/>
        <v>4.7413404707784976E-2</v>
      </c>
    </row>
    <row r="8" spans="1:17" x14ac:dyDescent="0.75">
      <c r="A8">
        <f t="shared" si="0"/>
        <v>0.32928698165641584</v>
      </c>
      <c r="B8">
        <f t="shared" si="1"/>
        <v>0.6</v>
      </c>
      <c r="N8">
        <f t="shared" si="3"/>
        <v>0.11000000000000001</v>
      </c>
      <c r="O8">
        <f t="shared" si="2"/>
        <v>4.0585424525775113E-2</v>
      </c>
    </row>
    <row r="9" spans="1:17" x14ac:dyDescent="0.75">
      <c r="A9">
        <f t="shared" si="0"/>
        <v>0.34760971265398666</v>
      </c>
      <c r="B9">
        <f t="shared" si="1"/>
        <v>0.7</v>
      </c>
      <c r="N9">
        <f t="shared" si="3"/>
        <v>0.13</v>
      </c>
      <c r="O9">
        <f t="shared" si="2"/>
        <v>3.4539328188276486E-2</v>
      </c>
    </row>
    <row r="10" spans="1:17" x14ac:dyDescent="0.75">
      <c r="A10">
        <f t="shared" si="0"/>
        <v>0.35946317129377725</v>
      </c>
      <c r="B10">
        <f t="shared" si="1"/>
        <v>0.79999999999999993</v>
      </c>
      <c r="N10">
        <f t="shared" si="3"/>
        <v>0.15</v>
      </c>
      <c r="O10">
        <f t="shared" si="2"/>
        <v>2.9204692087083442E-2</v>
      </c>
    </row>
    <row r="11" spans="1:17" x14ac:dyDescent="0.75">
      <c r="A11">
        <f t="shared" si="0"/>
        <v>0.36591269376653923</v>
      </c>
      <c r="B11">
        <f t="shared" si="1"/>
        <v>0.89999999999999991</v>
      </c>
      <c r="N11">
        <f t="shared" si="3"/>
        <v>0.16999999999999998</v>
      </c>
      <c r="O11">
        <f t="shared" si="2"/>
        <v>2.4516351035008283E-2</v>
      </c>
    </row>
    <row r="12" spans="1:17" x14ac:dyDescent="0.75">
      <c r="A12">
        <f t="shared" si="0"/>
        <v>0.36787944117144233</v>
      </c>
      <c r="B12">
        <f t="shared" si="1"/>
        <v>0.99999999999999989</v>
      </c>
      <c r="N12">
        <f t="shared" si="3"/>
        <v>0.18999999999999997</v>
      </c>
      <c r="O12">
        <f t="shared" si="2"/>
        <v>2.0414055603022747E-2</v>
      </c>
    </row>
    <row r="13" spans="1:17" x14ac:dyDescent="0.75">
      <c r="A13">
        <f t="shared" si="0"/>
        <v>0.36615819206788752</v>
      </c>
      <c r="B13">
        <f t="shared" si="1"/>
        <v>1.0999999999999999</v>
      </c>
      <c r="N13">
        <f t="shared" si="3"/>
        <v>0.20999999999999996</v>
      </c>
      <c r="O13">
        <f t="shared" si="2"/>
        <v>1.6842149761600433E-2</v>
      </c>
    </row>
    <row r="14" spans="1:17" x14ac:dyDescent="0.75">
      <c r="A14">
        <f t="shared" si="0"/>
        <v>0.36143305429464256</v>
      </c>
      <c r="B14">
        <f t="shared" si="1"/>
        <v>1.2</v>
      </c>
      <c r="N14">
        <f t="shared" si="3"/>
        <v>0.22999999999999995</v>
      </c>
      <c r="O14">
        <f t="shared" si="2"/>
        <v>1.3749267701856296E-2</v>
      </c>
    </row>
    <row r="15" spans="1:17" x14ac:dyDescent="0.75">
      <c r="A15">
        <f t="shared" si="0"/>
        <v>0.35429133094421639</v>
      </c>
      <c r="B15">
        <f t="shared" si="1"/>
        <v>1.3</v>
      </c>
      <c r="N15">
        <f t="shared" si="3"/>
        <v>0.24999999999999994</v>
      </c>
      <c r="O15">
        <f t="shared" si="2"/>
        <v>1.1088048771328867E-2</v>
      </c>
    </row>
    <row r="16" spans="1:17" x14ac:dyDescent="0.75">
      <c r="A16">
        <f t="shared" si="0"/>
        <v>0.34523574951824904</v>
      </c>
      <c r="B16">
        <f t="shared" si="1"/>
        <v>1.4000000000000001</v>
      </c>
      <c r="N16">
        <f t="shared" si="3"/>
        <v>0.26999999999999996</v>
      </c>
      <c r="O16">
        <f t="shared" si="2"/>
        <v>8.8148695154936282E-3</v>
      </c>
    </row>
    <row r="17" spans="1:16" x14ac:dyDescent="0.75">
      <c r="A17">
        <f t="shared" si="0"/>
        <v>0.33469524022264474</v>
      </c>
      <c r="B17">
        <f t="shared" si="1"/>
        <v>1.5000000000000002</v>
      </c>
      <c r="N17">
        <f t="shared" si="3"/>
        <v>0.28999999999999998</v>
      </c>
      <c r="O17">
        <f t="shared" si="2"/>
        <v>6.8895918694799599E-3</v>
      </c>
    </row>
    <row r="18" spans="1:16" x14ac:dyDescent="0.75">
      <c r="A18">
        <f t="shared" si="0"/>
        <v>0.32303442879144861</v>
      </c>
      <c r="B18">
        <f t="shared" si="1"/>
        <v>1.6000000000000003</v>
      </c>
      <c r="N18">
        <f t="shared" si="3"/>
        <v>0.31</v>
      </c>
      <c r="O18">
        <f t="shared" si="2"/>
        <v>5.2753265951304158E-3</v>
      </c>
    </row>
    <row r="19" spans="1:16" x14ac:dyDescent="0.75">
      <c r="A19">
        <f t="shared" si="0"/>
        <v>0.31056199088964886</v>
      </c>
      <c r="B19">
        <f t="shared" si="1"/>
        <v>1.7000000000000004</v>
      </c>
      <c r="N19">
        <f t="shared" si="3"/>
        <v>0.33</v>
      </c>
      <c r="O19">
        <f t="shared" si="2"/>
        <v>3.938211106624661E-3</v>
      </c>
    </row>
    <row r="20" spans="1:16" x14ac:dyDescent="0.75">
      <c r="A20">
        <f t="shared" si="0"/>
        <v>0.29753799879885567</v>
      </c>
      <c r="B20">
        <f t="shared" si="1"/>
        <v>1.8000000000000005</v>
      </c>
      <c r="N20">
        <f t="shared" si="3"/>
        <v>0.35000000000000003</v>
      </c>
      <c r="O20">
        <f t="shared" si="2"/>
        <v>2.8472008735178416E-3</v>
      </c>
    </row>
    <row r="21" spans="1:16" x14ac:dyDescent="0.75">
      <c r="A21">
        <f t="shared" si="0"/>
        <v>0.28418037652300654</v>
      </c>
      <c r="B21">
        <f t="shared" si="1"/>
        <v>1.9000000000000006</v>
      </c>
      <c r="N21">
        <f t="shared" si="3"/>
        <v>0.37000000000000005</v>
      </c>
      <c r="O21">
        <f t="shared" si="2"/>
        <v>1.9738736333368679E-3</v>
      </c>
    </row>
    <row r="22" spans="1:16" x14ac:dyDescent="0.75">
      <c r="A22">
        <f t="shared" si="0"/>
        <v>0.27067056647322529</v>
      </c>
      <c r="B22">
        <f t="shared" si="1"/>
        <v>2.0000000000000004</v>
      </c>
      <c r="N22">
        <f t="shared" si="3"/>
        <v>0.39000000000000007</v>
      </c>
      <c r="O22">
        <f t="shared" si="2"/>
        <v>1.2922456869539601E-3</v>
      </c>
    </row>
    <row r="23" spans="1:16" x14ac:dyDescent="0.75">
      <c r="A23">
        <f t="shared" si="0"/>
        <v>0.25715849933126195</v>
      </c>
      <c r="B23">
        <f t="shared" si="1"/>
        <v>2.1000000000000005</v>
      </c>
      <c r="N23">
        <f t="shared" si="3"/>
        <v>0.41000000000000009</v>
      </c>
      <c r="O23">
        <f t="shared" si="2"/>
        <v>7.7859958892391001E-4</v>
      </c>
    </row>
    <row r="24" spans="1:16" x14ac:dyDescent="0.75">
      <c r="A24">
        <f t="shared" si="0"/>
        <v>0.24376694839713445</v>
      </c>
      <c r="B24">
        <f t="shared" si="1"/>
        <v>2.2000000000000006</v>
      </c>
      <c r="N24">
        <f t="shared" si="3"/>
        <v>0.4300000000000001</v>
      </c>
      <c r="O24">
        <f t="shared" si="2"/>
        <v>4.1132258193608492E-4</v>
      </c>
    </row>
    <row r="25" spans="1:16" x14ac:dyDescent="0.75">
      <c r="A25">
        <f t="shared" si="0"/>
        <v>0.23059534056244849</v>
      </c>
      <c r="B25">
        <f t="shared" si="1"/>
        <v>2.3000000000000007</v>
      </c>
      <c r="N25">
        <f t="shared" si="3"/>
        <v>0.45000000000000012</v>
      </c>
      <c r="O25">
        <f t="shared" si="2"/>
        <v>1.7075515959252984E-4</v>
      </c>
    </row>
    <row r="26" spans="1:16" x14ac:dyDescent="0.75">
      <c r="A26">
        <f t="shared" si="0"/>
        <v>0.21772308789458991</v>
      </c>
      <c r="B26">
        <f t="shared" si="1"/>
        <v>2.4000000000000008</v>
      </c>
      <c r="N26">
        <f t="shared" si="3"/>
        <v>0.47000000000000014</v>
      </c>
      <c r="O26">
        <f t="shared" si="2"/>
        <v>3.9049174975686567E-5</v>
      </c>
    </row>
    <row r="27" spans="1:16" x14ac:dyDescent="0.75">
      <c r="A27">
        <f t="shared" si="0"/>
        <v>0.20521249655974685</v>
      </c>
      <c r="B27">
        <f t="shared" si="1"/>
        <v>2.5000000000000009</v>
      </c>
      <c r="N27">
        <f t="shared" si="3"/>
        <v>0.49000000000000016</v>
      </c>
      <c r="O27">
        <f t="shared" si="2"/>
        <v>3.4944002704988803E-8</v>
      </c>
      <c r="P27" t="s">
        <v>8</v>
      </c>
    </row>
    <row r="28" spans="1:16" x14ac:dyDescent="0.75">
      <c r="A28">
        <f t="shared" si="0"/>
        <v>0.19311130335726798</v>
      </c>
      <c r="B28">
        <f t="shared" si="1"/>
        <v>2.600000000000001</v>
      </c>
      <c r="N28">
        <f t="shared" si="3"/>
        <v>0.51000000000000012</v>
      </c>
      <c r="O28">
        <f t="shared" si="2"/>
        <v>3.909682246428739E-5</v>
      </c>
    </row>
    <row r="29" spans="1:16" x14ac:dyDescent="0.75">
      <c r="A29">
        <f t="shared" si="0"/>
        <v>0.18145488439732424</v>
      </c>
      <c r="B29">
        <f t="shared" si="1"/>
        <v>2.7000000000000011</v>
      </c>
      <c r="N29">
        <f t="shared" si="3"/>
        <v>0.53000000000000014</v>
      </c>
      <c r="O29">
        <f t="shared" si="2"/>
        <v>1.4305676399618326E-4</v>
      </c>
    </row>
    <row r="30" spans="1:16" x14ac:dyDescent="0.75">
      <c r="A30">
        <f t="shared" si="0"/>
        <v>0.17026817535061017</v>
      </c>
      <c r="B30">
        <f t="shared" si="1"/>
        <v>2.8000000000000012</v>
      </c>
      <c r="N30">
        <f t="shared" si="3"/>
        <v>0.55000000000000016</v>
      </c>
      <c r="O30">
        <f t="shared" si="2"/>
        <v>3.0006539310845765E-4</v>
      </c>
    </row>
    <row r="31" spans="1:16" x14ac:dyDescent="0.75">
      <c r="A31">
        <f t="shared" si="0"/>
        <v>0.15956733816358085</v>
      </c>
      <c r="B31">
        <f t="shared" si="1"/>
        <v>2.9000000000000012</v>
      </c>
      <c r="N31">
        <f t="shared" si="3"/>
        <v>0.57000000000000017</v>
      </c>
      <c r="O31">
        <f t="shared" si="2"/>
        <v>4.9950015287544966E-4</v>
      </c>
    </row>
    <row r="32" spans="1:16" x14ac:dyDescent="0.75">
      <c r="A32">
        <f t="shared" si="0"/>
        <v>0.14936120510359169</v>
      </c>
      <c r="B32">
        <f t="shared" si="1"/>
        <v>3.0000000000000013</v>
      </c>
      <c r="N32">
        <f t="shared" si="3"/>
        <v>0.59000000000000019</v>
      </c>
      <c r="O32">
        <f t="shared" si="2"/>
        <v>7.3187011103829545E-4</v>
      </c>
    </row>
    <row r="33" spans="1:15" x14ac:dyDescent="0.75">
      <c r="A33">
        <f t="shared" si="0"/>
        <v>0.13965252742002907</v>
      </c>
      <c r="B33">
        <f t="shared" si="1"/>
        <v>3.1000000000000014</v>
      </c>
      <c r="N33">
        <f t="shared" si="3"/>
        <v>0.61000000000000021</v>
      </c>
      <c r="O33">
        <f t="shared" si="2"/>
        <v>9.887270311587698E-4</v>
      </c>
    </row>
    <row r="34" spans="1:15" x14ac:dyDescent="0.75">
      <c r="A34">
        <f t="shared" si="0"/>
        <v>0.13043905273077175</v>
      </c>
      <c r="B34">
        <f t="shared" si="1"/>
        <v>3.2000000000000015</v>
      </c>
      <c r="N34">
        <f t="shared" si="3"/>
        <v>0.63000000000000023</v>
      </c>
      <c r="O34">
        <f t="shared" si="2"/>
        <v>1.2625823371517297E-3</v>
      </c>
    </row>
    <row r="35" spans="1:15" x14ac:dyDescent="0.75">
      <c r="A35">
        <f t="shared" si="0"/>
        <v>0.12171445242409187</v>
      </c>
      <c r="B35">
        <f t="shared" si="1"/>
        <v>3.3000000000000016</v>
      </c>
      <c r="N35">
        <f t="shared" si="3"/>
        <v>0.65000000000000024</v>
      </c>
      <c r="O35">
        <f t="shared" si="2"/>
        <v>1.5468296200740722E-3</v>
      </c>
    </row>
    <row r="36" spans="1:15" x14ac:dyDescent="0.75">
      <c r="A36">
        <f t="shared" si="0"/>
        <v>0.11346911786510853</v>
      </c>
      <c r="B36">
        <f t="shared" si="1"/>
        <v>3.4000000000000017</v>
      </c>
      <c r="N36">
        <f t="shared" si="3"/>
        <v>0.67000000000000026</v>
      </c>
      <c r="O36">
        <f t="shared" si="2"/>
        <v>1.8356723555182654E-3</v>
      </c>
    </row>
    <row r="37" spans="1:15" x14ac:dyDescent="0.75">
      <c r="A37">
        <f t="shared" si="0"/>
        <v>0.10569084197811462</v>
      </c>
      <c r="B37">
        <f t="shared" si="1"/>
        <v>3.5000000000000018</v>
      </c>
      <c r="N37">
        <f t="shared" si="3"/>
        <v>0.69000000000000028</v>
      </c>
      <c r="O37">
        <f t="shared" si="2"/>
        <v>2.124056518403087E-3</v>
      </c>
    </row>
    <row r="38" spans="1:15" x14ac:dyDescent="0.75">
      <c r="A38">
        <f t="shared" si="0"/>
        <v>9.8365400810253092E-2</v>
      </c>
      <c r="B38">
        <f t="shared" si="1"/>
        <v>3.6000000000000019</v>
      </c>
      <c r="N38">
        <f t="shared" si="3"/>
        <v>0.7100000000000003</v>
      </c>
      <c r="O38">
        <f t="shared" si="2"/>
        <v>2.4076077994249394E-3</v>
      </c>
    </row>
    <row r="39" spans="1:15" x14ac:dyDescent="0.75">
      <c r="A39">
        <f t="shared" si="0"/>
        <v>9.1477047940255615E-2</v>
      </c>
      <c r="B39">
        <f t="shared" si="1"/>
        <v>3.700000000000002</v>
      </c>
      <c r="N39">
        <f t="shared" si="3"/>
        <v>0.73000000000000032</v>
      </c>
      <c r="O39">
        <f t="shared" si="2"/>
        <v>2.6825731439798204E-3</v>
      </c>
    </row>
    <row r="40" spans="1:15" x14ac:dyDescent="0.75">
      <c r="A40">
        <f t="shared" si="0"/>
        <v>8.5008933053429131E-2</v>
      </c>
      <c r="B40">
        <f t="shared" si="1"/>
        <v>3.800000000000002</v>
      </c>
      <c r="N40">
        <f t="shared" si="3"/>
        <v>0.75000000000000033</v>
      </c>
      <c r="O40">
        <f t="shared" si="2"/>
        <v>2.9457663500351635E-3</v>
      </c>
    </row>
    <row r="41" spans="1:15" x14ac:dyDescent="0.75">
      <c r="A41">
        <f t="shared" si="0"/>
        <v>7.8943454638636987E-2</v>
      </c>
      <c r="B41">
        <f t="shared" si="1"/>
        <v>3.9000000000000021</v>
      </c>
      <c r="N41">
        <f t="shared" si="3"/>
        <v>0.77000000000000035</v>
      </c>
      <c r="O41">
        <f t="shared" si="2"/>
        <v>3.1945174762678628E-3</v>
      </c>
    </row>
    <row r="42" spans="1:15" x14ac:dyDescent="0.75">
      <c r="A42">
        <f t="shared" si="0"/>
        <v>7.3262555554936618E-2</v>
      </c>
      <c r="B42">
        <f t="shared" si="1"/>
        <v>4.0000000000000018</v>
      </c>
      <c r="N42">
        <f t="shared" si="3"/>
        <v>0.79000000000000037</v>
      </c>
      <c r="O42">
        <f t="shared" si="2"/>
        <v>3.4266258258311174E-3</v>
      </c>
    </row>
    <row r="43" spans="1:15" x14ac:dyDescent="0.75">
      <c r="A43">
        <f t="shared" si="0"/>
        <v>6.7947969147221038E-2</v>
      </c>
      <c r="B43">
        <f t="shared" si="1"/>
        <v>4.1000000000000014</v>
      </c>
      <c r="N43">
        <f t="shared" si="3"/>
        <v>0.81000000000000039</v>
      </c>
      <c r="O43">
        <f t="shared" si="2"/>
        <v>3.6403162844102035E-3</v>
      </c>
    </row>
    <row r="44" spans="1:15" x14ac:dyDescent="0.75">
      <c r="A44">
        <f t="shared" si="0"/>
        <v>6.2981422646006313E-2</v>
      </c>
      <c r="B44">
        <f t="shared" si="1"/>
        <v>4.2000000000000011</v>
      </c>
      <c r="N44">
        <f t="shared" si="3"/>
        <v>0.8300000000000004</v>
      </c>
      <c r="O44">
        <f t="shared" si="2"/>
        <v>3.8341988038127707E-3</v>
      </c>
    </row>
    <row r="45" spans="1:15" x14ac:dyDescent="0.75">
      <c r="A45">
        <f t="shared" si="0"/>
        <v>5.8344803752463974E-2</v>
      </c>
      <c r="B45">
        <f t="shared" si="1"/>
        <v>4.3000000000000007</v>
      </c>
      <c r="N45">
        <f t="shared" si="3"/>
        <v>0.85000000000000042</v>
      </c>
      <c r="O45">
        <f t="shared" si="2"/>
        <v>4.0072308342501877E-3</v>
      </c>
    </row>
    <row r="46" spans="1:15" x14ac:dyDescent="0.75">
      <c r="A46">
        <f t="shared" si="0"/>
        <v>5.4020295573501124E-2</v>
      </c>
      <c r="B46">
        <f t="shared" si="1"/>
        <v>4.4000000000000004</v>
      </c>
      <c r="N46">
        <f t="shared" si="3"/>
        <v>0.87000000000000044</v>
      </c>
      <c r="O46">
        <f t="shared" si="2"/>
        <v>4.1586825197373846E-3</v>
      </c>
    </row>
    <row r="47" spans="1:15" x14ac:dyDescent="0.75">
      <c r="A47">
        <f t="shared" si="0"/>
        <v>4.9990484422090378E-2</v>
      </c>
      <c r="B47">
        <f t="shared" si="1"/>
        <v>4.5</v>
      </c>
      <c r="N47">
        <f t="shared" si="3"/>
        <v>0.89000000000000046</v>
      </c>
      <c r="O47">
        <f t="shared" si="2"/>
        <v>4.288104481702016E-3</v>
      </c>
    </row>
    <row r="48" spans="1:15" x14ac:dyDescent="0.75">
      <c r="A48">
        <f t="shared" si="0"/>
        <v>4.6238444425314489E-2</v>
      </c>
      <c r="B48">
        <f t="shared" si="1"/>
        <v>4.5999999999999996</v>
      </c>
      <c r="N48">
        <f t="shared" si="3"/>
        <v>0.91000000000000048</v>
      </c>
      <c r="O48">
        <f t="shared" si="2"/>
        <v>4.3952980259814286E-3</v>
      </c>
    </row>
    <row r="49" spans="1:15" x14ac:dyDescent="0.75">
      <c r="A49">
        <f t="shared" si="0"/>
        <v>4.2747802377970365E-2</v>
      </c>
      <c r="B49">
        <f t="shared" si="1"/>
        <v>4.6999999999999993</v>
      </c>
      <c r="N49">
        <f t="shared" si="3"/>
        <v>0.93000000000000049</v>
      </c>
      <c r="O49">
        <f t="shared" si="2"/>
        <v>4.4802876179274457E-3</v>
      </c>
    </row>
    <row r="50" spans="1:15" x14ac:dyDescent="0.75">
      <c r="A50">
        <f t="shared" si="0"/>
        <v>3.9502785835296171E-2</v>
      </c>
      <c r="B50">
        <f t="shared" si="1"/>
        <v>4.7999999999999989</v>
      </c>
      <c r="N50">
        <f t="shared" si="3"/>
        <v>0.95000000000000051</v>
      </c>
      <c r="O50">
        <f t="shared" si="2"/>
        <v>4.5432954793624535E-3</v>
      </c>
    </row>
    <row r="51" spans="1:15" x14ac:dyDescent="0.75">
      <c r="A51">
        <f t="shared" si="0"/>
        <v>3.648825704752931E-2</v>
      </c>
      <c r="B51">
        <f t="shared" si="1"/>
        <v>4.8999999999999986</v>
      </c>
      <c r="N51">
        <f t="shared" si="3"/>
        <v>0.97000000000000053</v>
      </c>
      <c r="O51">
        <f t="shared" si="2"/>
        <v>4.5847181696625694E-3</v>
      </c>
    </row>
    <row r="52" spans="1:15" x14ac:dyDescent="0.75">
      <c r="A52">
        <f t="shared" si="0"/>
        <v>3.3689734995427385E-2</v>
      </c>
      <c r="B52">
        <f t="shared" si="1"/>
        <v>4.9999999999999982</v>
      </c>
      <c r="N52">
        <f t="shared" si="3"/>
        <v>0.99000000000000055</v>
      </c>
      <c r="O52">
        <f t="shared" si="2"/>
        <v>4.605105021310907E-3</v>
      </c>
    </row>
    <row r="53" spans="1:15" x14ac:dyDescent="0.75">
      <c r="A53">
        <f t="shared" si="0"/>
        <v>3.1093407484129799E-2</v>
      </c>
      <c r="B53">
        <f t="shared" si="1"/>
        <v>5.0999999999999979</v>
      </c>
      <c r="N53">
        <f t="shared" si="3"/>
        <v>1.0100000000000005</v>
      </c>
      <c r="O53">
        <f t="shared" si="2"/>
        <v>4.6051383078890389E-3</v>
      </c>
    </row>
    <row r="54" spans="1:15" x14ac:dyDescent="0.75">
      <c r="A54">
        <f t="shared" si="0"/>
        <v>2.8686134987956077E-2</v>
      </c>
      <c r="B54">
        <f t="shared" si="1"/>
        <v>5.1999999999999975</v>
      </c>
      <c r="N54">
        <f t="shared" si="3"/>
        <v>1.0300000000000005</v>
      </c>
      <c r="O54">
        <f t="shared" si="2"/>
        <v>4.5856150296822544E-3</v>
      </c>
    </row>
    <row r="55" spans="1:15" x14ac:dyDescent="0.75">
      <c r="A55">
        <f t="shared" si="0"/>
        <v>2.6455447706624204E-2</v>
      </c>
      <c r="B55">
        <f t="shared" si="1"/>
        <v>5.2999999999999972</v>
      </c>
      <c r="N55">
        <f t="shared" si="3"/>
        <v>1.0500000000000005</v>
      </c>
      <c r="O55">
        <f t="shared" si="2"/>
        <v>4.5474302088846811E-3</v>
      </c>
    </row>
    <row r="56" spans="1:15" x14ac:dyDescent="0.75">
      <c r="A56">
        <f t="shared" si="0"/>
        <v>2.4389537090108472E-2</v>
      </c>
      <c r="B56">
        <f t="shared" si="1"/>
        <v>5.3999999999999968</v>
      </c>
      <c r="N56">
        <f t="shared" si="3"/>
        <v>1.0700000000000005</v>
      </c>
      <c r="O56">
        <f t="shared" si="2"/>
        <v>4.4915615928253164E-3</v>
      </c>
    </row>
    <row r="57" spans="1:15" x14ac:dyDescent="0.75">
      <c r="A57">
        <f t="shared" si="0"/>
        <v>2.2477242911552432E-2</v>
      </c>
      <c r="B57">
        <f t="shared" si="1"/>
        <v>5.4999999999999964</v>
      </c>
      <c r="N57">
        <f t="shared" si="3"/>
        <v>1.0900000000000005</v>
      </c>
      <c r="O57">
        <f t="shared" si="2"/>
        <v>4.4190556697148737E-3</v>
      </c>
    </row>
    <row r="58" spans="1:15" x14ac:dyDescent="0.75">
      <c r="A58">
        <f t="shared" si="0"/>
        <v>2.070803681230448E-2</v>
      </c>
      <c r="B58">
        <f t="shared" si="1"/>
        <v>5.5999999999999961</v>
      </c>
      <c r="N58">
        <f t="shared" si="3"/>
        <v>1.1100000000000005</v>
      </c>
      <c r="O58">
        <f t="shared" si="2"/>
        <v>4.3310149071548133E-3</v>
      </c>
    </row>
    <row r="59" spans="1:15" x14ac:dyDescent="0.75">
      <c r="A59">
        <f t="shared" si="0"/>
        <v>1.9072003107586322E-2</v>
      </c>
      <c r="B59">
        <f t="shared" si="1"/>
        <v>5.6999999999999957</v>
      </c>
      <c r="N59">
        <f t="shared" si="3"/>
        <v>1.1300000000000006</v>
      </c>
      <c r="O59">
        <f t="shared" si="2"/>
        <v>4.2285861290719644E-3</v>
      </c>
    </row>
    <row r="60" spans="1:15" x14ac:dyDescent="0.75">
      <c r="A60">
        <f t="shared" si="0"/>
        <v>1.7559817523179793E-2</v>
      </c>
      <c r="B60">
        <f t="shared" si="1"/>
        <v>5.7999999999999954</v>
      </c>
      <c r="N60">
        <f t="shared" si="3"/>
        <v>1.1500000000000006</v>
      </c>
      <c r="O60">
        <f t="shared" si="2"/>
        <v>4.1129499518612186E-3</v>
      </c>
    </row>
    <row r="61" spans="1:15" x14ac:dyDescent="0.75">
      <c r="A61">
        <f t="shared" si="0"/>
        <v>1.6162724430733445E-2</v>
      </c>
      <c r="B61">
        <f t="shared" si="1"/>
        <v>5.899999999999995</v>
      </c>
      <c r="N61">
        <f t="shared" si="3"/>
        <v>1.1700000000000006</v>
      </c>
      <c r="O61">
        <f t="shared" si="2"/>
        <v>3.9853112053514174E-3</v>
      </c>
    </row>
    <row r="62" spans="1:15" x14ac:dyDescent="0.75">
      <c r="A62">
        <f t="shared" si="0"/>
        <v>1.4872513059998215E-2</v>
      </c>
      <c r="B62">
        <f t="shared" si="1"/>
        <v>5.9999999999999947</v>
      </c>
      <c r="N62">
        <f t="shared" si="3"/>
        <v>1.1900000000000006</v>
      </c>
      <c r="O62">
        <f t="shared" si="2"/>
        <v>3.8468902687704199E-3</v>
      </c>
    </row>
    <row r="63" spans="1:15" x14ac:dyDescent="0.75">
      <c r="A63">
        <f t="shared" si="0"/>
        <v>1.3681493088863459E-2</v>
      </c>
      <c r="B63">
        <f t="shared" si="1"/>
        <v>6.0999999999999943</v>
      </c>
      <c r="N63">
        <f t="shared" si="3"/>
        <v>1.2100000000000006</v>
      </c>
      <c r="O63">
        <f t="shared" si="2"/>
        <v>3.6989152561892865E-3</v>
      </c>
    </row>
    <row r="64" spans="1:15" x14ac:dyDescent="0.75">
      <c r="A64">
        <f t="shared" si="0"/>
        <v>1.2582469945033616E-2</v>
      </c>
      <c r="B64">
        <f t="shared" si="1"/>
        <v>6.199999999999994</v>
      </c>
      <c r="N64">
        <f t="shared" si="3"/>
        <v>1.2300000000000006</v>
      </c>
      <c r="O64">
        <f t="shared" si="2"/>
        <v>3.5426149899860392E-3</v>
      </c>
    </row>
    <row r="65" spans="1:15" x14ac:dyDescent="0.75">
      <c r="A65">
        <f t="shared" si="0"/>
        <v>1.1568720095282176E-2</v>
      </c>
      <c r="B65">
        <f t="shared" si="1"/>
        <v>6.2999999999999936</v>
      </c>
      <c r="N65">
        <f t="shared" si="3"/>
        <v>1.2500000000000007</v>
      </c>
      <c r="O65">
        <f t="shared" si="2"/>
        <v>3.3792127046992876E-3</v>
      </c>
    </row>
    <row r="66" spans="1:15" x14ac:dyDescent="0.75">
      <c r="A66">
        <f t="shared" si="0"/>
        <v>1.063396654831324E-2</v>
      </c>
      <c r="B66">
        <f t="shared" si="1"/>
        <v>6.3999999999999932</v>
      </c>
      <c r="N66">
        <f t="shared" si="3"/>
        <v>1.2700000000000007</v>
      </c>
      <c r="O66">
        <f t="shared" si="2"/>
        <v>3.2099204272542313E-3</v>
      </c>
    </row>
    <row r="67" spans="1:15" x14ac:dyDescent="0.75">
      <c r="A67">
        <f t="shared" si="0"/>
        <v>9.7723547543542809E-3</v>
      </c>
      <c r="B67">
        <f t="shared" si="1"/>
        <v>6.4999999999999929</v>
      </c>
      <c r="N67">
        <f t="shared" si="3"/>
        <v>1.2900000000000007</v>
      </c>
      <c r="O67">
        <f t="shared" si="2"/>
        <v>3.0359339829488562E-3</v>
      </c>
    </row>
    <row r="68" spans="1:15" x14ac:dyDescent="0.75">
      <c r="A68">
        <f t="shared" ref="A68:A131" si="4">B68* EXP(-$G$1*B68)</f>
        <v>8.9784290478161534E-3</v>
      </c>
      <c r="B68">
        <f t="shared" ref="B68:B131" si="5">B67+0.1</f>
        <v>6.5999999999999925</v>
      </c>
      <c r="N68">
        <f t="shared" si="3"/>
        <v>1.3100000000000007</v>
      </c>
      <c r="O68">
        <f t="shared" si="2"/>
        <v>2.8584285797983462E-3</v>
      </c>
    </row>
    <row r="69" spans="1:15" x14ac:dyDescent="0.75">
      <c r="A69">
        <f t="shared" si="4"/>
        <v>8.2471097479123786E-3</v>
      </c>
      <c r="B69">
        <f t="shared" si="5"/>
        <v>6.6999999999999922</v>
      </c>
      <c r="N69">
        <f t="shared" si="3"/>
        <v>1.3300000000000007</v>
      </c>
      <c r="O69">
        <f t="shared" ref="O69:O105" si="6" xml:space="preserve"> (0.3 - N69 * EXP(-$G$1 * N69))^2</f>
        <v>2.6785549268613451E-3</v>
      </c>
    </row>
    <row r="70" spans="1:15" x14ac:dyDescent="0.75">
      <c r="A70">
        <f t="shared" si="4"/>
        <v>7.5736710053447131E-3</v>
      </c>
      <c r="B70">
        <f t="shared" si="5"/>
        <v>6.7999999999999918</v>
      </c>
      <c r="N70">
        <f t="shared" si="3"/>
        <v>1.3500000000000008</v>
      </c>
      <c r="O70">
        <f t="shared" si="6"/>
        <v>2.4974358450218148E-3</v>
      </c>
    </row>
    <row r="71" spans="1:15" x14ac:dyDescent="0.75">
      <c r="A71">
        <f t="shared" si="4"/>
        <v>6.9537194604347751E-3</v>
      </c>
      <c r="B71">
        <f t="shared" si="5"/>
        <v>6.8999999999999915</v>
      </c>
      <c r="N71">
        <f t="shared" ref="N71:N105" si="7">N70+0.02</f>
        <v>1.3700000000000008</v>
      </c>
      <c r="O71">
        <f t="shared" si="6"/>
        <v>2.3161633313860813E-3</v>
      </c>
    </row>
    <row r="72" spans="1:15" x14ac:dyDescent="0.75">
      <c r="A72">
        <f t="shared" si="4"/>
        <v>6.3831737588816622E-3</v>
      </c>
      <c r="B72">
        <f t="shared" si="5"/>
        <v>6.9999999999999911</v>
      </c>
      <c r="N72">
        <f t="shared" si="7"/>
        <v>1.3900000000000008</v>
      </c>
      <c r="O72">
        <f t="shared" si="6"/>
        <v>2.1357960409827126E-3</v>
      </c>
    </row>
    <row r="73" spans="1:15" x14ac:dyDescent="0.75">
      <c r="A73">
        <f t="shared" si="4"/>
        <v>5.8582449551879663E-3</v>
      </c>
      <c r="B73">
        <f t="shared" si="5"/>
        <v>7.0999999999999908</v>
      </c>
      <c r="N73">
        <f t="shared" si="7"/>
        <v>1.4100000000000008</v>
      </c>
      <c r="O73">
        <f t="shared" si="6"/>
        <v>1.9573571518345556E-3</v>
      </c>
    </row>
    <row r="74" spans="1:15" x14ac:dyDescent="0.75">
      <c r="A74">
        <f t="shared" si="4"/>
        <v>5.3754178203121363E-3</v>
      </c>
      <c r="B74">
        <f t="shared" si="5"/>
        <v>7.1999999999999904</v>
      </c>
      <c r="N74">
        <f t="shared" si="7"/>
        <v>1.4300000000000008</v>
      </c>
      <c r="O74">
        <f t="shared" si="6"/>
        <v>1.7818325817127959E-3</v>
      </c>
    </row>
    <row r="75" spans="1:15" x14ac:dyDescent="0.75">
      <c r="A75">
        <f t="shared" si="4"/>
        <v>4.9314330589151053E-3</v>
      </c>
      <c r="B75">
        <f t="shared" si="5"/>
        <v>7.2999999999999901</v>
      </c>
      <c r="N75">
        <f t="shared" si="7"/>
        <v>1.4500000000000008</v>
      </c>
      <c r="O75">
        <f t="shared" si="6"/>
        <v>1.6101695269922344E-3</v>
      </c>
    </row>
    <row r="76" spans="1:15" x14ac:dyDescent="0.75">
      <c r="A76">
        <f t="shared" si="4"/>
        <v>4.5232704323588772E-3</v>
      </c>
      <c r="B76">
        <f t="shared" si="5"/>
        <v>7.3999999999999897</v>
      </c>
      <c r="N76">
        <f t="shared" si="7"/>
        <v>1.4700000000000009</v>
      </c>
      <c r="O76">
        <f t="shared" si="6"/>
        <v>1.4432752960108683E-3</v>
      </c>
    </row>
    <row r="77" spans="1:15" x14ac:dyDescent="0.75">
      <c r="A77">
        <f t="shared" si="4"/>
        <v>4.1481327761087906E-3</v>
      </c>
      <c r="B77">
        <f t="shared" si="5"/>
        <v>7.4999999999999893</v>
      </c>
      <c r="N77">
        <f t="shared" si="7"/>
        <v>1.4900000000000009</v>
      </c>
      <c r="O77">
        <f t="shared" si="6"/>
        <v>1.282016411202935E-3</v>
      </c>
    </row>
    <row r="78" spans="1:15" x14ac:dyDescent="0.75">
      <c r="A78">
        <f t="shared" si="4"/>
        <v>3.8034308941486778E-3</v>
      </c>
      <c r="B78">
        <f t="shared" si="5"/>
        <v>7.599999999999989</v>
      </c>
      <c r="N78">
        <f t="shared" si="7"/>
        <v>1.5100000000000009</v>
      </c>
      <c r="O78">
        <f t="shared" si="6"/>
        <v>1.1272179560290988E-3</v>
      </c>
    </row>
    <row r="79" spans="1:15" x14ac:dyDescent="0.75">
      <c r="A79">
        <f t="shared" si="4"/>
        <v>3.4867693082283719E-3</v>
      </c>
      <c r="B79">
        <f t="shared" si="5"/>
        <v>7.6999999999999886</v>
      </c>
      <c r="N79">
        <f t="shared" si="7"/>
        <v>1.5300000000000009</v>
      </c>
      <c r="O79">
        <f t="shared" si="6"/>
        <v>9.7966314437656645E-4</v>
      </c>
    </row>
    <row r="80" spans="1:15" x14ac:dyDescent="0.75">
      <c r="A80">
        <f t="shared" si="4"/>
        <v>3.1959328360423689E-3</v>
      </c>
      <c r="B80">
        <f t="shared" si="5"/>
        <v>7.7999999999999883</v>
      </c>
      <c r="N80">
        <f t="shared" si="7"/>
        <v>1.5500000000000009</v>
      </c>
      <c r="O80">
        <f t="shared" si="6"/>
        <v>8.4009309165157802E-4</v>
      </c>
    </row>
    <row r="81" spans="1:16" x14ac:dyDescent="0.75">
      <c r="A81">
        <f t="shared" si="4"/>
        <v>2.9288739696268287E-3</v>
      </c>
      <c r="B81">
        <f t="shared" si="5"/>
        <v>7.8999999999999879</v>
      </c>
      <c r="N81">
        <f t="shared" si="7"/>
        <v>1.570000000000001</v>
      </c>
      <c r="O81">
        <f t="shared" si="6"/>
        <v>7.092067682424628E-4</v>
      </c>
    </row>
    <row r="82" spans="1:16" x14ac:dyDescent="0.75">
      <c r="A82">
        <f t="shared" si="4"/>
        <v>2.6837010232201239E-3</v>
      </c>
      <c r="B82">
        <f t="shared" si="5"/>
        <v>7.9999999999999876</v>
      </c>
      <c r="N82">
        <f t="shared" si="7"/>
        <v>1.590000000000001</v>
      </c>
      <c r="O82">
        <f t="shared" si="6"/>
        <v>5.87661117398265E-4</v>
      </c>
    </row>
    <row r="83" spans="1:16" x14ac:dyDescent="0.75">
      <c r="A83">
        <f t="shared" si="4"/>
        <v>2.4586670184388471E-3</v>
      </c>
      <c r="B83">
        <f t="shared" si="5"/>
        <v>8.0999999999999872</v>
      </c>
      <c r="N83">
        <f t="shared" si="7"/>
        <v>1.610000000000001</v>
      </c>
      <c r="O83">
        <f t="shared" si="6"/>
        <v>4.7607132085139759E-4</v>
      </c>
    </row>
    <row r="84" spans="1:16" x14ac:dyDescent="0.75">
      <c r="A84">
        <f t="shared" si="4"/>
        <v>2.2521592737715932E-3</v>
      </c>
      <c r="B84">
        <f t="shared" si="5"/>
        <v>8.1999999999999869</v>
      </c>
      <c r="N84">
        <f t="shared" si="7"/>
        <v>1.630000000000001</v>
      </c>
      <c r="O84">
        <f t="shared" si="6"/>
        <v>3.7501119671673504E-4</v>
      </c>
    </row>
    <row r="85" spans="1:16" x14ac:dyDescent="0.75">
      <c r="A85">
        <f t="shared" si="4"/>
        <v>2.0626896649960261E-3</v>
      </c>
      <c r="B85">
        <f t="shared" si="5"/>
        <v>8.2999999999999865</v>
      </c>
      <c r="N85">
        <f t="shared" si="7"/>
        <v>1.650000000000001</v>
      </c>
      <c r="O85">
        <f t="shared" si="6"/>
        <v>2.8501371532933676E-4</v>
      </c>
    </row>
    <row r="86" spans="1:16" x14ac:dyDescent="0.75">
      <c r="A86">
        <f t="shared" si="4"/>
        <v>1.8888855231023486E-3</v>
      </c>
      <c r="B86">
        <f t="shared" si="5"/>
        <v>8.3999999999999861</v>
      </c>
      <c r="N86">
        <f t="shared" si="7"/>
        <v>1.670000000000001</v>
      </c>
      <c r="O86">
        <f t="shared" si="6"/>
        <v>2.0657161974216634E-4</v>
      </c>
    </row>
    <row r="87" spans="1:16" x14ac:dyDescent="0.75">
      <c r="A87">
        <f t="shared" si="4"/>
        <v>1.7294811365904971E-3</v>
      </c>
      <c r="B87">
        <f t="shared" si="5"/>
        <v>8.4999999999999858</v>
      </c>
      <c r="N87">
        <f t="shared" si="7"/>
        <v>1.6900000000000011</v>
      </c>
      <c r="O87">
        <f t="shared" si="6"/>
        <v>1.4013813859806032E-4</v>
      </c>
    </row>
    <row r="88" spans="1:16" x14ac:dyDescent="0.75">
      <c r="A88">
        <f t="shared" si="4"/>
        <v>1.5833098255412007E-3</v>
      </c>
      <c r="B88">
        <f t="shared" si="5"/>
        <v>8.5999999999999854</v>
      </c>
      <c r="N88">
        <f t="shared" si="7"/>
        <v>1.7100000000000011</v>
      </c>
      <c r="O88">
        <f t="shared" si="6"/>
        <v>8.6127780020575661E-5</v>
      </c>
    </row>
    <row r="89" spans="1:16" x14ac:dyDescent="0.75">
      <c r="A89">
        <f t="shared" si="4"/>
        <v>1.4492965555924298E-3</v>
      </c>
      <c r="B89">
        <f t="shared" si="5"/>
        <v>8.6999999999999851</v>
      </c>
      <c r="N89">
        <f t="shared" si="7"/>
        <v>1.7300000000000011</v>
      </c>
      <c r="O89">
        <f t="shared" si="6"/>
        <v>4.4917196039551959E-5</v>
      </c>
    </row>
    <row r="90" spans="1:16" x14ac:dyDescent="0.75">
      <c r="A90">
        <f t="shared" si="4"/>
        <v>1.3264510608402122E-3</v>
      </c>
      <c r="B90">
        <f t="shared" si="5"/>
        <v>8.7999999999999847</v>
      </c>
      <c r="N90">
        <f t="shared" si="7"/>
        <v>1.7500000000000011</v>
      </c>
      <c r="O90">
        <f t="shared" si="6"/>
        <v>1.6846107883024584E-5</v>
      </c>
    </row>
    <row r="91" spans="1:16" x14ac:dyDescent="0.75">
      <c r="A91">
        <f t="shared" si="4"/>
        <v>1.2138614456899187E-3</v>
      </c>
      <c r="B91">
        <f t="shared" si="5"/>
        <v>8.8999999999999844</v>
      </c>
      <c r="N91">
        <f t="shared" si="7"/>
        <v>1.7700000000000011</v>
      </c>
      <c r="O91">
        <f t="shared" si="6"/>
        <v>2.2182832303346229E-6</v>
      </c>
    </row>
    <row r="92" spans="1:16" x14ac:dyDescent="0.75">
      <c r="A92">
        <f t="shared" si="4"/>
        <v>1.1106882367801316E-3</v>
      </c>
      <c r="B92">
        <f t="shared" si="5"/>
        <v>8.999999999999984</v>
      </c>
      <c r="N92">
        <v>1.7788125000000012</v>
      </c>
      <c r="O92">
        <f t="shared" si="6"/>
        <v>1.1027513783485556E-7</v>
      </c>
      <c r="P92" t="s">
        <v>8</v>
      </c>
    </row>
    <row r="93" spans="1:16" x14ac:dyDescent="0.75">
      <c r="A93">
        <f t="shared" si="4"/>
        <v>1.016158857260059E-3</v>
      </c>
      <c r="B93">
        <f t="shared" si="5"/>
        <v>9.0999999999999837</v>
      </c>
      <c r="N93">
        <f t="shared" si="7"/>
        <v>1.7988125000000013</v>
      </c>
      <c r="O93">
        <f t="shared" si="6"/>
        <v>5.3129817695854506E-6</v>
      </c>
    </row>
    <row r="94" spans="1:16" x14ac:dyDescent="0.75">
      <c r="A94">
        <f t="shared" si="4"/>
        <v>9.2956249690127261E-4</v>
      </c>
      <c r="B94">
        <f t="shared" si="5"/>
        <v>9.1999999999999833</v>
      </c>
      <c r="N94">
        <f t="shared" si="7"/>
        <v>1.8188125000000013</v>
      </c>
      <c r="O94">
        <f t="shared" si="6"/>
        <v>2.4555804245641009E-5</v>
      </c>
    </row>
    <row r="95" spans="1:16" x14ac:dyDescent="0.75">
      <c r="A95">
        <f t="shared" si="4"/>
        <v>8.5024535274702496E-4</v>
      </c>
      <c r="B95">
        <f t="shared" si="5"/>
        <v>9.2999999999999829</v>
      </c>
      <c r="N95">
        <f t="shared" si="7"/>
        <v>1.8388125000000013</v>
      </c>
      <c r="O95">
        <f t="shared" si="6"/>
        <v>5.8026817366493292E-5</v>
      </c>
    </row>
    <row r="96" spans="1:16" x14ac:dyDescent="0.75">
      <c r="A96">
        <f t="shared" si="4"/>
        <v>7.7760621623235539E-4</v>
      </c>
      <c r="B96">
        <f t="shared" si="5"/>
        <v>9.3999999999999826</v>
      </c>
      <c r="N96">
        <f t="shared" si="7"/>
        <v>1.8588125000000013</v>
      </c>
      <c r="O96">
        <f t="shared" si="6"/>
        <v>1.0588291167113385E-4</v>
      </c>
    </row>
    <row r="97" spans="1:15" x14ac:dyDescent="0.75">
      <c r="A97">
        <f t="shared" si="4"/>
        <v>7.1109238393316692E-4</v>
      </c>
      <c r="B97">
        <f t="shared" si="5"/>
        <v>9.4999999999999822</v>
      </c>
      <c r="N97">
        <f t="shared" si="7"/>
        <v>1.8788125000000013</v>
      </c>
      <c r="O97">
        <f t="shared" si="6"/>
        <v>1.6825092623658236E-4</v>
      </c>
    </row>
    <row r="98" spans="1:15" x14ac:dyDescent="0.75">
      <c r="A98">
        <f t="shared" si="4"/>
        <v>6.5019587031220772E-4</v>
      </c>
      <c r="B98">
        <f t="shared" si="5"/>
        <v>9.5999999999999819</v>
      </c>
      <c r="N98">
        <f t="shared" si="7"/>
        <v>1.8988125000000013</v>
      </c>
      <c r="O98">
        <f t="shared" si="6"/>
        <v>2.4522879129535515E-4</v>
      </c>
    </row>
    <row r="99" spans="1:15" x14ac:dyDescent="0.75">
      <c r="A99">
        <f t="shared" si="4"/>
        <v>5.9444990201626424E-4</v>
      </c>
      <c r="B99">
        <f t="shared" si="5"/>
        <v>9.6999999999999815</v>
      </c>
      <c r="N99">
        <f t="shared" si="7"/>
        <v>1.9188125000000014</v>
      </c>
      <c r="O99">
        <f t="shared" si="6"/>
        <v>3.3688667607429036E-4</v>
      </c>
    </row>
    <row r="100" spans="1:15" x14ac:dyDescent="0.75">
      <c r="A100">
        <f t="shared" si="4"/>
        <v>5.4342567443534356E-4</v>
      </c>
      <c r="B100">
        <f t="shared" si="5"/>
        <v>9.7999999999999812</v>
      </c>
      <c r="N100">
        <f t="shared" si="7"/>
        <v>1.9388125000000014</v>
      </c>
      <c r="O100">
        <f t="shared" si="6"/>
        <v>4.4326813768506428E-4</v>
      </c>
    </row>
    <row r="101" spans="1:15" x14ac:dyDescent="0.75">
      <c r="A101">
        <f t="shared" si="4"/>
        <v>4.9672935235614405E-4</v>
      </c>
      <c r="B101">
        <f t="shared" si="5"/>
        <v>9.8999999999999808</v>
      </c>
      <c r="N101">
        <f t="shared" si="7"/>
        <v>1.9588125000000014</v>
      </c>
      <c r="O101">
        <f t="shared" si="6"/>
        <v>5.6439126729383748E-4</v>
      </c>
    </row>
    <row r="102" spans="1:15" x14ac:dyDescent="0.75">
      <c r="A102">
        <f t="shared" si="4"/>
        <v>4.5399929762485652E-4</v>
      </c>
      <c r="B102">
        <f t="shared" si="5"/>
        <v>9.9999999999999805</v>
      </c>
      <c r="N102">
        <f t="shared" si="7"/>
        <v>1.9788125000000014</v>
      </c>
      <c r="O102">
        <f t="shared" si="6"/>
        <v>7.0024983016713849E-4</v>
      </c>
    </row>
    <row r="103" spans="1:15" x14ac:dyDescent="0.75">
      <c r="A103">
        <f t="shared" si="4"/>
        <v>4.1490350777554459E-4</v>
      </c>
      <c r="B103">
        <f t="shared" si="5"/>
        <v>10.09999999999998</v>
      </c>
      <c r="N103">
        <f t="shared" si="7"/>
        <v>1.9988125000000014</v>
      </c>
      <c r="O103">
        <f t="shared" si="6"/>
        <v>8.508143965343393E-4</v>
      </c>
    </row>
    <row r="104" spans="1:15" x14ac:dyDescent="0.75">
      <c r="A104">
        <f t="shared" si="4"/>
        <v>3.7913725057809933E-4</v>
      </c>
      <c r="B104">
        <f t="shared" si="5"/>
        <v>10.19999999999998</v>
      </c>
      <c r="N104">
        <f t="shared" si="7"/>
        <v>2.0188125000000015</v>
      </c>
      <c r="O104">
        <f t="shared" si="6"/>
        <v>1.0160334605261406E-3</v>
      </c>
    </row>
    <row r="105" spans="1:15" x14ac:dyDescent="0.75">
      <c r="A105">
        <f t="shared" si="4"/>
        <v>3.4642088041291207E-4</v>
      </c>
      <c r="B105">
        <f t="shared" si="5"/>
        <v>10.299999999999979</v>
      </c>
      <c r="N105">
        <f t="shared" si="7"/>
        <v>2.0388125000000015</v>
      </c>
      <c r="O105">
        <f t="shared" si="6"/>
        <v>1.1958345447443328E-3</v>
      </c>
    </row>
    <row r="106" spans="1:15" x14ac:dyDescent="0.75">
      <c r="A106">
        <f t="shared" si="4"/>
        <v>3.164978232874038E-4</v>
      </c>
      <c r="B106">
        <f t="shared" si="5"/>
        <v>10.399999999999979</v>
      </c>
    </row>
    <row r="107" spans="1:15" x14ac:dyDescent="0.75">
      <c r="A107">
        <f t="shared" si="4"/>
        <v>2.8913271817235074E-4</v>
      </c>
      <c r="B107">
        <f t="shared" si="5"/>
        <v>10.499999999999979</v>
      </c>
    </row>
    <row r="108" spans="1:15" x14ac:dyDescent="0.75">
      <c r="A108">
        <f t="shared" si="4"/>
        <v>2.6410970315393905E-4</v>
      </c>
      <c r="B108">
        <f t="shared" si="5"/>
        <v>10.599999999999978</v>
      </c>
    </row>
    <row r="109" spans="1:15" x14ac:dyDescent="0.75">
      <c r="A109">
        <f t="shared" si="4"/>
        <v>2.412308356713753E-4</v>
      </c>
      <c r="B109">
        <f t="shared" si="5"/>
        <v>10.699999999999978</v>
      </c>
    </row>
    <row r="110" spans="1:15" x14ac:dyDescent="0.75">
      <c r="A110">
        <f t="shared" si="4"/>
        <v>2.2031463684066139E-4</v>
      </c>
      <c r="B110">
        <f t="shared" si="5"/>
        <v>10.799999999999978</v>
      </c>
    </row>
    <row r="111" spans="1:15" x14ac:dyDescent="0.75">
      <c r="A111">
        <f t="shared" si="4"/>
        <v>2.011947505540123E-4</v>
      </c>
      <c r="B111">
        <f t="shared" si="5"/>
        <v>10.899999999999977</v>
      </c>
    </row>
    <row r="112" spans="1:15" x14ac:dyDescent="0.75">
      <c r="A112">
        <f t="shared" si="4"/>
        <v>1.8371870869270611E-4</v>
      </c>
      <c r="B112">
        <f t="shared" si="5"/>
        <v>10.999999999999977</v>
      </c>
    </row>
    <row r="113" spans="1:2" x14ac:dyDescent="0.75">
      <c r="A113">
        <f t="shared" si="4"/>
        <v>1.677467944003944E-4</v>
      </c>
      <c r="B113">
        <f t="shared" si="5"/>
        <v>11.099999999999977</v>
      </c>
    </row>
    <row r="114" spans="1:2" x14ac:dyDescent="0.75">
      <c r="A114">
        <f t="shared" si="4"/>
        <v>1.5315099593562998E-4</v>
      </c>
      <c r="B114">
        <f t="shared" si="5"/>
        <v>11.199999999999976</v>
      </c>
    </row>
    <row r="115" spans="1:2" x14ac:dyDescent="0.75">
      <c r="A115">
        <f t="shared" si="4"/>
        <v>1.3981404415821009E-4</v>
      </c>
      <c r="B115">
        <f t="shared" si="5"/>
        <v>11.299999999999976</v>
      </c>
    </row>
    <row r="116" spans="1:2" x14ac:dyDescent="0.75">
      <c r="A116">
        <f t="shared" si="4"/>
        <v>1.2762852720553961E-4</v>
      </c>
      <c r="B116">
        <f t="shared" si="5"/>
        <v>11.399999999999975</v>
      </c>
    </row>
    <row r="117" spans="1:2" x14ac:dyDescent="0.75">
      <c r="A117">
        <f t="shared" si="4"/>
        <v>1.1649607638425582E-4</v>
      </c>
      <c r="B117">
        <f t="shared" si="5"/>
        <v>11.499999999999975</v>
      </c>
    </row>
    <row r="118" spans="1:2" x14ac:dyDescent="0.75">
      <c r="A118">
        <f t="shared" si="4"/>
        <v>1.0632661774047478E-4</v>
      </c>
      <c r="B118">
        <f t="shared" si="5"/>
        <v>11.599999999999975</v>
      </c>
    </row>
    <row r="119" spans="1:2" x14ac:dyDescent="0.75">
      <c r="A119">
        <f t="shared" si="4"/>
        <v>9.7037684180863439E-5</v>
      </c>
      <c r="B119">
        <f t="shared" si="5"/>
        <v>11.699999999999974</v>
      </c>
    </row>
    <row r="120" spans="1:2" x14ac:dyDescent="0.75">
      <c r="A120">
        <f t="shared" si="4"/>
        <v>8.8553783397909088E-5</v>
      </c>
      <c r="B120">
        <f t="shared" si="5"/>
        <v>11.799999999999974</v>
      </c>
    </row>
    <row r="121" spans="1:2" x14ac:dyDescent="0.75">
      <c r="A121">
        <f t="shared" si="4"/>
        <v>8.0805817207817675E-5</v>
      </c>
      <c r="B121">
        <f t="shared" si="5"/>
        <v>11.899999999999974</v>
      </c>
    </row>
    <row r="122" spans="1:2" x14ac:dyDescent="0.75">
      <c r="A122">
        <f t="shared" si="4"/>
        <v>7.3730548239940317E-5</v>
      </c>
      <c r="B122">
        <f t="shared" si="5"/>
        <v>11.999999999999973</v>
      </c>
    </row>
    <row r="123" spans="1:2" x14ac:dyDescent="0.75">
      <c r="A123">
        <f t="shared" si="4"/>
        <v>6.7270110223968405E-5</v>
      </c>
      <c r="B123">
        <f t="shared" si="5"/>
        <v>12.099999999999973</v>
      </c>
    </row>
    <row r="124" spans="1:2" x14ac:dyDescent="0.75">
      <c r="A124">
        <f t="shared" si="4"/>
        <v>6.1371558406761158E-5</v>
      </c>
      <c r="B124">
        <f t="shared" si="5"/>
        <v>12.199999999999973</v>
      </c>
    </row>
    <row r="125" spans="1:2" x14ac:dyDescent="0.75">
      <c r="A125">
        <f t="shared" si="4"/>
        <v>5.598645689592521E-5</v>
      </c>
      <c r="B125">
        <f t="shared" si="5"/>
        <v>12.299999999999972</v>
      </c>
    </row>
    <row r="126" spans="1:2" x14ac:dyDescent="0.75">
      <c r="A126">
        <f t="shared" si="4"/>
        <v>5.1070499973444113E-5</v>
      </c>
      <c r="B126">
        <f t="shared" si="5"/>
        <v>12.399999999999972</v>
      </c>
    </row>
    <row r="127" spans="1:2" x14ac:dyDescent="0.75">
      <c r="A127">
        <f t="shared" si="4"/>
        <v>4.6583164650984603E-5</v>
      </c>
      <c r="B127">
        <f t="shared" si="5"/>
        <v>12.499999999999972</v>
      </c>
    </row>
    <row r="128" spans="1:2" x14ac:dyDescent="0.75">
      <c r="A128">
        <f t="shared" si="4"/>
        <v>4.2487391950154836E-5</v>
      </c>
      <c r="B128">
        <f t="shared" si="5"/>
        <v>12.599999999999971</v>
      </c>
    </row>
    <row r="129" spans="1:2" x14ac:dyDescent="0.75">
      <c r="A129">
        <f t="shared" si="4"/>
        <v>3.8749294587063583E-5</v>
      </c>
      <c r="B129">
        <f t="shared" si="5"/>
        <v>12.699999999999971</v>
      </c>
    </row>
    <row r="130" spans="1:2" x14ac:dyDescent="0.75">
      <c r="A130">
        <f t="shared" si="4"/>
        <v>3.5337888922077132E-5</v>
      </c>
      <c r="B130">
        <f t="shared" si="5"/>
        <v>12.799999999999971</v>
      </c>
    </row>
    <row r="131" spans="1:2" x14ac:dyDescent="0.75">
      <c r="A131">
        <f t="shared" si="4"/>
        <v>3.2224849203680488E-5</v>
      </c>
      <c r="B131">
        <f t="shared" si="5"/>
        <v>12.89999999999997</v>
      </c>
    </row>
    <row r="132" spans="1:2" x14ac:dyDescent="0.75">
      <c r="A132">
        <f t="shared" ref="A132:A195" si="8">B132* EXP(-$G$1*B132)</f>
        <v>2.9384282290754522E-5</v>
      </c>
      <c r="B132">
        <f t="shared" ref="B132:B195" si="9">B131+0.1</f>
        <v>12.99999999999997</v>
      </c>
    </row>
    <row r="133" spans="1:2" x14ac:dyDescent="0.75">
      <c r="A133">
        <f t="shared" si="8"/>
        <v>2.6792521181258463E-5</v>
      </c>
      <c r="B133">
        <f t="shared" si="9"/>
        <v>13.099999999999969</v>
      </c>
    </row>
    <row r="134" spans="1:2" x14ac:dyDescent="0.75">
      <c r="A134">
        <f t="shared" si="8"/>
        <v>2.4427935808081866E-5</v>
      </c>
      <c r="B134">
        <f t="shared" si="9"/>
        <v>13.199999999999969</v>
      </c>
    </row>
    <row r="135" spans="1:2" x14ac:dyDescent="0.75">
      <c r="A135">
        <f t="shared" si="8"/>
        <v>2.22707596854764E-5</v>
      </c>
      <c r="B135">
        <f t="shared" si="9"/>
        <v>13.299999999999969</v>
      </c>
    </row>
    <row r="136" spans="1:2" x14ac:dyDescent="0.75">
      <c r="A136">
        <f t="shared" si="8"/>
        <v>2.0302931102720139E-5</v>
      </c>
      <c r="B136">
        <f t="shared" si="9"/>
        <v>13.399999999999968</v>
      </c>
    </row>
    <row r="137" spans="1:2" x14ac:dyDescent="0.75">
      <c r="A137">
        <f t="shared" si="8"/>
        <v>1.8507947666185688E-5</v>
      </c>
      <c r="B137">
        <f t="shared" si="9"/>
        <v>13.499999999999968</v>
      </c>
    </row>
    <row r="138" spans="1:2" x14ac:dyDescent="0.75">
      <c r="A138">
        <f t="shared" si="8"/>
        <v>1.6870733087411802E-5</v>
      </c>
      <c r="B138">
        <f t="shared" si="9"/>
        <v>13.599999999999968</v>
      </c>
    </row>
    <row r="139" spans="1:2" x14ac:dyDescent="0.75">
      <c r="A139">
        <f t="shared" si="8"/>
        <v>1.5377515203710971E-5</v>
      </c>
      <c r="B139">
        <f t="shared" si="9"/>
        <v>13.699999999999967</v>
      </c>
    </row>
    <row r="140" spans="1:2" x14ac:dyDescent="0.75">
      <c r="A140">
        <f t="shared" si="8"/>
        <v>1.4015714299834805E-5</v>
      </c>
      <c r="B140">
        <f t="shared" si="9"/>
        <v>13.799999999999967</v>
      </c>
    </row>
    <row r="141" spans="1:2" x14ac:dyDescent="0.75">
      <c r="A141">
        <f t="shared" si="8"/>
        <v>1.2773840874782005E-5</v>
      </c>
      <c r="B141">
        <f t="shared" si="9"/>
        <v>13.899999999999967</v>
      </c>
    </row>
    <row r="142" spans="1:2" x14ac:dyDescent="0.75">
      <c r="A142">
        <f t="shared" si="8"/>
        <v>1.1641402067450315E-5</v>
      </c>
      <c r="B142">
        <f t="shared" si="9"/>
        <v>13.999999999999966</v>
      </c>
    </row>
    <row r="143" spans="1:2" x14ac:dyDescent="0.75">
      <c r="A143">
        <f t="shared" si="8"/>
        <v>1.0608816018951874E-5</v>
      </c>
      <c r="B143">
        <f t="shared" si="9"/>
        <v>14.099999999999966</v>
      </c>
    </row>
    <row r="144" spans="1:2" x14ac:dyDescent="0.75">
      <c r="A144">
        <f t="shared" si="8"/>
        <v>9.6673335084467088E-6</v>
      </c>
      <c r="B144">
        <f t="shared" si="9"/>
        <v>14.199999999999966</v>
      </c>
    </row>
    <row r="145" spans="1:2" x14ac:dyDescent="0.75">
      <c r="A145">
        <f t="shared" si="8"/>
        <v>8.8089662536886447E-6</v>
      </c>
      <c r="B145">
        <f t="shared" si="9"/>
        <v>14.299999999999965</v>
      </c>
    </row>
    <row r="146" spans="1:2" x14ac:dyDescent="0.75">
      <c r="A146">
        <f t="shared" si="8"/>
        <v>8.0264213174804854E-6</v>
      </c>
      <c r="B146">
        <f t="shared" si="9"/>
        <v>14.399999999999965</v>
      </c>
    </row>
    <row r="147" spans="1:2" x14ac:dyDescent="0.75">
      <c r="A147">
        <f t="shared" si="8"/>
        <v>7.3130411072346191E-6</v>
      </c>
      <c r="B147">
        <f t="shared" si="9"/>
        <v>14.499999999999964</v>
      </c>
    </row>
    <row r="148" spans="1:2" x14ac:dyDescent="0.75">
      <c r="A148">
        <f t="shared" si="8"/>
        <v>6.6627484971400508E-6</v>
      </c>
      <c r="B148">
        <f t="shared" si="9"/>
        <v>14.599999999999964</v>
      </c>
    </row>
    <row r="149" spans="1:2" x14ac:dyDescent="0.75">
      <c r="A149">
        <f t="shared" si="8"/>
        <v>6.06999664133391E-6</v>
      </c>
      <c r="B149">
        <f t="shared" si="9"/>
        <v>14.699999999999964</v>
      </c>
    </row>
    <row r="150" spans="1:2" x14ac:dyDescent="0.75">
      <c r="A150">
        <f t="shared" si="8"/>
        <v>5.5297230822303771E-6</v>
      </c>
      <c r="B150">
        <f t="shared" si="9"/>
        <v>14.799999999999963</v>
      </c>
    </row>
    <row r="151" spans="1:2" x14ac:dyDescent="0.75">
      <c r="A151">
        <f t="shared" si="8"/>
        <v>5.0373077910182341E-6</v>
      </c>
      <c r="B151">
        <f t="shared" si="9"/>
        <v>14.899999999999963</v>
      </c>
    </row>
    <row r="152" spans="1:2" x14ac:dyDescent="0.75">
      <c r="A152">
        <f t="shared" si="8"/>
        <v>4.5885348075275473E-6</v>
      </c>
      <c r="B152">
        <f t="shared" si="9"/>
        <v>14.999999999999963</v>
      </c>
    </row>
    <row r="153" spans="1:2" x14ac:dyDescent="0.75">
      <c r="A153">
        <f t="shared" si="8"/>
        <v>4.1795571743967643E-6</v>
      </c>
      <c r="B153">
        <f t="shared" si="9"/>
        <v>15.099999999999962</v>
      </c>
    </row>
    <row r="154" spans="1:2" x14ac:dyDescent="0.75">
      <c r="A154">
        <f t="shared" si="8"/>
        <v>3.8068648859381177E-6</v>
      </c>
      <c r="B154">
        <f t="shared" si="9"/>
        <v>15.199999999999962</v>
      </c>
    </row>
    <row r="155" spans="1:2" x14ac:dyDescent="0.75">
      <c r="A155">
        <f t="shared" si="8"/>
        <v>3.467255595481663E-6</v>
      </c>
      <c r="B155">
        <f t="shared" si="9"/>
        <v>15.299999999999962</v>
      </c>
    </row>
    <row r="156" spans="1:2" x14ac:dyDescent="0.75">
      <c r="A156">
        <f t="shared" si="8"/>
        <v>3.1578078464424828E-6</v>
      </c>
      <c r="B156">
        <f t="shared" si="9"/>
        <v>15.399999999999961</v>
      </c>
    </row>
    <row r="157" spans="1:2" x14ac:dyDescent="0.75">
      <c r="A157">
        <f t="shared" si="8"/>
        <v>2.8758566120548712E-6</v>
      </c>
      <c r="B157">
        <f t="shared" si="9"/>
        <v>15.499999999999961</v>
      </c>
    </row>
    <row r="158" spans="1:2" x14ac:dyDescent="0.75">
      <c r="A158">
        <f t="shared" si="8"/>
        <v>2.6189709467933303E-6</v>
      </c>
      <c r="B158">
        <f t="shared" si="9"/>
        <v>15.599999999999961</v>
      </c>
    </row>
    <row r="159" spans="1:2" x14ac:dyDescent="0.75">
      <c r="A159">
        <f t="shared" si="8"/>
        <v>2.3849335690833603E-6</v>
      </c>
      <c r="B159">
        <f t="shared" si="9"/>
        <v>15.69999999999996</v>
      </c>
    </row>
    <row r="160" spans="1:2" x14ac:dyDescent="0.75">
      <c r="A160">
        <f t="shared" si="8"/>
        <v>2.1717222101158887E-6</v>
      </c>
      <c r="B160">
        <f t="shared" si="9"/>
        <v>15.79999999999996</v>
      </c>
    </row>
    <row r="161" spans="1:2" x14ac:dyDescent="0.75">
      <c r="A161">
        <f t="shared" si="8"/>
        <v>1.9774925775286385E-6</v>
      </c>
      <c r="B161">
        <f t="shared" si="9"/>
        <v>15.899999999999959</v>
      </c>
    </row>
    <row r="162" spans="1:2" x14ac:dyDescent="0.75">
      <c r="A162">
        <f t="shared" si="8"/>
        <v>1.8005627955082147E-6</v>
      </c>
      <c r="B162">
        <f t="shared" si="9"/>
        <v>15.999999999999959</v>
      </c>
    </row>
    <row r="163" spans="1:2" x14ac:dyDescent="0.75">
      <c r="A163">
        <f t="shared" si="8"/>
        <v>1.6393991945923835E-6</v>
      </c>
      <c r="B163">
        <f t="shared" si="9"/>
        <v>16.099999999999959</v>
      </c>
    </row>
    <row r="164" spans="1:2" x14ac:dyDescent="0.75">
      <c r="A164">
        <f t="shared" si="8"/>
        <v>1.4926033351997685E-6</v>
      </c>
      <c r="B164">
        <f t="shared" si="9"/>
        <v>16.19999999999996</v>
      </c>
    </row>
    <row r="165" spans="1:2" x14ac:dyDescent="0.75">
      <c r="A165">
        <f t="shared" si="8"/>
        <v>1.3589001587639818E-6</v>
      </c>
      <c r="B165">
        <f t="shared" si="9"/>
        <v>16.299999999999962</v>
      </c>
    </row>
    <row r="166" spans="1:2" x14ac:dyDescent="0.75">
      <c r="A166">
        <f t="shared" si="8"/>
        <v>1.2371271693744997E-6</v>
      </c>
      <c r="B166">
        <f t="shared" si="9"/>
        <v>16.399999999999963</v>
      </c>
    </row>
    <row r="167" spans="1:2" x14ac:dyDescent="0.75">
      <c r="A167">
        <f t="shared" si="8"/>
        <v>1.1262245570952911E-6</v>
      </c>
      <c r="B167">
        <f t="shared" si="9"/>
        <v>16.499999999999964</v>
      </c>
    </row>
    <row r="168" spans="1:2" x14ac:dyDescent="0.75">
      <c r="A168">
        <f t="shared" si="8"/>
        <v>1.0252261817063744E-6</v>
      </c>
      <c r="B168">
        <f t="shared" si="9"/>
        <v>16.599999999999966</v>
      </c>
    </row>
    <row r="169" spans="1:2" x14ac:dyDescent="0.75">
      <c r="A169">
        <f t="shared" si="8"/>
        <v>9.3325134255057874E-7</v>
      </c>
      <c r="B169">
        <f t="shared" si="9"/>
        <v>16.699999999999967</v>
      </c>
    </row>
    <row r="170" spans="1:2" x14ac:dyDescent="0.75">
      <c r="A170">
        <f t="shared" si="8"/>
        <v>8.4949726652039302E-7</v>
      </c>
      <c r="B170">
        <f t="shared" si="9"/>
        <v>16.799999999999969</v>
      </c>
    </row>
    <row r="171" spans="1:2" x14ac:dyDescent="0.75">
      <c r="A171">
        <f t="shared" si="8"/>
        <v>7.7323225203636277E-7</v>
      </c>
      <c r="B171">
        <f t="shared" si="9"/>
        <v>16.89999999999997</v>
      </c>
    </row>
    <row r="172" spans="1:2" x14ac:dyDescent="0.75">
      <c r="A172">
        <f t="shared" si="8"/>
        <v>7.0378941219349723E-7</v>
      </c>
      <c r="B172">
        <f t="shared" si="9"/>
        <v>16.999999999999972</v>
      </c>
    </row>
    <row r="173" spans="1:2" x14ac:dyDescent="0.75">
      <c r="A173">
        <f t="shared" si="8"/>
        <v>6.4056096512650407E-7</v>
      </c>
      <c r="B173">
        <f t="shared" si="9"/>
        <v>17.099999999999973</v>
      </c>
    </row>
    <row r="174" spans="1:2" x14ac:dyDescent="0.75">
      <c r="A174">
        <f t="shared" si="8"/>
        <v>5.8299302410588459E-7</v>
      </c>
      <c r="B174">
        <f t="shared" si="9"/>
        <v>17.199999999999974</v>
      </c>
    </row>
    <row r="175" spans="1:2" x14ac:dyDescent="0.75">
      <c r="A175">
        <f t="shared" si="8"/>
        <v>5.305808439595074E-7</v>
      </c>
      <c r="B175">
        <f t="shared" si="9"/>
        <v>17.299999999999976</v>
      </c>
    </row>
    <row r="176" spans="1:2" x14ac:dyDescent="0.75">
      <c r="A176">
        <f t="shared" si="8"/>
        <v>4.8286448414990131E-7</v>
      </c>
      <c r="B176">
        <f t="shared" si="9"/>
        <v>17.399999999999977</v>
      </c>
    </row>
    <row r="177" spans="1:2" x14ac:dyDescent="0.75">
      <c r="A177">
        <f t="shared" si="8"/>
        <v>4.3942485225520565E-7</v>
      </c>
      <c r="B177">
        <f t="shared" si="9"/>
        <v>17.499999999999979</v>
      </c>
    </row>
    <row r="178" spans="1:2" x14ac:dyDescent="0.75">
      <c r="A178">
        <f t="shared" si="8"/>
        <v>3.9988009472820664E-7</v>
      </c>
      <c r="B178">
        <f t="shared" si="9"/>
        <v>17.59999999999998</v>
      </c>
    </row>
    <row r="179" spans="1:2" x14ac:dyDescent="0.75">
      <c r="A179">
        <f t="shared" si="8"/>
        <v>3.6388230466760542E-7</v>
      </c>
      <c r="B179">
        <f t="shared" si="9"/>
        <v>17.699999999999982</v>
      </c>
    </row>
    <row r="180" spans="1:2" x14ac:dyDescent="0.75">
      <c r="A180">
        <f t="shared" si="8"/>
        <v>3.3111451895110167E-7</v>
      </c>
      <c r="B180">
        <f t="shared" si="9"/>
        <v>17.799999999999983</v>
      </c>
    </row>
    <row r="181" spans="1:2" x14ac:dyDescent="0.75">
      <c r="A181">
        <f t="shared" si="8"/>
        <v>3.0128797947160698E-7</v>
      </c>
      <c r="B181">
        <f t="shared" si="9"/>
        <v>17.899999999999984</v>
      </c>
    </row>
    <row r="182" spans="1:2" x14ac:dyDescent="0.75">
      <c r="A182">
        <f t="shared" si="8"/>
        <v>2.7413963540483097E-7</v>
      </c>
      <c r="B182">
        <f t="shared" si="9"/>
        <v>17.999999999999986</v>
      </c>
    </row>
    <row r="183" spans="1:2" x14ac:dyDescent="0.75">
      <c r="A183">
        <f t="shared" si="8"/>
        <v>2.4942986543592086E-7</v>
      </c>
      <c r="B183">
        <f t="shared" si="9"/>
        <v>18.099999999999987</v>
      </c>
    </row>
    <row r="184" spans="1:2" x14ac:dyDescent="0.75">
      <c r="A184">
        <f t="shared" si="8"/>
        <v>2.269404007006703E-7</v>
      </c>
      <c r="B184">
        <f t="shared" si="9"/>
        <v>18.199999999999989</v>
      </c>
    </row>
    <row r="185" spans="1:2" x14ac:dyDescent="0.75">
      <c r="A185">
        <f t="shared" si="8"/>
        <v>2.0647243086758996E-7</v>
      </c>
      <c r="B185">
        <f t="shared" si="9"/>
        <v>18.29999999999999</v>
      </c>
    </row>
    <row r="186" spans="1:2" x14ac:dyDescent="0.75">
      <c r="A186">
        <f t="shared" si="8"/>
        <v>1.878448773141978E-7</v>
      </c>
      <c r="B186">
        <f t="shared" si="9"/>
        <v>18.399999999999991</v>
      </c>
    </row>
    <row r="187" spans="1:2" x14ac:dyDescent="0.75">
      <c r="A187">
        <f t="shared" si="8"/>
        <v>1.7089281874645715E-7</v>
      </c>
      <c r="B187">
        <f t="shared" si="9"/>
        <v>18.499999999999993</v>
      </c>
    </row>
    <row r="188" spans="1:2" x14ac:dyDescent="0.75">
      <c r="A188">
        <f t="shared" si="8"/>
        <v>1.5546605588556878E-7</v>
      </c>
      <c r="B188">
        <f t="shared" si="9"/>
        <v>18.599999999999994</v>
      </c>
    </row>
    <row r="189" spans="1:2" x14ac:dyDescent="0.75">
      <c r="A189">
        <f t="shared" si="8"/>
        <v>1.4142780301155857E-7</v>
      </c>
      <c r="B189">
        <f t="shared" si="9"/>
        <v>18.699999999999996</v>
      </c>
    </row>
    <row r="190" spans="1:2" x14ac:dyDescent="0.75">
      <c r="A190">
        <f t="shared" si="8"/>
        <v>1.2865349521769859E-7</v>
      </c>
      <c r="B190">
        <f t="shared" si="9"/>
        <v>18.799999999999997</v>
      </c>
    </row>
    <row r="191" spans="1:2" x14ac:dyDescent="0.75">
      <c r="A191">
        <f t="shared" si="8"/>
        <v>1.1702970120235032E-7</v>
      </c>
      <c r="B191">
        <f t="shared" si="9"/>
        <v>18.899999999999999</v>
      </c>
    </row>
    <row r="192" spans="1:2" x14ac:dyDescent="0.75">
      <c r="A192">
        <f t="shared" si="8"/>
        <v>1.0645313231320808E-7</v>
      </c>
      <c r="B192">
        <f t="shared" si="9"/>
        <v>19</v>
      </c>
    </row>
    <row r="193" spans="1:2" x14ac:dyDescent="0.75">
      <c r="A193">
        <f t="shared" si="8"/>
        <v>9.6829739370355687E-8</v>
      </c>
      <c r="B193">
        <f t="shared" si="9"/>
        <v>19.100000000000001</v>
      </c>
    </row>
    <row r="194" spans="1:2" x14ac:dyDescent="0.75">
      <c r="A194">
        <f t="shared" si="8"/>
        <v>8.8073889535632169E-8</v>
      </c>
      <c r="B194">
        <f t="shared" si="9"/>
        <v>19.200000000000003</v>
      </c>
    </row>
    <row r="195" spans="1:2" x14ac:dyDescent="0.75">
      <c r="A195">
        <f t="shared" si="8"/>
        <v>8.0107616172575447E-8</v>
      </c>
      <c r="B195">
        <f t="shared" si="9"/>
        <v>19.300000000000004</v>
      </c>
    </row>
    <row r="196" spans="1:2" x14ac:dyDescent="0.75">
      <c r="A196">
        <f t="shared" ref="A196:A200" si="10">B196* EXP(-$G$1*B196)</f>
        <v>7.2859935259202572E-8</v>
      </c>
      <c r="B196">
        <f t="shared" ref="B196:B200" si="11">B195+0.1</f>
        <v>19.400000000000006</v>
      </c>
    </row>
    <row r="197" spans="1:2" x14ac:dyDescent="0.75">
      <c r="A197">
        <f t="shared" si="10"/>
        <v>6.6266222480153441E-8</v>
      </c>
      <c r="B197">
        <f t="shared" si="11"/>
        <v>19.500000000000007</v>
      </c>
    </row>
    <row r="198" spans="1:2" x14ac:dyDescent="0.75">
      <c r="A198">
        <f t="shared" si="10"/>
        <v>6.0267645639897078E-8</v>
      </c>
      <c r="B198">
        <f t="shared" si="11"/>
        <v>19.600000000000009</v>
      </c>
    </row>
    <row r="199" spans="1:2" x14ac:dyDescent="0.75">
      <c r="A199">
        <f t="shared" si="10"/>
        <v>5.4810647509012145E-8</v>
      </c>
      <c r="B199">
        <f t="shared" si="11"/>
        <v>19.70000000000001</v>
      </c>
    </row>
    <row r="200" spans="1:2" x14ac:dyDescent="0.75">
      <c r="A200">
        <f t="shared" si="10"/>
        <v>4.9846474644877398E-8</v>
      </c>
      <c r="B200">
        <f t="shared" si="11"/>
        <v>19.800000000000011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AC6D-4952-4A7A-ADB9-22FDF9E7462B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2024-09-13T01:13:13Z</dcterms:created>
  <dcterms:modified xsi:type="dcterms:W3CDTF">2024-09-26T20:53:45Z</dcterms:modified>
</cp:coreProperties>
</file>